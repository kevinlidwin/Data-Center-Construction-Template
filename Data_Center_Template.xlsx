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8.xml" ContentType="application/vnd.openxmlformats-officedocument.spreadsheetml.comments+xml"/>
  <Override PartName="/xl/theme/theme1.xml" ContentType="application/vnd.openxmlformats-officedocument.theme+xml"/>
  <Override PartName="/xl/comments5.xml" ContentType="application/vnd.openxmlformats-officedocument.spreadsheetml.comments+xml"/>
  <Override PartName="/xl/comments4.xml" ContentType="application/vnd.openxmlformats-officedocument.spreadsheetml.comments+xml"/>
  <Override PartName="/xl/comments6.xml" ContentType="application/vnd.openxmlformats-officedocument.spreadsheetml.comments+xml"/>
  <Override PartName="/xl/styles.xml" ContentType="application/vnd.openxmlformats-officedocument.spreadsheetml.styles+xml"/>
  <Override PartName="/xl/charts/chart29.xml" ContentType="application/vnd.openxmlformats-officedocument.drawingml.chart+xml"/>
  <Override PartName="/xl/charts/chart28.xml" ContentType="application/vnd.openxmlformats-officedocument.drawingml.chart+xml"/>
  <Override PartName="/xl/charts/chart27.xml" ContentType="application/vnd.openxmlformats-officedocument.drawingml.chart+xml"/>
  <Override PartName="/xl/charts/chart26.xml" ContentType="application/vnd.openxmlformats-officedocument.drawingml.chart+xml"/>
  <Override PartName="/xl/charts/chart25.xml" ContentType="application/vnd.openxmlformats-officedocument.drawingml.chart+xml"/>
  <Override PartName="/xl/charts/chart24.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13.xml" ContentType="application/vnd.openxmlformats-officedocument.drawingml.chart+xml"/>
  <Override PartName="/xl/charts/chart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10.xml" ContentType="application/vnd.openxmlformats-officedocument.drawingml.chart+xml"/>
  <Override PartName="/xl/charts/chart34.xml" ContentType="application/vnd.openxmlformats-officedocument.drawingml.chart+xml"/>
  <Override PartName="/xl/charts/chart2.xml" ContentType="application/vnd.openxmlformats-officedocument.drawingml.chart+xml"/>
  <Override PartName="/xl/charts/chart5.xml" ContentType="application/vnd.openxmlformats-officedocument.drawingml.chart+xml"/>
  <Override PartName="/xl/charts/chart4.xml" ContentType="application/vnd.openxmlformats-officedocument.drawingml.chart+xml"/>
  <Override PartName="/xl/charts/chart3.xml" ContentType="application/vnd.openxmlformats-officedocument.drawingml.chart+xml"/>
  <Override PartName="/xl/charts/chart1.xml" ContentType="application/vnd.openxmlformats-officedocument.drawingml.chart+xml"/>
  <Override PartName="/xl/charts/chart35.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20.xml" ContentType="application/vnd.openxmlformats-officedocument.drawingml.chart+xml"/>
  <Override PartName="/xl/charts/chart19.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_rels/drawing5.xml.rels" ContentType="application/vnd.openxmlformats-package.relationships+xml"/>
  <Override PartName="/xl/drawings/_rels/drawing3.xml.rels" ContentType="application/vnd.openxmlformats-package.relationships+xml"/>
  <Override PartName="/xl/drawings/_rels/drawing15.xml.rels" ContentType="application/vnd.openxmlformats-package.relationships+xml"/>
  <Override PartName="/xl/drawings/_rels/drawing6.xml.rels" ContentType="application/vnd.openxmlformats-package.relationships+xml"/>
  <Override PartName="/xl/drawings/_rels/drawing10.xml.rels" ContentType="application/vnd.openxmlformats-package.relationships+xml"/>
  <Override PartName="/xl/drawings/_rels/drawing1.xml.rels" ContentType="application/vnd.openxmlformats-package.relationships+xml"/>
  <Override PartName="/xl/drawings/_rels/drawing11.xml.rels" ContentType="application/vnd.openxmlformats-package.relationships+xml"/>
  <Override PartName="/xl/drawings/_rels/drawing2.xml.rels" ContentType="application/vnd.openxmlformats-package.relationships+xml"/>
  <Override PartName="/xl/drawings/_rels/drawing17.xml.rels" ContentType="application/vnd.openxmlformats-package.relationships+xml"/>
  <Override PartName="/xl/drawings/_rels/drawing16.xml.rels" ContentType="application/vnd.openxmlformats-package.relationships+xml"/>
  <Override PartName="/xl/drawings/_rels/drawing9.xml.rels" ContentType="application/vnd.openxmlformats-package.relationships+xml"/>
  <Override PartName="/xl/drawings/_rels/drawing14.xml.rels" ContentType="application/vnd.openxmlformats-package.relationships+xml"/>
  <Override PartName="/xl/drawings/_rels/drawing8.xml.rels" ContentType="application/vnd.openxmlformats-package.relationships+xml"/>
  <Override PartName="/xl/drawings/_rels/drawing13.xml.rels" ContentType="application/vnd.openxmlformats-package.relationships+xml"/>
  <Override PartName="/xl/drawings/_rels/drawing7.xml.rels" ContentType="application/vnd.openxmlformats-package.relationships+xml"/>
  <Override PartName="/xl/drawings/_rels/drawing12.xml.rels" ContentType="application/vnd.openxmlformats-package.relationships+xml"/>
  <Override PartName="/xl/drawings/_rels/drawing4.xml.rels" ContentType="application/vnd.openxmlformats-package.relationships+xml"/>
  <Override PartName="/xl/drawings/vmlDrawing14.vml" ContentType="application/vnd.openxmlformats-officedocument.vmlDrawing"/>
  <Override PartName="/xl/drawings/vmlDrawing8.vml" ContentType="application/vnd.openxmlformats-officedocument.vmlDrawing"/>
  <Override PartName="/xl/drawings/vmlDrawing13.vml" ContentType="application/vnd.openxmlformats-officedocument.vmlDrawing"/>
  <Override PartName="/xl/drawings/vmlDrawing7.vml" ContentType="application/vnd.openxmlformats-officedocument.vmlDrawing"/>
  <Override PartName="/xl/drawings/drawing6.xml" ContentType="application/vnd.openxmlformats-officedocument.drawing+xml"/>
  <Override PartName="/xl/drawings/drawing15.xml" ContentType="application/vnd.openxmlformats-officedocument.drawing+xml"/>
  <Override PartName="/xl/drawings/drawing4.xml" ContentType="application/vnd.openxmlformats-officedocument.drawing+xml"/>
  <Override PartName="/xl/drawings/drawing13.xml" ContentType="application/vnd.openxmlformats-officedocument.drawing+xml"/>
  <Override PartName="/xl/drawings/vmlDrawing3.vml" ContentType="application/vnd.openxmlformats-officedocument.vmlDrawing"/>
  <Override PartName="/xl/drawings/drawing8.xml" ContentType="application/vnd.openxmlformats-officedocument.drawing+xml"/>
  <Override PartName="/xl/drawings/drawing17.xml" ContentType="application/vnd.openxmlformats-officedocument.drawing+xml"/>
  <Override PartName="/xl/drawings/drawing9.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vmlDrawing12.vml" ContentType="application/vnd.openxmlformats-officedocument.vmlDrawing"/>
  <Override PartName="/xl/drawings/vmlDrawing6.vml" ContentType="application/vnd.openxmlformats-officedocument.vmlDrawing"/>
  <Override PartName="/xl/drawings/vmlDrawing9.vml" ContentType="application/vnd.openxmlformats-officedocument.vmlDrawing"/>
  <Override PartName="/xl/drawings/vmlDrawing15.vml" ContentType="application/vnd.openxmlformats-officedocument.vmlDrawing"/>
  <Override PartName="/xl/drawings/vmlDrawing16.vml" ContentType="application/vnd.openxmlformats-officedocument.vmlDrawing"/>
  <Override PartName="/xl/drawings/vmlDrawing17.vml" ContentType="application/vnd.openxmlformats-officedocument.vmlDrawing"/>
  <Override PartName="/xl/drawings/drawing3.xml" ContentType="application/vnd.openxmlformats-officedocument.drawing+xml"/>
  <Override PartName="/xl/drawings/vmlDrawing2.vml" ContentType="application/vnd.openxmlformats-officedocument.vmlDrawing"/>
  <Override PartName="/xl/drawings/drawing12.xml" ContentType="application/vnd.openxmlformats-officedocument.drawing+xml"/>
  <Override PartName="/xl/drawings/vmlDrawing10.vml" ContentType="application/vnd.openxmlformats-officedocument.vmlDrawing"/>
  <Override PartName="/xl/drawings/vmlDrawing4.vml" ContentType="application/vnd.openxmlformats-officedocument.vmlDrawing"/>
  <Override PartName="/xl/drawings/drawing5.xml" ContentType="application/vnd.openxmlformats-officedocument.drawing+xml"/>
  <Override PartName="/xl/drawings/drawing14.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11.xml" ContentType="application/vnd.openxmlformats-officedocument.drawing+xml"/>
  <Override PartName="/xl/drawings/drawing1.xml" ContentType="application/vnd.openxmlformats-officedocument.drawing+xml"/>
  <Override PartName="/xl/drawings/drawing10.xml" ContentType="application/vnd.openxmlformats-officedocument.drawing+xml"/>
  <Override PartName="/xl/drawings/vmlDrawing5.vml" ContentType="application/vnd.openxmlformats-officedocument.vmlDrawing"/>
  <Override PartName="/xl/drawings/vmlDrawing11.vml" ContentType="application/vnd.openxmlformats-officedocument.vmlDrawing"/>
  <Override PartName="/xl/comments2.xml" ContentType="application/vnd.openxmlformats-officedocument.spreadsheetml.comments+xml"/>
  <Override PartName="/xl/comments12.xml" ContentType="application/vnd.openxmlformats-officedocument.spreadsheetml.comments+xml"/>
  <Override PartName="/xl/sharedStrings.xml" ContentType="application/vnd.openxmlformats-officedocument.spreadsheetml.sharedStrings+xml"/>
  <Override PartName="/xl/comments37.xml" ContentType="application/vnd.openxmlformats-officedocument.spreadsheetml.comments+xml"/>
  <Override PartName="/xl/comments36.xml" ContentType="application/vnd.openxmlformats-officedocument.spreadsheetml.comments+xml"/>
  <Override PartName="/xl/comments35.xml" ContentType="application/vnd.openxmlformats-officedocument.spreadsheetml.comments+xml"/>
  <Override PartName="/xl/comments23.xml" ContentType="application/vnd.openxmlformats-officedocument.spreadsheetml.comments+xml"/>
  <Override PartName="/xl/comments34.xml" ContentType="application/vnd.openxmlformats-officedocument.spreadsheetml.comments+xml"/>
  <Override PartName="/xl/comments32.xml" ContentType="application/vnd.openxmlformats-officedocument.spreadsheetml.comments+xml"/>
  <Override PartName="/xl/comments9.xml" ContentType="application/vnd.openxmlformats-officedocument.spreadsheetml.comments+xml"/>
  <Override PartName="/xl/worksheets/_rels/sheet8.xml.rels" ContentType="application/vnd.openxmlformats-package.relationships+xml"/>
  <Override PartName="/xl/worksheets/_rels/sheet37.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9.xml.rels" ContentType="application/vnd.openxmlformats-package.relationships+xml"/>
  <Override PartName="/xl/worksheets/_rels/sheet31.xml.rels" ContentType="application/vnd.openxmlformats-package.relationships+xml"/>
  <Override PartName="/xl/worksheets/_rels/sheet2.xml.rels" ContentType="application/vnd.openxmlformats-package.relationships+xml"/>
  <Override PartName="/xl/worksheets/_rels/sheet29.xml.rels" ContentType="application/vnd.openxmlformats-package.relationships+xml"/>
  <Override PartName="/xl/worksheets/_rels/sheet32.xml.rels" ContentType="application/vnd.openxmlformats-package.relationships+xml"/>
  <Override PartName="/xl/worksheets/_rels/sheet3.xml.rels" ContentType="application/vnd.openxmlformats-package.relationships+xml"/>
  <Override PartName="/xl/worksheets/_rels/sheet3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27.xml.rels" ContentType="application/vnd.openxmlformats-package.relationships+xml"/>
  <Override PartName="/xl/worksheets/_rels/sheet26.xml.rels" ContentType="application/vnd.openxmlformats-package.relationships+xml"/>
  <Override PartName="/xl/worksheets/_rels/sheet25.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36.xml.rels" ContentType="application/vnd.openxmlformats-package.relationships+xml"/>
  <Override PartName="/xl/worksheets/_rels/sheet23.xml.rels" ContentType="application/vnd.openxmlformats-package.relationships+xml"/>
  <Override PartName="/xl/worksheets/_rels/sheet6.xml.rels" ContentType="application/vnd.openxmlformats-package.relationships+xml"/>
  <Override PartName="/xl/worksheets/_rels/sheet35.xml.rels" ContentType="application/vnd.openxmlformats-package.relationships+xml"/>
  <Override PartName="/xl/worksheets/_rels/sheet34.xml.rels" ContentType="application/vnd.openxmlformats-package.relationships+xml"/>
  <Override PartName="/xl/worksheets/_rels/sheet5.xml.rels" ContentType="application/vnd.openxmlformats-package.relationships+xml"/>
  <Override PartName="/xl/worksheets/_rels/sheet19.xml.rels" ContentType="application/vnd.openxmlformats-package.relationships+xml"/>
  <Override PartName="/xl/worksheets/_rels/sheet18.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comments28.xml" ContentType="application/vnd.openxmlformats-officedocument.spreadsheetml.comments+xml"/>
  <Override PartName="/xl/comments26.xml" ContentType="application/vnd.openxmlformats-officedocument.spreadsheetml.comments+xml"/>
  <Override PartName="/xl/comments10.xml" ContentType="application/vnd.openxmlformats-officedocument.spreadsheetml.comments+xml"/>
  <Override PartName="/xl/workbook.xml" ContentType="application/vnd.openxmlformats-officedocument.spreadsheetml.sheet.main+xml"/>
  <Override PartName="/xl/comments3.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Index &amp; Read Me" sheetId="1" state="visible" r:id="rId3"/>
    <sheet name="Dashboard" sheetId="2" state="visible" r:id="rId4"/>
    <sheet name="Scenario &amp; Presets" sheetId="3" state="visible" r:id="rId5"/>
    <sheet name="Scenario Comparison" sheetId="4" state="visible" r:id="rId6"/>
    <sheet name="Construction Budget" sheetId="5" state="visible" r:id="rId7"/>
    <sheet name="Campus Rollup" sheetId="6" state="visible" r:id="rId8"/>
    <sheet name="CSA Summary" sheetId="7" state="visible" r:id="rId9"/>
    <sheet name="Unit Cost Database" sheetId="8" state="visible" r:id="rId10"/>
    <sheet name="Allowances &amp; Alternates" sheetId="9" state="visible" r:id="rId11"/>
    <sheet name="Location Factors" sheetId="10" state="visible" r:id="rId12"/>
    <sheet name="Value Engineering" sheetId="11" state="visible" r:id="rId13"/>
    <sheet name="Basis of Estimate" sheetId="12" state="visible" r:id="rId14"/>
    <sheet name="Benchmark Library" sheetId="13" state="visible" r:id="rId15"/>
    <sheet name="Power &amp; Space Capacity" sheetId="14" state="visible" r:id="rId16"/>
    <sheet name="Bid Cover Sheet" sheetId="15" state="visible" r:id="rId17"/>
    <sheet name="GC Bid Form" sheetId="16" state="visible" r:id="rId18"/>
    <sheet name="Bid Leveling" sheetId="17" state="visible" r:id="rId19"/>
    <sheet name="Bid Evaluation" sheetId="18" state="visible" r:id="rId20"/>
    <sheet name="Procurement &amp; Long-Lead" sheetId="19" state="visible" r:id="rId21"/>
    <sheet name="Construction Schedule" sheetId="20" state="visible" r:id="rId22"/>
    <sheet name="Schedule Acceleration" sheetId="21" state="visible" r:id="rId23"/>
    <sheet name="Variance Tracker" sheetId="22" state="visible" r:id="rId24"/>
    <sheet name="Milestone Tracker" sheetId="23" state="visible" r:id="rId25"/>
    <sheet name="Risk &amp; Contingency" sheetId="24" state="visible" r:id="rId26"/>
    <sheet name="Change Order Log" sheetId="25" state="visible" r:id="rId27"/>
    <sheet name="Total Development Cost" sheetId="26" state="visible" r:id="rId28"/>
    <sheet name="Sources &amp; Uses" sheetId="27" state="visible" r:id="rId29"/>
    <sheet name="Capital Stack &amp; Returns" sheetId="28" state="visible" r:id="rId30"/>
    <sheet name="Investment Pro Forma" sheetId="29" state="visible" r:id="rId31"/>
    <sheet name="Variance-to-Return" sheetId="30" state="visible" r:id="rId32"/>
    <sheet name="IC Summary" sheetId="31" state="visible" r:id="rId33"/>
    <sheet name="TCO 8-Year" sheetId="32" state="visible" r:id="rId34"/>
    <sheet name="Phased Capital Plan" sheetId="33" state="visible" r:id="rId35"/>
    <sheet name="Draw Schedule" sheetId="34" state="visible" r:id="rId36"/>
    <sheet name="Cash Flow &amp; EVM" sheetId="35" state="visible" r:id="rId37"/>
    <sheet name="Client Proposal" sheetId="36" state="visible" r:id="rId38"/>
    <sheet name="Carbon &amp; Sustainability" sheetId="37" state="visible" r:id="rId39"/>
    <sheet name="Reference Models" sheetId="38" state="visible" r:id="rId40"/>
    <sheet name="_ChartData" sheetId="39" state="hidden" r:id="rId41"/>
  </sheets>
  <definedNames>
    <definedName function="false" hidden="false" localSheetId="11" name="_xlnm.Print_Area" vbProcedure="false">'Basis of Estimate'!$A$1:$F$107</definedName>
    <definedName function="false" hidden="false" localSheetId="36" name="_xlnm.Print_Area" vbProcedure="false">'Carbon &amp; Sustainability'!$A$1:$L$41</definedName>
    <definedName function="false" hidden="false" localSheetId="34" name="_xlnm.Print_Area" vbProcedure="false">'Cash Flow &amp; EVM'!$A$1:$L$47</definedName>
    <definedName function="false" hidden="false" localSheetId="24" name="_xlnm.Print_Area" vbProcedure="false">'Change Order Log'!$A$1:$M$47</definedName>
    <definedName function="false" hidden="false" localSheetId="24" name="_xlnm.Print_Titles" vbProcedure="false">'Change Order Log'!$1:$1</definedName>
    <definedName function="false" hidden="false" localSheetId="35" name="_xlnm.Print_Area" vbProcedure="false">'Client Proposal'!$A$1:$F$226</definedName>
    <definedName function="false" hidden="false" localSheetId="1" name="_xlnm.Print_Area" vbProcedure="false">Dashboard!$A$1:$K$253</definedName>
    <definedName function="false" hidden="false" localSheetId="33" name="_xlnm.Print_Area" vbProcedure="false">'Draw Schedule'!$A$1:$AD$60</definedName>
    <definedName function="false" hidden="false" localSheetId="33" name="_xlnm.Print_Titles" vbProcedure="false">'Draw Schedule'!$A:$F,'Draw Schedule'!$1:$7</definedName>
    <definedName function="false" hidden="false" localSheetId="15" name="_xlnm.Print_Titles" vbProcedure="false">'GC Bid Form'!$26:$26</definedName>
    <definedName function="false" hidden="false" localSheetId="30" name="_xlnm.Print_Area" vbProcedure="false">'IC Summary'!$A$1:$K$38</definedName>
    <definedName function="false" hidden="false" localSheetId="0" name="_xlnm.Print_Area" vbProcedure="false">'Index &amp; Read Me'!$A$1:$C$51</definedName>
    <definedName function="false" hidden="false" name="FirmCityState" vbProcedure="false">'Client Proposal'!$H$6</definedName>
    <definedName function="false" hidden="false" name="FirmName" vbProcedure="false">'Client Proposal'!$H$2</definedName>
    <definedName function="false" hidden="false" name="FirmPhone" vbProcedure="false">'Client Proposal'!$H$8</definedName>
    <definedName function="false" hidden="false" name="FirmStreet" vbProcedure="false">'Client Proposal'!$H$4</definedName>
    <definedName function="false" hidden="false" localSheetId="33" name="_xlnm.Print_Titles" vbProcedure="false">'Draw Schedule'!$1:$7,'Draw Schedule'!$A:$F</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F36" authorId="0">
      <text>
        <r>
          <rPr>
            <sz val="10"/>
            <rFont val="Arial"/>
            <family val="2"/>
          </rPr>
          <t xml:space="preserve">Kevin:
Industry median $/MW (Benchmark Library) × 90 MW. Reference benchmark, not a project estimate.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67" authorId="0">
      <text>
        <r>
          <rPr>
            <sz val="10"/>
            <rFont val="Arial"/>
            <family val="2"/>
          </rPr>
          <t xml:space="preserve">MEP config factor = [(1-crit)+crit*redundancyFactor] * densityFactor. Wires the redundancy (B54) and density (B63) factors into MEP cost so resiliency/redundancy/density actually change the estimate. Source: model design, 2026.</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F5" authorId="0">
      <text>
        <r>
          <rPr>
            <sz val="10"/>
            <rFont val="Arial"/>
            <family val="2"/>
          </rPr>
          <t xml:space="preserve">Kevin:
Same pricing × cooling (Mid · Chilled Water) as the Air-Cooled scenario, so modeled cost is identical. Differs only in documented Tier/Redundancy/Density, which don't drive cost in this model.</t>
        </r>
      </text>
    </comment>
    <comment ref="G5" authorId="0">
      <text>
        <r>
          <rPr>
            <sz val="10"/>
            <rFont val="Arial"/>
            <family val="2"/>
          </rPr>
          <t xml:space="preserve">Kevin:
Same pricing × cooling (Mid · Chilled Water) as the Air-Cooled scenario, so modeled cost is identical. Differs only in documented Tier/Redundancy/Density, which don't drive cost in this model.</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D341" authorId="0">
      <text>
        <r>
          <rPr>
            <sz val="10"/>
            <rFont val="Arial"/>
            <family val="2"/>
          </rPr>
          <t xml:space="preserve">Kevin:
Alternate — not selected in base design (clean-agent/pre-action carries the base scope). Qty set to 0; no cost carried. Set qty + unit price if this alternate is accepted.</t>
        </r>
      </text>
    </comment>
    <comment ref="D438" authorId="0">
      <text>
        <r>
          <rPr>
            <sz val="10"/>
            <rFont val="Arial"/>
            <family val="2"/>
          </rPr>
          <t xml:space="preserve">Kevin:
Not used — project uses hot-aisle containment (see containment line above). Qty set to 0; no cost carried.</t>
        </r>
      </text>
    </comment>
    <comment ref="D507" authorId="0">
      <text>
        <r>
          <rPr>
            <sz val="10"/>
            <rFont val="Arial"/>
            <family val="2"/>
          </rPr>
          <t xml:space="preserve">Kevin:
LS scope carried on parent line (facility controls integration). Component split retained below as $0 memo.</t>
        </r>
      </text>
    </comment>
    <comment ref="D617" authorId="0">
      <text>
        <r>
          <rPr>
            <sz val="10"/>
            <rFont val="Arial"/>
            <family val="2"/>
          </rPr>
          <t xml:space="preserve">Corrected qty basis: 2 power whips per cabinet (A+B feeds). Cabinets = raised-floor SF / 100. Prior formula (=$C$13) counted one whip per SF of raised floor (~440,000), a unit/quantity mismatch that overstated this line by ~$260M.</t>
        </r>
      </text>
    </comment>
    <comment ref="D618" authorId="0">
      <text>
        <r>
          <rPr>
            <sz val="10"/>
            <rFont val="Arial"/>
            <family val="2"/>
          </rPr>
          <t xml:space="preserve">Corrected qty basis: 2 power whips per cabinet (A+B feeds). Cabinets = raised-floor SF / 100. Prior formula (=$C$13) counted one whip per SF of raised floor (~440,000), a unit/quantity mismatch that overstated this line by ~$260M.</t>
        </r>
      </text>
    </comment>
    <comment ref="D619" authorId="0">
      <text>
        <r>
          <rPr>
            <sz val="10"/>
            <rFont val="Arial"/>
            <family val="2"/>
          </rPr>
          <t xml:space="preserve">Corrected qty basis: 2 power whips per cabinet (A+B feeds). Cabinets = raised-floor SF / 100. Prior formula (=$C$13) counted one whip per SF of raised floor (~440,000), a unit/quantity mismatch that overstated this line by ~$260M.</t>
        </r>
      </text>
    </comment>
    <comment ref="D620" authorId="0">
      <text>
        <r>
          <rPr>
            <sz val="10"/>
            <rFont val="Arial"/>
            <family val="2"/>
          </rPr>
          <t xml:space="preserve">Corrected qty basis: 2 power whips per cabinet (A+B feeds). Cabinets = raised-floor SF / 100. Prior formula (=$C$13) counted one whip per SF of raised floor (~440,000), a unit/quantity mismatch that overstated this line by ~$260M.</t>
        </r>
      </text>
    </comment>
    <comment ref="D647" authorId="0">
      <text>
        <r>
          <rPr>
            <sz val="10"/>
            <rFont val="Arial"/>
            <family val="2"/>
          </rPr>
          <t xml:space="preserve">Kevin:
LS scope carried on parent line (BESS tie-in is integration scope). Component split retained below as $0 memo.</t>
        </r>
      </text>
    </comment>
    <comment ref="F27" authorId="0">
      <text>
        <r>
          <rPr>
            <sz val="10"/>
            <rFont val="Arial"/>
            <family val="2"/>
          </rPr>
          <t xml:space="preserve">Unit cost from Unit Cost Database (SC 09 00, $7,500/MW). Prior manual override removed after DB unit corrected from % to MW.</t>
        </r>
      </text>
    </comment>
    <comment ref="H9" authorId="0">
      <text>
        <r>
          <rPr>
            <sz val="10"/>
            <rFont val="Arial"/>
            <family val="2"/>
          </rPr>
          <t xml:space="preserve">Kevin:
Linked to F3 (Estimate Date) so all sheets reference one source of truth.</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B7" authorId="0">
      <text>
        <r>
          <rPr>
            <sz val="10"/>
            <rFont val="Arial"/>
            <family val="2"/>
          </rPr>
          <t xml:space="preserve">Buildings 1-3 are identical 250K SF / 30 MW units; CSA/MEP/Cx allocations pull from 'All Buildings' tagged lines in Construction Budget and divide by 3.</t>
        </r>
      </text>
    </comment>
    <comment ref="F7" authorId="0">
      <text>
        <r>
          <rPr>
            <sz val="10"/>
            <rFont val="Arial"/>
            <family val="2"/>
          </rPr>
          <t xml:space="preserve">MEP now multiplied by the active MEP config factor (Scenario &amp; Presets!B67) so redundancy and rack density drive cost. Baseline N+1/High = 1.00.</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I1" authorId="0">
      <text>
        <r>
          <rPr>
            <sz val="10"/>
            <rFont val="Arial"/>
            <family val="2"/>
          </rPr>
          <t xml:space="preserve">Kevin:
Linked to Scenario &amp; Presets!B15 (active Pricing Tier). Drives the Selected Price column (H) via CHOOSE/MATCH.</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D11" authorId="0">
      <text>
        <r>
          <rPr>
            <sz val="10"/>
            <rFont val="Arial"/>
            <family val="2"/>
          </rPr>
          <t xml:space="preserve">Kevin:
Zeroed — contingency is already embedded in every Construction Budget H-column line item. Keeping a separate allowance line would triple-count.</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3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Relative construction-cost location factors, Northern Virginia = 1.00 baseline. Planning-level estimates from regional construction cost indices; refine with local RSMeans / contractor data before GMP.</t>
        </r>
      </text>
    </comment>
    <comment ref="A206" authorId="0">
      <text>
        <r>
          <rPr>
            <sz val="10"/>
            <rFont val="Arial"/>
            <family val="2"/>
          </rPr>
          <t xml:space="preserve">Kevin:
Modeled construction cost factors indexed to Northern Virginia = 1.00, derived from state-level RSMeans-style cost relativities and anchored to the major-market factors already in this table (e.g., Boston 1.24, NYC 1.40, Dallas 0.87). Estimates only — replace with project-specific City Cost Index (RSMeans/ENR) when available. Small-metro costs typically run a few points below the state's large-metro average.</t>
        </r>
      </text>
    </comment>
    <comment ref="C30" authorId="0">
      <text>
        <r>
          <rPr>
            <sz val="10"/>
            <rFont val="Arial"/>
            <family val="2"/>
          </rPr>
          <t xml:space="preserve">Kevin:
Rows 31-104: established major-market factors. Rows 105-204 (bottom-100 MSAs): city-based construction cost factors, indexed to Northern Virginia = 1.00. Modeled estimates = state base x local city adjustment (remoteness/resort &gt; 1.0; low-cost South/border &lt; 1.0). State-level basis retained in the 'State Construction Cost Factors' table below (rows 206-257). Replace with project-specific City Cost Index (RSMeans/ENR) when available.</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Kevin:
Enter cost manager / estimating firm name here. Drives the Prepared By and Reviewed By fields below.</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E10" authorId="0">
      <text>
        <r>
          <rPr>
            <sz val="10"/>
            <rFont val="Arial"/>
            <family val="2"/>
          </rPr>
          <t xml:space="preserve">Updated: CD = $328M CSA × 1.021 inflation factor to GMP.</t>
        </r>
      </text>
    </comment>
    <comment ref="F10" authorId="0">
      <text>
        <r>
          <rPr>
            <sz val="10"/>
            <rFont val="Arial"/>
            <family val="2"/>
          </rPr>
          <t xml:space="preserve">Updated: CD = $1,269M MEP × 1.021 inflation factor to GMP.</t>
        </r>
      </text>
    </comment>
    <comment ref="G10" authorId="0">
      <text>
        <r>
          <rPr>
            <sz val="10"/>
            <rFont val="Arial"/>
            <family val="2"/>
          </rPr>
          <t xml:space="preserve">Updated: CD = $251M Other × 1.021 inflation factor to GMP.</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C28" authorId="0">
      <text>
        <r>
          <rPr>
            <sz val="10"/>
            <rFont val="Arial"/>
            <family val="2"/>
          </rPr>
          <t xml:space="preserve">Construction duration = NTP-&gt;substantial completion per Construction Schedule (~30 mo; power-on ~mo28, Cx complete ~mo32). Ties to Draw Schedule &amp; dashboard EVM.</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Kevin:
Scenario-driven: pulls Max LTC from the active scenario (G21). Edit drivers in the Scenario Manager (F23:I26), not here.</t>
        </r>
      </text>
    </comment>
    <comment ref="B12" authorId="0">
      <text>
        <r>
          <rPr>
            <sz val="10"/>
            <rFont val="Arial"/>
            <family val="2"/>
          </rPr>
          <t xml:space="preserve">Kevin:
Scenario-driven: pulls Min DSCR from the active scenario (G21).</t>
        </r>
      </text>
    </comment>
    <comment ref="B14" authorId="0">
      <text>
        <r>
          <rPr>
            <sz val="10"/>
            <rFont val="Arial"/>
            <family val="2"/>
          </rPr>
          <t xml:space="preserve">Kevin:
Scenario-driven: pulls all-in loan rate from the active scenario (G21).</t>
        </r>
      </text>
    </comment>
    <comment ref="B17" authorId="0">
      <text>
        <r>
          <rPr>
            <sz val="10"/>
            <rFont val="Arial"/>
            <family val="2"/>
          </rPr>
          <t xml:space="preserve">Kevin:
Scenario-driven: pulls cost of equity from the active scenario (G21).</t>
        </r>
      </text>
    </comment>
  </commentList>
</comments>
</file>

<file path=xl/comments32.xml><?xml version="1.0" encoding="utf-8"?>
<comments xmlns="http://schemas.openxmlformats.org/spreadsheetml/2006/main" xmlns:xdr="http://schemas.openxmlformats.org/drawingml/2006/spreadsheetDrawing">
  <authors>
    <author>Unknown Author</author>
  </authors>
  <commentList>
    <comment ref="A29" authorId="0">
      <text>
        <r>
          <rPr>
            <sz val="10"/>
            <rFont val="Arial"/>
            <family val="2"/>
          </rPr>
          <t xml:space="preserve">Kevin:
Non-cash expense — NOT included in OpEx Subtotal or 8-Year TCO totals below. Shown for accounting (P&amp;L) view only. Cash-basis TCO of $3,017M assumes CapEx is recognized in year 0; depreciation would be the equivalent P&amp;L recognition over 30 years.</t>
        </r>
      </text>
    </comment>
  </commentList>
</comments>
</file>

<file path=xl/comments34.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Phasing method (updated): construction trades use a cubic smoothstep S-curve weight w(k)=S(k/F)-S((k-1)/F), S(x)=3x^2-2x^3, applied within each trade's [Start Mo, End Mo] window. Weights sum to 1, so every division spreads to exactly its budget and the schedule total ties to the estimate. General Conditions level-loaded; Soft Costs front-loaded. Adjust Start/End Mo to reshape any trade.</t>
        </r>
      </text>
    </comment>
  </commentList>
</comments>
</file>

<file path=xl/comments35.xml><?xml version="1.0" encoding="utf-8"?>
<comments xmlns="http://schemas.openxmlformats.org/spreadsheetml/2006/main" xmlns:xdr="http://schemas.openxmlformats.org/drawingml/2006/spreadsheetDrawing">
  <authors>
    <author>Unknown Author</author>
  </authors>
  <commentList>
    <comment ref="B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REQUIRED INPUT — Data Date (month #). Enter the month being closed, integer 0–24 (0 = baseline/not started). Source: project calendar/cutoff, set monthly by PM. Drives the entire scorecard and the S-curve cutoff.</t>
        </r>
      </text>
    </comment>
    <comment ref="B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LINK (live): ='Campus Rollup'!H16 = Budget at Completion. Auto-ties to the PV curve total (D47). No manual entry.</t>
        </r>
      </text>
    </comment>
    <comment ref="C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SOURCE LINK (live): Period PV S-curve ='Draw Schedule'!G32:AD32 across C24:C47. Foots to BAC. No manual entry.</t>
        </r>
      </text>
    </comment>
    <comment ref="E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REQUIRED INPUT — Period Actual Cost (E24:E47). Enter cost incurred THAT month in full dollars (e.g. 24500000). Source: contractor pay apps (AIA G702/G703) / cost ledger / AP actuals, monthly from Cost Control. Cumulated in col F; unlocks AC, CV, CPI, EAC, ETC, VAC, TCPI.</t>
        </r>
      </text>
    </comment>
    <comment ref="G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REQUIRED INPUT — % Complete (G24:G47). Enter cumulative PHYSICAL % complete at the data date (e.g. 12.5%). Source: monthly progress assessment / earned schedule from Superintendent/PM. EV = % × BAC; unlocks EV, SV, SPI, CV. Keep physical, not cost-based.</t>
        </r>
      </text>
    </comment>
  </commentList>
</comments>
</file>

<file path=xl/comments36.xml><?xml version="1.0" encoding="utf-8"?>
<comments xmlns="http://schemas.openxmlformats.org/spreadsheetml/2006/main" xmlns:xdr="http://schemas.openxmlformats.org/drawingml/2006/spreadsheetDrawing">
  <authors>
    <author>Unknown Author</author>
  </authors>
  <commentList>
    <comment ref="C129" authorId="0">
      <text>
        <r>
          <rPr>
            <sz val="10"/>
            <rFont val="Arial"/>
            <family val="2"/>
          </rPr>
          <t xml:space="preserve">Kevin:
Set to 0 — contingency is already included in every Construction Budget line item via the (1+$H$7) factor in column H. Adding another 10% here double-counted by ~$178M.</t>
        </r>
      </text>
    </comment>
  </commentList>
</comments>
</file>

<file path=xl/comments37.xml><?xml version="1.0" encoding="utf-8"?>
<comments xmlns="http://schemas.openxmlformats.org/spreadsheetml/2006/main" xmlns:xdr="http://schemas.openxmlformats.org/drawingml/2006/spreadsheetDrawing">
  <authors>
    <author>Unknown Author</author>
  </authors>
  <commentList>
    <comment ref="A37" authorId="0">
      <text>
        <r>
          <rPr>
            <sz val="10"/>
            <rFont val="Arial"/>
            <family val="2"/>
          </rPr>
          <t xml:space="preserve">Kevin:
Embodied lever. Applies to substructure &amp; superstructure embodied carbon. Source range: −10–15% structural; cost +1–2% concrete.</t>
        </r>
      </text>
    </comment>
    <comment ref="A38" authorId="0">
      <text>
        <r>
          <rPr>
            <sz val="10"/>
            <rFont val="Arial"/>
            <family val="2"/>
          </rPr>
          <t xml:space="preserve">Kevin:
Operational lever. −80% operational vs current 50% PPA; market-neutral cost.</t>
        </r>
      </text>
    </comment>
    <comment ref="A39" authorId="0">
      <text>
        <r>
          <rPr>
            <sz val="10"/>
            <rFont val="Arial"/>
            <family val="2"/>
          </rPr>
          <t xml:space="preserve">Kevin:
Operational lever. −3–6% operational; cost +1–3% MEP.</t>
        </r>
      </text>
    </comment>
    <comment ref="A40" authorId="0">
      <text>
        <r>
          <rPr>
            <sz val="10"/>
            <rFont val="Arial"/>
            <family val="2"/>
          </rPr>
          <t xml:space="preserve">Kevin:
Operational lever. −8% operational; cost +2–4% cooling.</t>
        </r>
      </text>
    </comment>
    <comment ref="A41" authorId="0">
      <text>
        <r>
          <rPr>
            <sz val="10"/>
            <rFont val="Arial"/>
            <family val="2"/>
          </rPr>
          <t xml:space="preserve">Kevin:
Embodied lever. −1–2% embodied; cost neutral–small.</t>
        </r>
      </text>
    </comment>
    <comment ref="A54" authorId="0">
      <text>
        <r>
          <rPr>
            <sz val="10"/>
            <rFont val="Arial"/>
            <family val="2"/>
          </rPr>
          <t xml:space="preserve">Kevin:
Anchored to the BASE scenario (not the Active Scenario dropdown). This shows the standalone potential of the decarbonization levers measured from a standard build, so it is NOT directly comparable to the active-scenario lifecycle headline (A3). The Efficient scenario already embeds the PPA/PUE improvements these levers represent, so the two views are intentionally independent to avoid double-counting.</t>
        </r>
      </text>
    </comment>
    <comment ref="B7" authorId="0">
      <text>
        <r>
          <rPr>
            <sz val="10"/>
            <rFont val="Arial"/>
            <family val="2"/>
          </rPr>
          <t xml:space="preserve">Kevin:
Driven by Active Scenario (E5). Edit values in the Section 8 scenario table, or pick Custom and edit column E.</t>
        </r>
      </text>
    </comment>
    <comment ref="B10" authorId="0">
      <text>
        <r>
          <rPr>
            <sz val="10"/>
            <rFont val="Arial"/>
            <family val="2"/>
          </rPr>
          <t xml:space="preserve">Kevin:
Driven by Active Scenario (E5).</t>
        </r>
      </text>
    </comment>
    <comment ref="B11" authorId="0">
      <text>
        <r>
          <rPr>
            <sz val="10"/>
            <rFont val="Arial"/>
            <family val="2"/>
          </rPr>
          <t xml:space="preserve">Kevin:
Driven by Active Scenario (E5).</t>
        </r>
      </text>
    </comment>
    <comment ref="B57" authorId="0">
      <text>
        <r>
          <rPr>
            <sz val="10"/>
            <rFont val="Arial"/>
            <family val="2"/>
          </rPr>
          <t xml:space="preserve">Kevin:
Driven by Active Scenario (E5).</t>
        </r>
      </text>
    </comment>
    <comment ref="C38" authorId="0">
      <text>
        <r>
          <rPr>
            <sz val="10"/>
            <rFont val="Arial"/>
            <family val="2"/>
          </rPr>
          <t xml:space="preserve">Kevin:
Base-case lifetime operational carbon (anchored to Base scenario, independent of the Active Scenario dropdown).</t>
        </r>
      </text>
    </comment>
  </commentList>
</comments>
</file>

<file path=xl/sharedStrings.xml><?xml version="1.0" encoding="utf-8"?>
<sst xmlns="http://schemas.openxmlformats.org/spreadsheetml/2006/main" count="10657" uniqueCount="5263">
  <si>
    <t xml:space="preserve">WORKBOOK GUIDE  ·  INDEX &amp; READ ME</t>
  </si>
  <si>
    <t xml:space="preserve">Data Center Template, Northern Virginia — 90 MW Tier III hyperscale data center.  Owner-side cost estimate + capital-program controls toolkit.  Independent, illustrative model — not affiliated with any actual named project.</t>
  </si>
  <si>
    <t xml:space="preserve">TOTAL CAMPUS INVESTMENT</t>
  </si>
  <si>
    <t xml:space="preserve">IT CAPACITY  ·  COST / MW  ·  GROSS AREA  ·  TABS</t>
  </si>
  <si>
    <t xml:space="preserve">EXECUTIVE &amp; QA</t>
  </si>
  <si>
    <t xml:space="preserve">Executive summary — headline KPIs, five cost charts, six QC tie checks, and live delivery metrics (EVM / risk / procurement).</t>
  </si>
  <si>
    <t xml:space="preserve">Methodology, inclusions / exclusions, key assumptions, and the scenario-control &amp; value-engineering notes.</t>
  </si>
  <si>
    <t xml:space="preserve">COST ESTIMATE</t>
  </si>
  <si>
    <t xml:space="preserve">The estimate spine — 25 CSI divisions, ~400 line items building to the $1.09B grand total.</t>
  </si>
  <si>
    <t xml:space="preserve">Standard reference unit pricing; the active pricing tier (set on Scenario &amp; Presets) drives the estimate.</t>
  </si>
  <si>
    <t xml:space="preserve">Regional cost-adjustment factors for the Loudoun County, VA market.</t>
  </si>
  <si>
    <t xml:space="preserve">Carried allowances and priced add/deduct alternates.</t>
  </si>
  <si>
    <t xml:space="preserve">Civil / structural / architectural scope breakout.</t>
  </si>
  <si>
    <t xml:space="preserve">Estimate vs. subcontractor pricing by division.</t>
  </si>
  <si>
    <t xml:space="preserve">Client-facing cost summary (Turner &amp; Townsend format).</t>
  </si>
  <si>
    <t xml:space="preserve">CAMPUS &amp; PROGRAM</t>
  </si>
  <si>
    <t xml:space="preserve">Per-building + shared-infrastructure rollup to the campus total; the hub every other tab references.</t>
  </si>
  <si>
    <t xml:space="preserve">Six-building sequential deployment; Phase 1 reconciles exactly to this estimate, then escalates to build-out.</t>
  </si>
  <si>
    <t xml:space="preserve">Estimate evolution across design milestones (Concept → SD → DD → CD → GMP).</t>
  </si>
  <si>
    <t xml:space="preserve">DELIVERY CONTROLS</t>
  </si>
  <si>
    <t xml:space="preserve">Earned-value S-curve with SPI / CPI, EAC / ETC, and PV reconciliation to budget at completion.</t>
  </si>
  <si>
    <t xml:space="preserve">30-month construction draw / cash-flow schedule.</t>
  </si>
  <si>
    <t xml:space="preserve">Risk register, analytical P50 / P80 / P90, and a 10,000-iteration Monte Carlo vs. the carried contingency.</t>
  </si>
  <si>
    <t xml:space="preserve">Change orders with type / status / funding and a running contingency drawdown.</t>
  </si>
  <si>
    <t xml:space="preserve">Equipment lead times, back-calculated order-by dates, and escalation exposure with late-order flags.</t>
  </si>
  <si>
    <t xml:space="preserve">Construction Schedule</t>
  </si>
  <si>
    <t xml:space="preserve">Cradle-to-grave CPM master schedule — WBS, dependency-linked dates, critical path &amp; month-by-month Gantt; NTP tied to Construction Budget start.</t>
  </si>
  <si>
    <t xml:space="preserve">Schedule Acceleration</t>
  </si>
  <si>
    <t xml:space="preserve">Scenario model to recover schedule toward the Q3-2028 target — acceleration levers with day-savings, cost premium &amp; risk.</t>
  </si>
  <si>
    <t xml:space="preserve">DECISION SUPPORT</t>
  </si>
  <si>
    <t xml:space="preserve">Control panel — pricing tier, cooling technology, resiliency tier, redundancy, and density presets that drive the whole model.</t>
  </si>
  <si>
    <t xml:space="preserve">The live scenario beside three saved snapshots with $/MW deltas.</t>
  </si>
  <si>
    <t xml:space="preserve">VE log with accept / reject decisions and a live VE-adjusted total.</t>
  </si>
  <si>
    <t xml:space="preserve">Price normalization across bidders for a single package.</t>
  </si>
  <si>
    <t xml:space="preserve">Weighted CMAR / GMP scoring across six criteria with an auto recommendation.</t>
  </si>
  <si>
    <t xml:space="preserve">GC Bid Form</t>
  </si>
  <si>
    <t xml:space="preserve">Print-ready general-contractor bid form — 24 CSI divisions, alternates, unit prices, schedule, quals &amp; signature; prices feed Bid Leveling.</t>
  </si>
  <si>
    <t xml:space="preserve">Bid Cover Sheet</t>
  </si>
  <si>
    <t xml:space="preserve">Sealed-bid cover sheet / envelope label with required-documents checklist; auto-fills from the GC Bid Form.</t>
  </si>
  <si>
    <t xml:space="preserve">IT-load-driven electrical / cooling / space sizing, binding-constraint, and stranded-capacity analysis.</t>
  </si>
  <si>
    <t xml:space="preserve">Embodied + operational carbon vs. capex, with decarbonization levers.</t>
  </si>
  <si>
    <t xml:space="preserve">Eight-year total-cost-of-ownership model.</t>
  </si>
  <si>
    <t xml:space="preserve">OWNER ECONOMICS</t>
  </si>
  <si>
    <t xml:space="preserve">All-in owner budget — construction plus land, utility, owner PM/soft costs, financing (IDC) and contingency.</t>
  </si>
  <si>
    <t xml:space="preserve">NNN lease-up pro forma — unlevered IRR, NPV, yield-on-cost and a lease-rate x exit-cap sensitivity.</t>
  </si>
  <si>
    <t xml:space="preserve">Translates cost variance (EVM forecast + bids) into IRR, yield-on-cost and NPV impact.</t>
  </si>
  <si>
    <t xml:space="preserve">One-page committee view — capitalization, levered + unlevered returns, key risks and recommendation.</t>
  </si>
  <si>
    <t xml:space="preserve">Reconciles capital required (Uses = TDC) against funding (Sources = senior debt + sponsor equity).</t>
  </si>
  <si>
    <t xml:space="preserve">Sizes permanent debt to the binding covenant; levered equity IRR, multiple, cash-on-cash and DSCR.</t>
  </si>
  <si>
    <t xml:space="preserve">REFERENCE</t>
  </si>
  <si>
    <t xml:space="preserve">Three-source $/MW benchmark set (T&amp;T DCCI, Mortenson, CBRE).</t>
  </si>
  <si>
    <t xml:space="preserve">Comparable reference projects.</t>
  </si>
  <si>
    <t xml:space="preserve">HOW TO USE</t>
  </si>
  <si>
    <t xml:space="preserve">•</t>
  </si>
  <si>
    <t xml:space="preserve">Yellow cells are inputs; everything else is a live formula. Blue underlined names above jump to that sheet.</t>
  </si>
  <si>
    <t xml:space="preserve">Drive the model from Scenario &amp; Presets — pricing tier and cooling technology flow through every dependent tab automatically.</t>
  </si>
  <si>
    <t xml:space="preserve">Six QC ties on the Dashboard confirm the workbook stays internally reconciled; they should all read “✅ Tie.”</t>
  </si>
  <si>
    <t xml:space="preserve">Analysis tabs (EVM actuals, risk, procurement, capacity, carbon, bids, change orders, phasing) carry illustrative inputs that recalculate when real project data is entered.</t>
  </si>
  <si>
    <t xml:space="preserve">DATA CENTER CAMPUS</t>
  </si>
  <si>
    <t xml:space="preserve">TIER 1  ·  INVESTMENT &amp; RETURNS</t>
  </si>
  <si>
    <t xml:space="preserve">DEVELOPMENT COST (ALL-IN)</t>
  </si>
  <si>
    <t xml:space="preserve">SPONSOR EQUITY</t>
  </si>
  <si>
    <t xml:space="preserve">LEVERED EQUITY IRR</t>
  </si>
  <si>
    <t xml:space="preserve">EQUITY MULTIPLE (LEV.)</t>
  </si>
  <si>
    <t xml:space="preserve">UNLEVERED IRR</t>
  </si>
  <si>
    <t xml:space="preserve">STABILIZED YIELD-ON-COST</t>
  </si>
  <si>
    <t xml:space="preserve">STABILIZED DSCR</t>
  </si>
  <si>
    <t xml:space="preserve">DEVELOPMENT MARGIN</t>
  </si>
  <si>
    <t xml:space="preserve">Levered to sponsor equity — figures link live to Capital Stack &amp; Returns, Investment Pro Forma and Sources &amp; Uses.</t>
  </si>
  <si>
    <t xml:space="preserve">TIER 2  ·  COST &amp; BENCHMARKING</t>
  </si>
  <si>
    <t xml:space="preserve">IT CAPACITY</t>
  </si>
  <si>
    <t xml:space="preserve">COST PER MW</t>
  </si>
  <si>
    <t xml:space="preserve">GROSS BUILT AREA</t>
  </si>
  <si>
    <t xml:space="preserve">DESIGN SCENARIOS — CAMPUS COST BY CONFIGURATION (90 MW / 800K SF)</t>
  </si>
  <si>
    <t xml:space="preserve">COST EVOLUTION BY DESIGN MILESTONE</t>
  </si>
  <si>
    <t xml:space="preserve">Design Scenario</t>
  </si>
  <si>
    <t xml:space="preserve">CSA</t>
  </si>
  <si>
    <t xml:space="preserve">MEP</t>
  </si>
  <si>
    <t xml:space="preserve">Cx / GC / Soft</t>
  </si>
  <si>
    <t xml:space="preserve">Total</t>
  </si>
  <si>
    <t xml:space="preserve">$ / MW</t>
  </si>
  <si>
    <t xml:space="preserve">Enterprise</t>
  </si>
  <si>
    <t xml:space="preserve">Colocation</t>
  </si>
  <si>
    <t xml:space="preserve">Edge</t>
  </si>
  <si>
    <t xml:space="preserve">Typical (industry median)</t>
  </si>
  <si>
    <t xml:space="preserve">—</t>
  </si>
  <si>
    <t xml:space="preserve">All design scenarios are modeled (linked to Scenario Comparison). Enterprise &amp; Colocation share Air-Cooled's Mid · Chilled-Water cost — they differ only in tier / redundancy / density, which don't drive cost in this estimate. Typical = industry median $/MW × 90 MW.</t>
  </si>
  <si>
    <t xml:space="preserve">BENCHMARK POSITIONING</t>
  </si>
  <si>
    <t xml:space="preserve">INVESTMENT BY DISCIPLINE</t>
  </si>
  <si>
    <t xml:space="preserve">CURRENT ESTIMATE — $/MW</t>
  </si>
  <si>
    <t xml:space="preserve">INDUSTRY MEDIAN</t>
  </si>
  <si>
    <t xml:space="preserve">LOWEST COMPARABLE</t>
  </si>
  <si>
    <t xml:space="preserve">MEDIAN COMPARABLE</t>
  </si>
  <si>
    <t xml:space="preserve">HIGHEST COMPARABLE</t>
  </si>
  <si>
    <t xml:space="preserve">TIER 3  ·  DELIVERY &amp; CONTROLS</t>
  </si>
  <si>
    <t xml:space="preserve">KEY HIGHLIGHTS</t>
  </si>
  <si>
    <t xml:space="preserve">◆  ESTIMATE CONFIDENCE</t>
  </si>
  <si>
    <t xml:space="preserve">◆  VALUE ENGINEERING</t>
  </si>
  <si>
    <t xml:space="preserve">◆  TENDER READINESS</t>
  </si>
  <si>
    <t xml:space="preserve">QC CHECKS</t>
  </si>
  <si>
    <t xml:space="preserve">Construction Budget total = Campus Rollup total</t>
  </si>
  <si>
    <t xml:space="preserve">◆  SCOPE ADDS — ALLOWANCES &amp; ALTERNATES</t>
  </si>
  <si>
    <t xml:space="preserve">Client Proposal subtotal = sum of divisions</t>
  </si>
  <si>
    <t xml:space="preserve">CSA Summary total = Campus Rollup CSA</t>
  </si>
  <si>
    <t xml:space="preserve">Draw Schedule total = Construction Budget</t>
  </si>
  <si>
    <t xml:space="preserve">TCO sensitivity center = 8-yr TCO</t>
  </si>
  <si>
    <t xml:space="preserve">Cash Flow PV curve = Budget at Completion (BAC)</t>
  </si>
  <si>
    <t xml:space="preserve">Construction Budget ties to Unit Cost Database</t>
  </si>
  <si>
    <t xml:space="preserve">PROJECT CONTROLS — DELIVERY METRICS</t>
  </si>
  <si>
    <t xml:space="preserve">◆  SCHEDULE &amp; COST (EVM)</t>
  </si>
  <si>
    <t xml:space="preserve">◆  RISK-BASED CONTINGENCY</t>
  </si>
  <si>
    <t xml:space="preserve">◆  LONG-LEAD PROCUREMENT</t>
  </si>
  <si>
    <t xml:space="preserve">SCENARIO MODELING</t>
  </si>
  <si>
    <t xml:space="preserve">◆  ACTIVE CONFIGURATION</t>
  </si>
  <si>
    <t xml:space="preserve">◆  LIVE SCENARIO IMPACT</t>
  </si>
  <si>
    <t xml:space="preserve">◆  MODELED RANGE</t>
  </si>
  <si>
    <t xml:space="preserve">TIER 4  ·  SCENARIO &amp; COST BACK-UP</t>
  </si>
  <si>
    <t xml:space="preserve">SCENARIO COMPARISON  —  LIVE vs SAVED SNAPSHOTS</t>
  </si>
  <si>
    <t xml:space="preserve">Scenario</t>
  </si>
  <si>
    <t xml:space="preserve">Cooling Technology</t>
  </si>
  <si>
    <t xml:space="preserve">Total Estimate</t>
  </si>
  <si>
    <t xml:space="preserve">Δ vs Baseline</t>
  </si>
  <si>
    <t xml:space="preserve">Snapshots C–E are saved on the Scenario Comparison tab; re-capture after model edits. Live row reflects the current Scenario &amp; Presets configuration.</t>
  </si>
  <si>
    <t xml:space="preserve">COST ANALYSIS</t>
  </si>
  <si>
    <t xml:space="preserve">Cost breakdown by trade, capital by building, and unit cost vs. industry benchmark.</t>
  </si>
  <si>
    <t xml:space="preserve">CONSTRUCTION SCHEDULE</t>
  </si>
  <si>
    <t xml:space="preserve">Milestone completion dates across the build program — design through commissioning.</t>
  </si>
  <si>
    <t xml:space="preserve">TIER 5  ·  ENGINEERING, ESG &amp; PROGRAM DELIVERY</t>
  </si>
  <si>
    <t xml:space="preserve">◆  INVESTMENT COMMITTEE</t>
  </si>
  <si>
    <t xml:space="preserve">◆  DELIVERABLE CAPACITY</t>
  </si>
  <si>
    <t xml:space="preserve">◆  CHANGE ORDERS &amp; CONTINGENCY</t>
  </si>
  <si>
    <t xml:space="preserve">◆  LIFECYCLE CARBON</t>
  </si>
  <si>
    <t xml:space="preserve">◆  PHASED CAMPUS BUILD-OUT</t>
  </si>
  <si>
    <t xml:space="preserve">◆  SCHEDULE RECOVERY</t>
  </si>
  <si>
    <t xml:space="preserve">◆  ESTIMATE vs SUBCONTRACTOR BIDS</t>
  </si>
  <si>
    <t xml:space="preserve">All Tier 5 figures link live to their source tabs; values refresh automatically when the model changes.</t>
  </si>
  <si>
    <t xml:space="preserve">PROGRAM CONTROLS — CONTINGENCY &amp; PHASED BUILD-OUT</t>
  </si>
  <si>
    <t xml:space="preserve">Contingency balance vs. monitor/critical thresholds (Change Order Log) · cumulative capex and blended $/MW across the 6-building campus (Phased Capital Plan)</t>
  </si>
  <si>
    <t xml:space="preserve">SCENARIO &amp; PRESETS  —  PROJECT CONFIGURATION</t>
  </si>
  <si>
    <t xml:space="preserve">Pick an archetype preset for guidance, then set the active configuration. Pricing Tier and Cooling Technology drive the live estimate.</t>
  </si>
  <si>
    <t xml:space="preserve">1 · PROJECT ARCHETYPE PRESET</t>
  </si>
  <si>
    <t xml:space="preserve">Select Archetype:</t>
  </si>
  <si>
    <t xml:space="preserve">Hyperscale</t>
  </si>
  <si>
    <t xml:space="preserve">Recommended configuration</t>
  </si>
  <si>
    <t xml:space="preserve">Resiliency Tier:</t>
  </si>
  <si>
    <t xml:space="preserve">Redundancy:</t>
  </si>
  <si>
    <t xml:space="preserve">Rack Density:</t>
  </si>
  <si>
    <t xml:space="preserve">Cooling Technology:</t>
  </si>
  <si>
    <t xml:space="preserve">Pricing Tier:</t>
  </si>
  <si>
    <t xml:space="preserve">Expected $/MW band:</t>
  </si>
  <si>
    <t xml:space="preserve">2 · ACTIVE CONFIGURATION  (drives the live model)</t>
  </si>
  <si>
    <t xml:space="preserve">Low</t>
  </si>
  <si>
    <t xml:space="preserve">→ sets every unit cost (Unit Cost Database)</t>
  </si>
  <si>
    <t xml:space="preserve">Liquid-Cooled (DLC)</t>
  </si>
  <si>
    <t xml:space="preserve">→ toggles Division 23 cooling scope (air / chilled-water / liquid)</t>
  </si>
  <si>
    <t xml:space="preserve">Tier III</t>
  </si>
  <si>
    <t xml:space="preserve">→ documentation &amp; benchmark context</t>
  </si>
  <si>
    <t xml:space="preserve">N+1</t>
  </si>
  <si>
    <t xml:space="preserve">→ drives MEP via redundancy factor (critical power)</t>
  </si>
  <si>
    <t xml:space="preserve">High (15–30 kW)</t>
  </si>
  <si>
    <t xml:space="preserve">→ drives MEP via rack-density factor</t>
  </si>
  <si>
    <t xml:space="preserve">3 · LIVE SCENARIO IMPACT</t>
  </si>
  <si>
    <t xml:space="preserve">Estimate Total:</t>
  </si>
  <si>
    <t xml:space="preserve">Cost per MW:</t>
  </si>
  <si>
    <t xml:space="preserve">Selected-archetype band:</t>
  </si>
  <si>
    <t xml:space="preserve">Position vs archetype band:</t>
  </si>
  <si>
    <t xml:space="preserve">REFERENCE TABLES — used by the dropdowns above. Do not edit.</t>
  </si>
  <si>
    <t xml:space="preserve">Archetype</t>
  </si>
  <si>
    <t xml:space="preserve">Tier</t>
  </si>
  <si>
    <t xml:space="preserve">Redundancy</t>
  </si>
  <si>
    <t xml:space="preserve">Rack Density</t>
  </si>
  <si>
    <t xml:space="preserve">Pricing</t>
  </si>
  <si>
    <t xml:space="preserve">$/MW Low</t>
  </si>
  <si>
    <t xml:space="preserve">$/MW High</t>
  </si>
  <si>
    <t xml:space="preserve">Hybrid (As-Designed)</t>
  </si>
  <si>
    <t xml:space="preserve">Mid</t>
  </si>
  <si>
    <t xml:space="preserve">Tier III+</t>
  </si>
  <si>
    <t xml:space="preserve">2N</t>
  </si>
  <si>
    <t xml:space="preserve">Medium (8–15 kW)</t>
  </si>
  <si>
    <t xml:space="preserve">Chilled Water (Air-Cooled)</t>
  </si>
  <si>
    <t xml:space="preserve">Tier II</t>
  </si>
  <si>
    <t xml:space="preserve">Low (≤8 kW)</t>
  </si>
  <si>
    <t xml:space="preserve">AI / HPC</t>
  </si>
  <si>
    <t xml:space="preserve">Ultra (30+ kW)</t>
  </si>
  <si>
    <t xml:space="preserve">High</t>
  </si>
  <si>
    <t xml:space="preserve">COOLING TECHNOLOGY FACTORS (× Division 23 scope)</t>
  </si>
  <si>
    <t xml:space="preserve">Technology</t>
  </si>
  <si>
    <t xml:space="preserve">Air-side</t>
  </si>
  <si>
    <t xml:space="preserve">Chilled-water</t>
  </si>
  <si>
    <t xml:space="preserve">Liquid</t>
  </si>
  <si>
    <t xml:space="preserve">Full Immersion</t>
  </si>
  <si>
    <t xml:space="preserve">Active cooling factors →</t>
  </si>
  <si>
    <t xml:space="preserve">REDUNDANCY FACTORS (× critical-power train scope)</t>
  </si>
  <si>
    <t xml:space="preserve">Factor</t>
  </si>
  <si>
    <t xml:space="preserve">N</t>
  </si>
  <si>
    <t xml:space="preserve">2N+1</t>
  </si>
  <si>
    <t xml:space="preserve">Active redundancy factor →</t>
  </si>
  <si>
    <t xml:space="preserve">RACK DENSITY FACTORS (× rack cooling &amp; power scope)</t>
  </si>
  <si>
    <t xml:space="preserve">Density</t>
  </si>
  <si>
    <t xml:space="preserve">Active density factor →</t>
  </si>
  <si>
    <t xml:space="preserve">Critical-power share of MEP</t>
  </si>
  <si>
    <t xml:space="preserve">share of MEP that scales with redundancy (UPS/gen/distribution)</t>
  </si>
  <si>
    <t xml:space="preserve">MEP redundancy multiplier</t>
  </si>
  <si>
    <t xml:space="preserve">→ applied to MEP</t>
  </si>
  <si>
    <t xml:space="preserve">Active MEP config factor (× MEP)</t>
  </si>
  <si>
    <t xml:space="preserve">redundancy × rack-density; N+1 &amp; High = 1.00 (baseline)</t>
  </si>
  <si>
    <t xml:space="preserve">SCENARIO COMPARISON</t>
  </si>
  <si>
    <t xml:space="preserve">Column B is the recommended/live case. Reference columns reflect each archetype incl. redundancy &amp; rack-density drivers.</t>
  </si>
  <si>
    <t xml:space="preserve">★ RECOMMENDED</t>
  </si>
  <si>
    <t xml:space="preserve">Configuration</t>
  </si>
  <si>
    <t xml:space="preserve">Current (live)</t>
  </si>
  <si>
    <t xml:space="preserve">Reference — Hyperscale (Hybrid)</t>
  </si>
  <si>
    <t xml:space="preserve">Air-Cooled (Chilled Water)</t>
  </si>
  <si>
    <t xml:space="preserve">AI / HPC — Liquid Cooled</t>
  </si>
  <si>
    <t xml:space="preserve">Pricing Tier</t>
  </si>
  <si>
    <t xml:space="preserve">Resiliency Tier</t>
  </si>
  <si>
    <t xml:space="preserve">COST OUTCOMES</t>
  </si>
  <si>
    <t xml:space="preserve">Cost per MW</t>
  </si>
  <si>
    <t xml:space="preserve">CSA (Shell &amp; Structure)</t>
  </si>
  <si>
    <t xml:space="preserve">MEP (Mechanical / Electrical)</t>
  </si>
  <si>
    <t xml:space="preserve">Other (Commissioning, GC, Soft)</t>
  </si>
  <si>
    <t xml:space="preserve">COST vs BASELINE  (baseline = Reference — Hyperscale)</t>
  </si>
  <si>
    <t xml:space="preserve">Δ vs baseline ($)</t>
  </si>
  <si>
    <t xml:space="preserve">Δ vs baseline (%)</t>
  </si>
  <si>
    <t xml:space="preserve">$/MW vs median ($11.4M)</t>
  </si>
  <si>
    <t xml:space="preserve">VALUE-ENGINEERING OVERLAY  (recommended case)</t>
  </si>
  <si>
    <t xml:space="preserve">Active VE Scenario</t>
  </si>
  <si>
    <t xml:space="preserve">VE Savings (adopted)</t>
  </si>
  <si>
    <t xml:space="preserve">VE-Adjusted Total</t>
  </si>
  <si>
    <t xml:space="preserve">VE-Adjusted $/MW</t>
  </si>
  <si>
    <t xml:space="preserve">Each archetype now reflects its redundancy (2N vs N+1) and rack-density premium on MEP.</t>
  </si>
  <si>
    <t xml:space="preserve">CARBON &amp; SUSTAINABILITY</t>
  </si>
  <si>
    <t xml:space="preserve">Lifecycle Carbon (tCO₂e)</t>
  </si>
  <si>
    <t xml:space="preserve">Carbon Intensity (tCO₂e/SF)</t>
  </si>
  <si>
    <t xml:space="preserve">Annual Operational (tCO₂e/yr)</t>
  </si>
  <si>
    <t xml:space="preserve">Embodied Share (%)</t>
  </si>
  <si>
    <t xml:space="preserve">Annual Water (ML/yr)</t>
  </si>
  <si>
    <t xml:space="preserve">WUE (L/kWh)</t>
  </si>
  <si>
    <t xml:space="preserve">Carbon vs baseline (%)</t>
  </si>
  <si>
    <t xml:space="preserve">Carbon is driven by cooling strategy. Recommended Liquid-DLC design maps to the Efficient profile; Hyperscale-Hybrid baseline maps to Base. Air-cooled options (D–H) share modeled cost but differ in PUE/WUE — see the Carbon &amp; Sustainability tab to compare Efficient / Base / Conservative scenarios in full.</t>
  </si>
  <si>
    <t xml:space="preserve">DATA CENTER CONSTRUCTION BUDGET</t>
  </si>
  <si>
    <t xml:space="preserve">Project Name:</t>
  </si>
  <si>
    <t xml:space="preserve">Data Center Template, Northern Virginia</t>
  </si>
  <si>
    <t xml:space="preserve">Start Date:</t>
  </si>
  <si>
    <t xml:space="preserve">Project Location:</t>
  </si>
  <si>
    <t xml:space="preserve">Loudoun County, VA</t>
  </si>
  <si>
    <t xml:space="preserve">Target Completion:</t>
  </si>
  <si>
    <t xml:space="preserve">Q1 2029</t>
  </si>
  <si>
    <t xml:space="preserve">Owner / Client:</t>
  </si>
  <si>
    <t xml:space="preserve">Confidential Hyperscaler</t>
  </si>
  <si>
    <t xml:space="preserve">Architect / Engineer:</t>
  </si>
  <si>
    <t xml:space="preserve">HKS / Page Southerland Page</t>
  </si>
  <si>
    <t xml:space="preserve">Total Facility Area (SF):</t>
  </si>
  <si>
    <t xml:space="preserve">Halls / Pods:</t>
  </si>
  <si>
    <t xml:space="preserve">9 halls (3 per building × 3 bldgs)</t>
  </si>
  <si>
    <t xml:space="preserve">Tier Rating:</t>
  </si>
  <si>
    <t xml:space="preserve">Contingency %:</t>
  </si>
  <si>
    <t xml:space="preserve">Escalation %:</t>
  </si>
  <si>
    <t xml:space="preserve">Design PUE:</t>
  </si>
  <si>
    <t xml:space="preserve">Location Factor:</t>
  </si>
  <si>
    <t xml:space="preserve">Total IT Load (MW):</t>
  </si>
  <si>
    <t xml:space="preserve">Estimate Date:</t>
  </si>
  <si>
    <t xml:space="preserve">UPS Capacity (MW):</t>
  </si>
  <si>
    <t xml:space="preserve">Generator Capacity (MW):</t>
  </si>
  <si>
    <t xml:space="preserve">Cooling Capacity (tons):</t>
  </si>
  <si>
    <t xml:space="preserve">Raised Floor Area (SF):</t>
  </si>
  <si>
    <t xml:space="preserve">#</t>
  </si>
  <si>
    <t xml:space="preserve">CSI Code</t>
  </si>
  <si>
    <t xml:space="preserve">Description</t>
  </si>
  <si>
    <t xml:space="preserve">Qty</t>
  </si>
  <si>
    <t xml:space="preserve">Unit</t>
  </si>
  <si>
    <t xml:space="preserve">Unit Cost ($)</t>
  </si>
  <si>
    <t xml:space="preserve">Contingency %</t>
  </si>
  <si>
    <t xml:space="preserve">Extended Cost ($)</t>
  </si>
  <si>
    <t xml:space="preserve">Building</t>
  </si>
  <si>
    <t xml:space="preserve">Scope</t>
  </si>
  <si>
    <t xml:space="preserve">SOFT COSTS / PRE-CONSTRUCTION</t>
  </si>
  <si>
    <t xml:space="preserve">Soft</t>
  </si>
  <si>
    <t xml:space="preserve">SC 01 00</t>
  </si>
  <si>
    <t xml:space="preserve">Architectural &amp; Engineering Design Fees</t>
  </si>
  <si>
    <t xml:space="preserve">MW</t>
  </si>
  <si>
    <t xml:space="preserve">Shared</t>
  </si>
  <si>
    <t xml:space="preserve">SC 02 00</t>
  </si>
  <si>
    <t xml:space="preserve">MEP Engineering — Critical Systems Design</t>
  </si>
  <si>
    <t xml:space="preserve">SC 03 00</t>
  </si>
  <si>
    <t xml:space="preserve">Structural Engineering</t>
  </si>
  <si>
    <t xml:space="preserve">SC 04 00</t>
  </si>
  <si>
    <t xml:space="preserve">Civil Engineering &amp; Survey</t>
  </si>
  <si>
    <t xml:space="preserve">SC 05 00</t>
  </si>
  <si>
    <t xml:space="preserve">Geotechnical Investigation</t>
  </si>
  <si>
    <t xml:space="preserve">SC 06 00</t>
  </si>
  <si>
    <t xml:space="preserve">Environmental Consulting / Phase I ESA</t>
  </si>
  <si>
    <t xml:space="preserve">SC 07 00</t>
  </si>
  <si>
    <t xml:space="preserve">Permitting &amp; Entitlement Fees</t>
  </si>
  <si>
    <t xml:space="preserve">SC 08 00</t>
  </si>
  <si>
    <t xml:space="preserve">Utility Connection &amp; Impact Fees</t>
  </si>
  <si>
    <t xml:space="preserve">SC 09 00</t>
  </si>
  <si>
    <t xml:space="preserve">Third-Party Commissioning Agent (CxA)</t>
  </si>
  <si>
    <t xml:space="preserve">SC 10 00</t>
  </si>
  <si>
    <t xml:space="preserve">Uptime Institute Tier Certification</t>
  </si>
  <si>
    <t xml:space="preserve">LS</t>
  </si>
  <si>
    <t xml:space="preserve">SC 11 00</t>
  </si>
  <si>
    <t xml:space="preserve">LEED / Sustainability Certification</t>
  </si>
  <si>
    <t xml:space="preserve">SC 12 00</t>
  </si>
  <si>
    <t xml:space="preserve">Owner's Representative / PM Fees</t>
  </si>
  <si>
    <t xml:space="preserve">SC 13 00</t>
  </si>
  <si>
    <t xml:space="preserve">Legal &amp; Contract Administration</t>
  </si>
  <si>
    <t xml:space="preserve">SC 14 00</t>
  </si>
  <si>
    <t xml:space="preserve">Cost Estimating / QS Services</t>
  </si>
  <si>
    <t xml:space="preserve">SC 15 00</t>
  </si>
  <si>
    <t xml:space="preserve">Building Information Modeling (BIM)</t>
  </si>
  <si>
    <t xml:space="preserve">SC 16 00</t>
  </si>
  <si>
    <t xml:space="preserve">Third-Party Testing &amp; Inspection (IOR)</t>
  </si>
  <si>
    <t xml:space="preserve">SC 17 00</t>
  </si>
  <si>
    <t xml:space="preserve">FF&amp;E — NOC / SOC / Office Fit-Out</t>
  </si>
  <si>
    <t xml:space="preserve">SC 18 00</t>
  </si>
  <si>
    <t xml:space="preserve">Move Management &amp; Logistics</t>
  </si>
  <si>
    <t xml:space="preserve">Subtotal — SOFT COSTS / PRE-CONSTRUCTION</t>
  </si>
  <si>
    <t xml:space="preserve">GENERAL CONDITIONS &amp; REQUIREMENTS</t>
  </si>
  <si>
    <t xml:space="preserve">GC</t>
  </si>
  <si>
    <t xml:space="preserve">01 10 00</t>
  </si>
  <si>
    <t xml:space="preserve">Project Management &amp; Supervision</t>
  </si>
  <si>
    <t xml:space="preserve">01 20 00</t>
  </si>
  <si>
    <t xml:space="preserve">Price &amp; Payment Procedures</t>
  </si>
  <si>
    <t xml:space="preserve">01 30 00</t>
  </si>
  <si>
    <t xml:space="preserve">Administrative Requirements</t>
  </si>
  <si>
    <t xml:space="preserve">01 31 00</t>
  </si>
  <si>
    <t xml:space="preserve">Project Management Software (Procore/Primavera)</t>
  </si>
  <si>
    <t xml:space="preserve">01 40 00</t>
  </si>
  <si>
    <t xml:space="preserve">Quality Requirements — QA/QC Program</t>
  </si>
  <si>
    <t xml:space="preserve">01 50 00</t>
  </si>
  <si>
    <t xml:space="preserve">Temporary Facilities — Site Office, Laydown</t>
  </si>
  <si>
    <t xml:space="preserve">01 50 10</t>
  </si>
  <si>
    <t xml:space="preserve">Temporary Utilities — Power, Water, Sanitary</t>
  </si>
  <si>
    <t xml:space="preserve">01 51 00</t>
  </si>
  <si>
    <t xml:space="preserve">Temporary Construction — Fencing, Barriers</t>
  </si>
  <si>
    <t xml:space="preserve">01 52 00</t>
  </si>
  <si>
    <t xml:space="preserve">Construction Waste Management &amp; Recycling</t>
  </si>
  <si>
    <t xml:space="preserve">01 54 00</t>
  </si>
  <si>
    <t xml:space="preserve">Construction Cleaning — Progress &amp; Final</t>
  </si>
  <si>
    <t xml:space="preserve">01 55 00</t>
  </si>
  <si>
    <t xml:space="preserve">Vehicular Access &amp; Haul Roads</t>
  </si>
  <si>
    <t xml:space="preserve">01 56 00</t>
  </si>
  <si>
    <t xml:space="preserve">Environmental Protection</t>
  </si>
  <si>
    <t xml:space="preserve">01 60 00</t>
  </si>
  <si>
    <t xml:space="preserve">Product Requirements — Submittals &amp; Substitutions</t>
  </si>
  <si>
    <t xml:space="preserve">01 70 00</t>
  </si>
  <si>
    <t xml:space="preserve">Execution &amp; Closeout Requirements</t>
  </si>
  <si>
    <t xml:space="preserve">01 73 00</t>
  </si>
  <si>
    <t xml:space="preserve">Permits, Fees &amp; Inspections</t>
  </si>
  <si>
    <t xml:space="preserve">01 74 00</t>
  </si>
  <si>
    <t xml:space="preserve">Bonds — Performance &amp; Payment</t>
  </si>
  <si>
    <t xml:space="preserve">01 76 00</t>
  </si>
  <si>
    <t xml:space="preserve">Insurance — Builder's Risk, Wrap-Up</t>
  </si>
  <si>
    <t xml:space="preserve">01 78 00</t>
  </si>
  <si>
    <t xml:space="preserve">Closeout Submittals — As-Builts, Warranties</t>
  </si>
  <si>
    <t xml:space="preserve">Subtotal — GENERAL CONDITIONS &amp; REQUIREMENTS</t>
  </si>
  <si>
    <t xml:space="preserve">COMMISSIONING &amp; TESTING</t>
  </si>
  <si>
    <t xml:space="preserve">Cx</t>
  </si>
  <si>
    <t xml:space="preserve">CX 01 00</t>
  </si>
  <si>
    <t xml:space="preserve">Commissioning Management &amp; Administration</t>
  </si>
  <si>
    <t xml:space="preserve">All Buildings</t>
  </si>
  <si>
    <t xml:space="preserve">CX 02 00</t>
  </si>
  <si>
    <t xml:space="preserve">Level 1 Cx — Factory Witness Testing</t>
  </si>
  <si>
    <t xml:space="preserve">CX 03 00</t>
  </si>
  <si>
    <t xml:space="preserve">Level 2 Cx — Component Verification (Individual Equipment)</t>
  </si>
  <si>
    <t xml:space="preserve">CX 04 00</t>
  </si>
  <si>
    <t xml:space="preserve">Level 3 Cx — Subsystem Verification</t>
  </si>
  <si>
    <t xml:space="preserve">CX 05 00</t>
  </si>
  <si>
    <t xml:space="preserve">Level 4 Cx — System Verification (Integrated)</t>
  </si>
  <si>
    <t xml:space="preserve">CX 06 00</t>
  </si>
  <si>
    <t xml:space="preserve">Level 5 Cx — Integrated Systems Testing (IST)</t>
  </si>
  <si>
    <t xml:space="preserve">CX 07 00</t>
  </si>
  <si>
    <t xml:space="preserve">Performance Verification Testing</t>
  </si>
  <si>
    <t xml:space="preserve">CX 08 00</t>
  </si>
  <si>
    <t xml:space="preserve">Seasonal Testing — Summer / Winter Peaks</t>
  </si>
  <si>
    <t xml:space="preserve">CX 09 00</t>
  </si>
  <si>
    <t xml:space="preserve">Failure Mode &amp; Effects Testing (FMEA)</t>
  </si>
  <si>
    <t xml:space="preserve">CX 10 00</t>
  </si>
  <si>
    <t xml:space="preserve">Documentation — O&amp;M Manuals, As-Builts</t>
  </si>
  <si>
    <t xml:space="preserve">CX 11 00</t>
  </si>
  <si>
    <t xml:space="preserve">Staff Training — Critical Systems Operation</t>
  </si>
  <si>
    <t xml:space="preserve">CX 12 00</t>
  </si>
  <si>
    <t xml:space="preserve">Uptime Institute Tier Certification Support</t>
  </si>
  <si>
    <t xml:space="preserve">CX 13 00</t>
  </si>
  <si>
    <t xml:space="preserve">Temporary Provisions — Load Banks for IST</t>
  </si>
  <si>
    <t xml:space="preserve">CX 14 00</t>
  </si>
  <si>
    <t xml:space="preserve">Deficiency Tracking &amp; Remediation</t>
  </si>
  <si>
    <t xml:space="preserve">Subtotal — COMMISSIONING &amp; TESTING</t>
  </si>
  <si>
    <t xml:space="preserve">DIVISION 03 — CONCRETE</t>
  </si>
  <si>
    <t xml:space="preserve">03 10 00</t>
  </si>
  <si>
    <t xml:space="preserve">Concrete Formwork — Foundations</t>
  </si>
  <si>
    <t xml:space="preserve">03 20 00</t>
  </si>
  <si>
    <t xml:space="preserve">Concrete Reinforcement — Rebar</t>
  </si>
  <si>
    <t xml:space="preserve">03 30 00</t>
  </si>
  <si>
    <t xml:space="preserve">Cast-in-Place — Foundation Walls</t>
  </si>
  <si>
    <t xml:space="preserve">03 30 10</t>
  </si>
  <si>
    <t xml:space="preserve">Cast-in-Place — Equipment Pads (Generator, Chiller, Transformer)</t>
  </si>
  <si>
    <t xml:space="preserve">03 30 20</t>
  </si>
  <si>
    <t xml:space="preserve">Cast-in-Place — Elevated Slabs  — breakdown ↓</t>
  </si>
  <si>
    <t xml:space="preserve">3 30 21</t>
  </si>
  <si>
    <t xml:space="preserve">      • Elevated Slabs — Concrete</t>
  </si>
  <si>
    <t xml:space="preserve">3 30 22</t>
  </si>
  <si>
    <t xml:space="preserve">      • Elevated Slabs — Rebar</t>
  </si>
  <si>
    <t xml:space="preserve">3 30 23</t>
  </si>
  <si>
    <t xml:space="preserve">      • Elevated Slabs — Forming</t>
  </si>
  <si>
    <t xml:space="preserve">3 30 24</t>
  </si>
  <si>
    <t xml:space="preserve">      • Elevated Slabs — Finishing</t>
  </si>
  <si>
    <t xml:space="preserve">03 30 30</t>
  </si>
  <si>
    <t xml:space="preserve">Cast-in-Place — Slab on Grade (Data Halls)  — breakdown ↓</t>
  </si>
  <si>
    <t xml:space="preserve">3 30 31</t>
  </si>
  <si>
    <t xml:space="preserve">      • Slab on Grade — Concrete</t>
  </si>
  <si>
    <t xml:space="preserve">3 30 32</t>
  </si>
  <si>
    <t xml:space="preserve">      • Slab on Grade — Reinforcement</t>
  </si>
  <si>
    <t xml:space="preserve">3 30 33</t>
  </si>
  <si>
    <t xml:space="preserve">      • Slab on Grade — Finishing &amp; Curing</t>
  </si>
  <si>
    <t xml:space="preserve">3 30 34</t>
  </si>
  <si>
    <t xml:space="preserve">      • Slab on Grade — Vapor Barrier Prep</t>
  </si>
  <si>
    <t xml:space="preserve">03 30 40</t>
  </si>
  <si>
    <t xml:space="preserve">Cast-in-Place — Loading Dock / Ramps</t>
  </si>
  <si>
    <t xml:space="preserve">03 35 00</t>
  </si>
  <si>
    <t xml:space="preserve">Concrete Finishing — Data Hall Floor Flatness (FF/FL)</t>
  </si>
  <si>
    <t xml:space="preserve">03 40 00</t>
  </si>
  <si>
    <t xml:space="preserve">Precast Concrete — Tilt-Up Panels  — breakdown ↓</t>
  </si>
  <si>
    <t xml:space="preserve">3 40 01</t>
  </si>
  <si>
    <t xml:space="preserve">      • Tilt-Up — Panel Fabrication</t>
  </si>
  <si>
    <t xml:space="preserve">3 40 02</t>
  </si>
  <si>
    <t xml:space="preserve">      • Tilt-Up — Erection &amp; Bracing</t>
  </si>
  <si>
    <t xml:space="preserve">3 40 03</t>
  </si>
  <si>
    <t xml:space="preserve">      • Tilt-Up — Connections &amp; Joints</t>
  </si>
  <si>
    <t xml:space="preserve">3 40 04</t>
  </si>
  <si>
    <t xml:space="preserve">      • Tilt-Up — Finishing</t>
  </si>
  <si>
    <t xml:space="preserve">03 41 00</t>
  </si>
  <si>
    <t xml:space="preserve">Precast Structural Members</t>
  </si>
  <si>
    <t xml:space="preserve">03 05 00</t>
  </si>
  <si>
    <t xml:space="preserve">Concrete Accessories — Embeds, Anchors</t>
  </si>
  <si>
    <t xml:space="preserve">03 15 00</t>
  </si>
  <si>
    <t xml:space="preserve">Under-Slab Vapor Barrier &amp; Joints</t>
  </si>
  <si>
    <t xml:space="preserve">03 30 70</t>
  </si>
  <si>
    <t xml:space="preserve">Concrete Testing &amp; Inspection</t>
  </si>
  <si>
    <t xml:space="preserve">03 30 80</t>
  </si>
  <si>
    <t xml:space="preserve">Cast-in-Place — Mat Foundation / Raft  — breakdown ↓</t>
  </si>
  <si>
    <t xml:space="preserve">3 30 81</t>
  </si>
  <si>
    <t xml:space="preserve">      • Mat Foundation — Concrete</t>
  </si>
  <si>
    <t xml:space="preserve">3 30 82</t>
  </si>
  <si>
    <t xml:space="preserve">      • Mat Foundation — Rebar</t>
  </si>
  <si>
    <t xml:space="preserve">3 30 83</t>
  </si>
  <si>
    <t xml:space="preserve">      • Mat Foundation — Forming &amp; Finishing</t>
  </si>
  <si>
    <t xml:space="preserve">03 30 95</t>
  </si>
  <si>
    <t xml:space="preserve">Cast-in-Place — Pile Caps &amp; Grade Beams</t>
  </si>
  <si>
    <t xml:space="preserve">03 35 50</t>
  </si>
  <si>
    <t xml:space="preserve">Concrete Floor Hardener &amp; Sealer</t>
  </si>
  <si>
    <t xml:space="preserve">03 15 50</t>
  </si>
  <si>
    <t xml:space="preserve">Waterstops &amp; Construction Joints</t>
  </si>
  <si>
    <t xml:space="preserve">03 62 50</t>
  </si>
  <si>
    <t xml:space="preserve">Non-Shrink Grout — Equipment Base Plates</t>
  </si>
  <si>
    <t xml:space="preserve">03 11 50</t>
  </si>
  <si>
    <t xml:space="preserve">Concrete Formwork — Walls &amp; Columns</t>
  </si>
  <si>
    <t xml:space="preserve">Subtotal — CONCRETE</t>
  </si>
  <si>
    <t xml:space="preserve">DIVISION 04 — MASONRY</t>
  </si>
  <si>
    <t xml:space="preserve">04 05 00</t>
  </si>
  <si>
    <t xml:space="preserve">Masonry Common Work — Mortar, Grout &amp; Reinforcing</t>
  </si>
  <si>
    <t xml:space="preserve">04 20 00</t>
  </si>
  <si>
    <t xml:space="preserve">CMU — Fire-Rated Walls (Electrical / UPS / Battery Rooms)  — breakdown ↓</t>
  </si>
  <si>
    <t xml:space="preserve">4 20 01</t>
  </si>
  <si>
    <t xml:space="preserve">      • CMU Walls — Block &amp; Mortar</t>
  </si>
  <si>
    <t xml:space="preserve">4 20 02</t>
  </si>
  <si>
    <t xml:space="preserve">      • CMU Walls — Reinforcing &amp; Grout</t>
  </si>
  <si>
    <t xml:space="preserve">4 20 03</t>
  </si>
  <si>
    <t xml:space="preserve">      • CMU Walls — Install</t>
  </si>
  <si>
    <t xml:space="preserve">04 20 10</t>
  </si>
  <si>
    <t xml:space="preserve">CMU — Generator Yard Screen Walls</t>
  </si>
  <si>
    <t xml:space="preserve">04 22 00</t>
  </si>
  <si>
    <t xml:space="preserve">Reinforced Masonry — Security / Blast-Resistant Walls</t>
  </si>
  <si>
    <t xml:space="preserve">04 23 00</t>
  </si>
  <si>
    <t xml:space="preserve">Architectural Masonry Veneer — Office / Entry</t>
  </si>
  <si>
    <t xml:space="preserve">04 01 00</t>
  </si>
  <si>
    <t xml:space="preserve">Masonry Cleaning, Sealing &amp; Restoration</t>
  </si>
  <si>
    <t xml:space="preserve">04 73 00</t>
  </si>
  <si>
    <t xml:space="preserve">Manufactured Stone Veneer — Entry</t>
  </si>
  <si>
    <t xml:space="preserve">04 21 50</t>
  </si>
  <si>
    <t xml:space="preserve">Brick Veneer — Office Facade</t>
  </si>
  <si>
    <t xml:space="preserve">Subtotal — MASONRY</t>
  </si>
  <si>
    <t xml:space="preserve">DIVISION 05 — METALS / STRUCTURAL STEEL</t>
  </si>
  <si>
    <t xml:space="preserve">05 12 00</t>
  </si>
  <si>
    <t xml:space="preserve">Structural Steel Framing — Building  — breakdown ↓</t>
  </si>
  <si>
    <t xml:space="preserve">5 12 01</t>
  </si>
  <si>
    <t xml:space="preserve">      • Steel — Fabricated (Columns/Beams)</t>
  </si>
  <si>
    <t xml:space="preserve">5 12 02</t>
  </si>
  <si>
    <t xml:space="preserve">      • Steel — Erection &amp; Connections</t>
  </si>
  <si>
    <t xml:space="preserve">5 12 03</t>
  </si>
  <si>
    <t xml:space="preserve">      • Steel — Shop Priming &amp; Coatings</t>
  </si>
  <si>
    <t xml:space="preserve">5 12 04</t>
  </si>
  <si>
    <t xml:space="preserve">      • Steel — Detailing &amp; Engineering</t>
  </si>
  <si>
    <t xml:space="preserve">05 12 10</t>
  </si>
  <si>
    <t xml:space="preserve">Structural Steel — Mezzanine / Elevated Platforms</t>
  </si>
  <si>
    <t xml:space="preserve">05 12 20</t>
  </si>
  <si>
    <t xml:space="preserve">Structural Steel — Generator / Equipment Support  — breakdown ↓</t>
  </si>
  <si>
    <t xml:space="preserve">5 12 21</t>
  </si>
  <si>
    <t xml:space="preserve">      • Gen Steel — Fabricated</t>
  </si>
  <si>
    <t xml:space="preserve">5 12 22</t>
  </si>
  <si>
    <t xml:space="preserve">      • Gen Steel — Erection</t>
  </si>
  <si>
    <t xml:space="preserve">5 12 23</t>
  </si>
  <si>
    <t xml:space="preserve">      • Gen Steel — Coatings</t>
  </si>
  <si>
    <t xml:space="preserve">05 21 00</t>
  </si>
  <si>
    <t xml:space="preserve">Steel Joists  — breakdown ↓</t>
  </si>
  <si>
    <t xml:space="preserve">5 21 01</t>
  </si>
  <si>
    <t xml:space="preserve">      • Steel Joists — Joists</t>
  </si>
  <si>
    <t xml:space="preserve">5 21 02</t>
  </si>
  <si>
    <t xml:space="preserve">      • Steel Joists — Erection</t>
  </si>
  <si>
    <t xml:space="preserve">5 21 03</t>
  </si>
  <si>
    <t xml:space="preserve">      • Steel Joists — Accessories</t>
  </si>
  <si>
    <t xml:space="preserve">05 31 00</t>
  </si>
  <si>
    <t xml:space="preserve">Steel Decking — Roof  — breakdown ↓</t>
  </si>
  <si>
    <t xml:space="preserve">5 31 01</t>
  </si>
  <si>
    <t xml:space="preserve">      • Roof Deck — Decking</t>
  </si>
  <si>
    <t xml:space="preserve">5 31 02</t>
  </si>
  <si>
    <t xml:space="preserve">      • Roof Deck — Fasteners &amp; Accessories</t>
  </si>
  <si>
    <t xml:space="preserve">5 31 03</t>
  </si>
  <si>
    <t xml:space="preserve">      • Roof Deck — Install</t>
  </si>
  <si>
    <t xml:space="preserve">05 31 10</t>
  </si>
  <si>
    <t xml:space="preserve">Steel Decking — Elevated Floors</t>
  </si>
  <si>
    <t xml:space="preserve">05 40 00</t>
  </si>
  <si>
    <t xml:space="preserve">Cold-Formed Metal Framing  — breakdown ↓</t>
  </si>
  <si>
    <t xml:space="preserve">5 40 01</t>
  </si>
  <si>
    <t xml:space="preserve">      • CFMF — Studs &amp; Track</t>
  </si>
  <si>
    <t xml:space="preserve">5 40 02</t>
  </si>
  <si>
    <t xml:space="preserve">      • CFMF — Install</t>
  </si>
  <si>
    <t xml:space="preserve">5 40 03</t>
  </si>
  <si>
    <t xml:space="preserve">      • CFMF — Sheathing Attachment</t>
  </si>
  <si>
    <t xml:space="preserve">05 50 00</t>
  </si>
  <si>
    <t xml:space="preserve">Metal Fabrications — Stairs, Railings, Ladders</t>
  </si>
  <si>
    <t xml:space="preserve">05 51 00</t>
  </si>
  <si>
    <t xml:space="preserve">Metal Stairs — Interior</t>
  </si>
  <si>
    <t xml:space="preserve">05 52 00</t>
  </si>
  <si>
    <t xml:space="preserve">Pipe / Equipment Supports — Seismic Bracing  — breakdown ↓</t>
  </si>
  <si>
    <t xml:space="preserve">5 52 01</t>
  </si>
  <si>
    <t xml:space="preserve">      • Seismic Supports — Steel &amp; Bracing</t>
  </si>
  <si>
    <t xml:space="preserve">5 52 02</t>
  </si>
  <si>
    <t xml:space="preserve">      • Seismic Supports — Snubbers &amp; Isolators</t>
  </si>
  <si>
    <t xml:space="preserve">5 52 03</t>
  </si>
  <si>
    <t xml:space="preserve">      • Seismic Supports — Anchorage &amp; Install</t>
  </si>
  <si>
    <t xml:space="preserve">05 53 00</t>
  </si>
  <si>
    <t xml:space="preserve">Cable Tray / Ladder Rack Support Steel</t>
  </si>
  <si>
    <t xml:space="preserve">05 12 50</t>
  </si>
  <si>
    <t xml:space="preserve">Anchor Bolts &amp; Embed Plates — Structural</t>
  </si>
  <si>
    <t xml:space="preserve">05 31 50</t>
  </si>
  <si>
    <t xml:space="preserve">Equipment / Roof Screen Framing</t>
  </si>
  <si>
    <t xml:space="preserve">05 51 50</t>
  </si>
  <si>
    <t xml:space="preserve">Catwalks &amp; Crossover Platforms</t>
  </si>
  <si>
    <t xml:space="preserve">05 50 60</t>
  </si>
  <si>
    <t xml:space="preserve">Loose Lintels &amp; Misc Embedded Steel</t>
  </si>
  <si>
    <t xml:space="preserve">05 53 50</t>
  </si>
  <si>
    <t xml:space="preserve">Metal Bar Grating — Trenches / Pits</t>
  </si>
  <si>
    <t xml:space="preserve">Subtotal — METALS / STRUCTURAL STEEL</t>
  </si>
  <si>
    <t xml:space="preserve">DIVISION 06 — WOOD, PLASTICS &amp; COMPOSITES</t>
  </si>
  <si>
    <t xml:space="preserve">06 10 00</t>
  </si>
  <si>
    <t xml:space="preserve">Rough Carpentry — Blocking, Nailers &amp; Curbs</t>
  </si>
  <si>
    <t xml:space="preserve">06 16 00</t>
  </si>
  <si>
    <t xml:space="preserve">Sheathing — Roof / Wall</t>
  </si>
  <si>
    <t xml:space="preserve">06 64 00</t>
  </si>
  <si>
    <t xml:space="preserve">FRP Wall Liner Panels — Wet / Service Areas</t>
  </si>
  <si>
    <t xml:space="preserve">06 83 00</t>
  </si>
  <si>
    <t xml:space="preserve">Fiberglass Grating — Equipment Platforms / Trenches</t>
  </si>
  <si>
    <t xml:space="preserve">06 10 10</t>
  </si>
  <si>
    <t xml:space="preserve">Plywood Backboards — Telecom / Electrical</t>
  </si>
  <si>
    <t xml:space="preserve">06 41 00</t>
  </si>
  <si>
    <t xml:space="preserve">Architectural Millwork — Lobby / Reception</t>
  </si>
  <si>
    <t xml:space="preserve">6 64 01</t>
  </si>
  <si>
    <t xml:space="preserve">Solid Surface Fabrications — Reception / Break</t>
  </si>
  <si>
    <t xml:space="preserve">Subtotal — WOOD, PLASTICS &amp; COMPOSITES</t>
  </si>
  <si>
    <t xml:space="preserve">DIVISION 07 — THERMAL &amp; MOISTURE PROTECTION</t>
  </si>
  <si>
    <t xml:space="preserve">07 11 00</t>
  </si>
  <si>
    <t xml:space="preserve">Dampproofing — Foundation</t>
  </si>
  <si>
    <t xml:space="preserve">07 13 00</t>
  </si>
  <si>
    <t xml:space="preserve">Sheet Membrane Waterproofing</t>
  </si>
  <si>
    <t xml:space="preserve">07 21 00</t>
  </si>
  <si>
    <t xml:space="preserve">Building Insulation — Walls  — breakdown ↓</t>
  </si>
  <si>
    <t xml:space="preserve">7 21 01</t>
  </si>
  <si>
    <t xml:space="preserve">      • Wall Insulation — Insulation</t>
  </si>
  <si>
    <t xml:space="preserve">7 21 02</t>
  </si>
  <si>
    <t xml:space="preserve">      • Wall Insulation — Vapor Barrier</t>
  </si>
  <si>
    <t xml:space="preserve">7 21 03</t>
  </si>
  <si>
    <t xml:space="preserve">      • Wall Insulation — Install</t>
  </si>
  <si>
    <t xml:space="preserve">07 22 00</t>
  </si>
  <si>
    <t xml:space="preserve">Roof Insulation  — breakdown ↓</t>
  </si>
  <si>
    <t xml:space="preserve">7 22 01</t>
  </si>
  <si>
    <t xml:space="preserve">      • Roof Insulation — Board</t>
  </si>
  <si>
    <t xml:space="preserve">7 22 02</t>
  </si>
  <si>
    <t xml:space="preserve">      • Roof Insulation — Fasteners &amp; Adhesive</t>
  </si>
  <si>
    <t xml:space="preserve">7 22 03</t>
  </si>
  <si>
    <t xml:space="preserve">      • Roof Insulation — Install</t>
  </si>
  <si>
    <t xml:space="preserve">07 41 00</t>
  </si>
  <si>
    <t xml:space="preserve">Metal Wall Panels — Insulated  — breakdown ↓</t>
  </si>
  <si>
    <t xml:space="preserve">7 41 01</t>
  </si>
  <si>
    <t xml:space="preserve">      • Wall Panels — Panels &amp; Insulation</t>
  </si>
  <si>
    <t xml:space="preserve">7 41 02</t>
  </si>
  <si>
    <t xml:space="preserve">      • Wall Panels — Subgirts &amp; Attachment</t>
  </si>
  <si>
    <t xml:space="preserve">7 41 03</t>
  </si>
  <si>
    <t xml:space="preserve">      • Wall Panels — Flashing &amp; Trim</t>
  </si>
  <si>
    <t xml:space="preserve">07 42 00</t>
  </si>
  <si>
    <t xml:space="preserve">Metal Soffit Panels</t>
  </si>
  <si>
    <t xml:space="preserve">07 51 00</t>
  </si>
  <si>
    <t xml:space="preserve">Built-Up Roofing (BUR) / Modified Bitumen</t>
  </si>
  <si>
    <t xml:space="preserve">07 52 00</t>
  </si>
  <si>
    <t xml:space="preserve">Single-Ply Membrane Roofing (TPO/EPDM)  — breakdown ↓</t>
  </si>
  <si>
    <t xml:space="preserve">7 52 01</t>
  </si>
  <si>
    <t xml:space="preserve">      • TPO Roofing — Membrane &amp; Insulation</t>
  </si>
  <si>
    <t xml:space="preserve">7 52 02</t>
  </si>
  <si>
    <t xml:space="preserve">      • TPO Roofing — Fasteners &amp; Adhesive</t>
  </si>
  <si>
    <t xml:space="preserve">7 52 03</t>
  </si>
  <si>
    <t xml:space="preserve">      • TPO Roofing — Flashing &amp; Details</t>
  </si>
  <si>
    <t xml:space="preserve">07 62 00</t>
  </si>
  <si>
    <t xml:space="preserve">Sheet Metal Flashing &amp; Trim</t>
  </si>
  <si>
    <t xml:space="preserve">07 71 00</t>
  </si>
  <si>
    <t xml:space="preserve">Roof Specialties — Hatches, Vents, Curbs</t>
  </si>
  <si>
    <t xml:space="preserve">07 72 00</t>
  </si>
  <si>
    <t xml:space="preserve">Roof Accessories — Walkway Pads, Fall Protection</t>
  </si>
  <si>
    <t xml:space="preserve">07 81 00</t>
  </si>
  <si>
    <t xml:space="preserve">Applied Fireproofing — Spray  — breakdown ↓</t>
  </si>
  <si>
    <t xml:space="preserve">7 81 01</t>
  </si>
  <si>
    <t xml:space="preserve">      • Fireproofing — Material &amp; Application</t>
  </si>
  <si>
    <t xml:space="preserve">7 81 02</t>
  </si>
  <si>
    <t xml:space="preserve">      • Fireproofing — Prep &amp; Masking</t>
  </si>
  <si>
    <t xml:space="preserve">7 81 03</t>
  </si>
  <si>
    <t xml:space="preserve">      • Fireproofing — Patching &amp; Touch-Up</t>
  </si>
  <si>
    <t xml:space="preserve">07 84 00</t>
  </si>
  <si>
    <t xml:space="preserve">Firestopping / Penetration Sealing</t>
  </si>
  <si>
    <t xml:space="preserve">07 92 00</t>
  </si>
  <si>
    <t xml:space="preserve">Joint Sealants</t>
  </si>
  <si>
    <t xml:space="preserve">07 27 00</t>
  </si>
  <si>
    <t xml:space="preserve">Air &amp; Vapor Barrier — Building Envelope</t>
  </si>
  <si>
    <t xml:space="preserve">07 95 00</t>
  </si>
  <si>
    <t xml:space="preserve">Expansion Joint Cover Assemblies</t>
  </si>
  <si>
    <t xml:space="preserve">07 18 00</t>
  </si>
  <si>
    <t xml:space="preserve">Traffic Coating — Ramps / Parking Deck</t>
  </si>
  <si>
    <t xml:space="preserve">07 72 50</t>
  </si>
  <si>
    <t xml:space="preserve">Roof Walkway / Equipment Ballast Pavers</t>
  </si>
  <si>
    <t xml:space="preserve">7 71 01</t>
  </si>
  <si>
    <t xml:space="preserve">Gutters, Downspouts &amp; Scuppers</t>
  </si>
  <si>
    <t xml:space="preserve">07 13 50</t>
  </si>
  <si>
    <t xml:space="preserve">Below-Grade Waterproofing — Pits / Vaults</t>
  </si>
  <si>
    <t xml:space="preserve">Subtotal — THERMAL &amp; MOISTURE PROTECTION</t>
  </si>
  <si>
    <t xml:space="preserve">DIVISION 08 — OPENINGS</t>
  </si>
  <si>
    <t xml:space="preserve">08 11 00</t>
  </si>
  <si>
    <t xml:space="preserve">Hollow Metal Doors &amp; Frames — Interior</t>
  </si>
  <si>
    <t xml:space="preserve">08 11 10</t>
  </si>
  <si>
    <t xml:space="preserve">Hollow Metal Doors &amp; Frames — Exterior</t>
  </si>
  <si>
    <t xml:space="preserve">08 14 00</t>
  </si>
  <si>
    <t xml:space="preserve">Acoustical Doors — Generator / Mech Rooms</t>
  </si>
  <si>
    <t xml:space="preserve">08 31 00</t>
  </si>
  <si>
    <t xml:space="preserve">Access Doors &amp; Panels</t>
  </si>
  <si>
    <t xml:space="preserve">08 33 00</t>
  </si>
  <si>
    <t xml:space="preserve">Overhead Coiling Doors — Loading Dock</t>
  </si>
  <si>
    <t xml:space="preserve">08 34 00</t>
  </si>
  <si>
    <t xml:space="preserve">High-Speed Roll-Up Doors</t>
  </si>
  <si>
    <t xml:space="preserve">08 36 00</t>
  </si>
  <si>
    <t xml:space="preserve">Sectional Overhead Doors</t>
  </si>
  <si>
    <t xml:space="preserve">08 41 00</t>
  </si>
  <si>
    <t xml:space="preserve">Aluminum Entrances — Storefront</t>
  </si>
  <si>
    <t xml:space="preserve">08 44 00</t>
  </si>
  <si>
    <t xml:space="preserve">Curtain Wall System  — breakdown ↓</t>
  </si>
  <si>
    <t xml:space="preserve">8 44 01</t>
  </si>
  <si>
    <t xml:space="preserve">      • Curtain Wall — Framing &amp; Glazing</t>
  </si>
  <si>
    <t xml:space="preserve">8 44 02</t>
  </si>
  <si>
    <t xml:space="preserve">      • Curtain Wall — Install</t>
  </si>
  <si>
    <t xml:space="preserve">8 44 03</t>
  </si>
  <si>
    <t xml:space="preserve">      • Curtain Wall — Sealants &amp; Flashing</t>
  </si>
  <si>
    <t xml:space="preserve">08 51 00</t>
  </si>
  <si>
    <t xml:space="preserve">Aluminum Windows</t>
  </si>
  <si>
    <t xml:space="preserve">08 71 00</t>
  </si>
  <si>
    <t xml:space="preserve">Door Hardware — Standard</t>
  </si>
  <si>
    <t xml:space="preserve">08 71 10</t>
  </si>
  <si>
    <t xml:space="preserve">Door Hardware — Electrified (Access Control)</t>
  </si>
  <si>
    <t xml:space="preserve">08 80 00</t>
  </si>
  <si>
    <t xml:space="preserve">Glazing</t>
  </si>
  <si>
    <t xml:space="preserve">08 81 00</t>
  </si>
  <si>
    <t xml:space="preserve">Security Glazing — Blast Rated</t>
  </si>
  <si>
    <t xml:space="preserve">08 90 00</t>
  </si>
  <si>
    <t xml:space="preserve">Louvers &amp; Mechanical Vents</t>
  </si>
  <si>
    <t xml:space="preserve">08 31 50</t>
  </si>
  <si>
    <t xml:space="preserve">Fire-Rated Door Assemblies — Rated Corridors</t>
  </si>
  <si>
    <t xml:space="preserve">08 62 00</t>
  </si>
  <si>
    <t xml:space="preserve">Skylights / Glazed Smoke Vents</t>
  </si>
  <si>
    <t xml:space="preserve">08 71 60</t>
  </si>
  <si>
    <t xml:space="preserve">Automatic Door Operators — ADA / Vestibule</t>
  </si>
  <si>
    <t xml:space="preserve">8 14 01</t>
  </si>
  <si>
    <t xml:space="preserve">Wood Doors — Office / Administrative</t>
  </si>
  <si>
    <t xml:space="preserve">8 36 01</t>
  </si>
  <si>
    <t xml:space="preserve">Sectional Overhead Doors — Loading / Service</t>
  </si>
  <si>
    <t xml:space="preserve">8 71 01</t>
  </si>
  <si>
    <t xml:space="preserve">Door Hardware Sets — Finish Hardware</t>
  </si>
  <si>
    <t xml:space="preserve">Subtotal — OPENINGS</t>
  </si>
  <si>
    <t xml:space="preserve">DIVISION 09 — FINISHES</t>
  </si>
  <si>
    <t xml:space="preserve">09 21 00</t>
  </si>
  <si>
    <t xml:space="preserve">Gypsum Board — Interior Partitions  — breakdown ↓</t>
  </si>
  <si>
    <t xml:space="preserve">9 21 01</t>
  </si>
  <si>
    <t xml:space="preserve">      • Gypsum — Framing &amp; Studs</t>
  </si>
  <si>
    <t xml:space="preserve">9 21 02</t>
  </si>
  <si>
    <t xml:space="preserve">      • Gypsum — Board &amp; Install</t>
  </si>
  <si>
    <t xml:space="preserve">9 21 03</t>
  </si>
  <si>
    <t xml:space="preserve">      • Gypsum — Taping &amp; Finishing</t>
  </si>
  <si>
    <t xml:space="preserve">09 22 00</t>
  </si>
  <si>
    <t xml:space="preserve">Metal Stud Framing — Interior</t>
  </si>
  <si>
    <t xml:space="preserve">09 51 00</t>
  </si>
  <si>
    <t xml:space="preserve">Acoustical Ceilings — Office / Support</t>
  </si>
  <si>
    <t xml:space="preserve">09 65 00</t>
  </si>
  <si>
    <t xml:space="preserve">Resilient Flooring — VCT / LVT</t>
  </si>
  <si>
    <t xml:space="preserve">09 68 00</t>
  </si>
  <si>
    <t xml:space="preserve">Carpet — Office Areas</t>
  </si>
  <si>
    <t xml:space="preserve">09 69 00</t>
  </si>
  <si>
    <t xml:space="preserve">Raised Access Floor — Data Halls  — breakdown ↓</t>
  </si>
  <si>
    <t xml:space="preserve">9 69 01</t>
  </si>
  <si>
    <t xml:space="preserve">      • Raised Floor — Panels &amp; Pedestals</t>
  </si>
  <si>
    <t xml:space="preserve">9 69 02</t>
  </si>
  <si>
    <t xml:space="preserve">      • Raised Floor — Ramps, Stairs &amp; Transitions</t>
  </si>
  <si>
    <t xml:space="preserve">9 69 03</t>
  </si>
  <si>
    <t xml:space="preserve">      • Raised Floor — Cutouts, Grommets &amp; Accessories</t>
  </si>
  <si>
    <t xml:space="preserve">9 69 04</t>
  </si>
  <si>
    <t xml:space="preserve">      • Raised Floor — Leveling &amp; Install</t>
  </si>
  <si>
    <t xml:space="preserve">09 69 10</t>
  </si>
  <si>
    <t xml:space="preserve">Raised Access Floor — Electrical Rooms</t>
  </si>
  <si>
    <t xml:space="preserve">09 69 20</t>
  </si>
  <si>
    <t xml:space="preserve">Raised Floor Accessories — Grommets, Ramps, Cutouts</t>
  </si>
  <si>
    <t xml:space="preserve">09 72 00</t>
  </si>
  <si>
    <t xml:space="preserve">Wall Coverings — Epoxy Paint (Data Halls)</t>
  </si>
  <si>
    <t xml:space="preserve">09 91 00</t>
  </si>
  <si>
    <t xml:space="preserve">Interior Painting — Standard</t>
  </si>
  <si>
    <t xml:space="preserve">09 96 00</t>
  </si>
  <si>
    <t xml:space="preserve">Epoxy Flooring — Battery / Generator Rooms</t>
  </si>
  <si>
    <t xml:space="preserve">09 97 00</t>
  </si>
  <si>
    <t xml:space="preserve">Anti-Static / ESD Flooring — Data Halls  — breakdown ↓</t>
  </si>
  <si>
    <t xml:space="preserve">9 97 01</t>
  </si>
  <si>
    <t xml:space="preserve">      • ESD Flooring — Material</t>
  </si>
  <si>
    <t xml:space="preserve">9 97 02</t>
  </si>
  <si>
    <t xml:space="preserve">      • ESD Flooring — Install</t>
  </si>
  <si>
    <t xml:space="preserve">9 97 03</t>
  </si>
  <si>
    <t xml:space="preserve">      • ESD Flooring — Grounding</t>
  </si>
  <si>
    <t xml:space="preserve">09 30 00</t>
  </si>
  <si>
    <t xml:space="preserve">Tiling — Restrooms / Wet Areas</t>
  </si>
  <si>
    <t xml:space="preserve">09 77 00</t>
  </si>
  <si>
    <t xml:space="preserve">Acoustic Wall Panels — NOC / Conference</t>
  </si>
  <si>
    <t xml:space="preserve">09 67 50</t>
  </si>
  <si>
    <t xml:space="preserve">Resinous Flooring — Mechanical / Pump Rooms</t>
  </si>
  <si>
    <t xml:space="preserve">09 22 50</t>
  </si>
  <si>
    <t xml:space="preserve">Gypsum Ceilings &amp; Soffits — Hard-Lid</t>
  </si>
  <si>
    <t xml:space="preserve">09 65 50</t>
  </si>
  <si>
    <t xml:space="preserve">Resilient Base &amp; Accessories</t>
  </si>
  <si>
    <t xml:space="preserve">9 68 01</t>
  </si>
  <si>
    <t xml:space="preserve">Carpet &amp; Resilient Flooring — Office Areas</t>
  </si>
  <si>
    <t xml:space="preserve">09 91 50</t>
  </si>
  <si>
    <t xml:space="preserve">Intumescent Coatings — Exposed Structural Steel</t>
  </si>
  <si>
    <t xml:space="preserve">09 67 00</t>
  </si>
  <si>
    <t xml:space="preserve">Epoxy / Resinous Floor Coating — MEP &amp; BOH</t>
  </si>
  <si>
    <t xml:space="preserve">Subtotal — FINISHES</t>
  </si>
  <si>
    <t xml:space="preserve">DIVISION 10 — SPECIALTIES</t>
  </si>
  <si>
    <t xml:space="preserve">10 14 00</t>
  </si>
  <si>
    <t xml:space="preserve">Signage — Interior Wayfinding</t>
  </si>
  <si>
    <t xml:space="preserve">10 14 10</t>
  </si>
  <si>
    <t xml:space="preserve">Signage — Exterior / Monument</t>
  </si>
  <si>
    <t xml:space="preserve">10 14 20</t>
  </si>
  <si>
    <t xml:space="preserve">Safety Signage — Arc Flash / Hazmat</t>
  </si>
  <si>
    <t xml:space="preserve">10 21 00</t>
  </si>
  <si>
    <t xml:space="preserve">Toilet Partitions</t>
  </si>
  <si>
    <t xml:space="preserve">10 26 00</t>
  </si>
  <si>
    <t xml:space="preserve">Wall Protection — Corner Guards</t>
  </si>
  <si>
    <t xml:space="preserve">10 28 00</t>
  </si>
  <si>
    <t xml:space="preserve">Toilet &amp; Bath Accessories</t>
  </si>
  <si>
    <t xml:space="preserve">10 44 00</t>
  </si>
  <si>
    <t xml:space="preserve">Fire Extinguishers &amp; Cabinets</t>
  </si>
  <si>
    <t xml:space="preserve">10 55 00</t>
  </si>
  <si>
    <t xml:space="preserve">Postal Specialties / Delivery Lockers</t>
  </si>
  <si>
    <t xml:space="preserve">10 73 00</t>
  </si>
  <si>
    <t xml:space="preserve">Protective Covers — Equipment Pads</t>
  </si>
  <si>
    <t xml:space="preserve">10 75 00</t>
  </si>
  <si>
    <t xml:space="preserve">Flagpoles</t>
  </si>
  <si>
    <t xml:space="preserve">10 21 50</t>
  </si>
  <si>
    <t xml:space="preserve">Lockers &amp; Locker Room Benches</t>
  </si>
  <si>
    <t xml:space="preserve">10 26 50</t>
  </si>
  <si>
    <t xml:space="preserve">Wall &amp; Door Protection — Impact Rails</t>
  </si>
  <si>
    <t xml:space="preserve">10 73 01</t>
  </si>
  <si>
    <t xml:space="preserve">Exterior Canopies &amp; Walkway Covers</t>
  </si>
  <si>
    <t xml:space="preserve">10 11 50</t>
  </si>
  <si>
    <t xml:space="preserve">Visual Display Boards — Markerboards / Tackboards</t>
  </si>
  <si>
    <t xml:space="preserve">10 22 50</t>
  </si>
  <si>
    <t xml:space="preserve">Operable / Demountable Partitions — Conference</t>
  </si>
  <si>
    <t xml:space="preserve">10 28 01</t>
  </si>
  <si>
    <t xml:space="preserve">10 21 13</t>
  </si>
  <si>
    <t xml:space="preserve">Toilet Partitions — Phenolic</t>
  </si>
  <si>
    <t xml:space="preserve">Subtotal — SPECIALTIES</t>
  </si>
  <si>
    <t xml:space="preserve">DIVISION 11 — EQUIPMENT</t>
  </si>
  <si>
    <t xml:space="preserve">11 13 00</t>
  </si>
  <si>
    <t xml:space="preserve">Loading Dock Equipment — Levelers, Seals, Bumpers</t>
  </si>
  <si>
    <t xml:space="preserve">11 13 10</t>
  </si>
  <si>
    <t xml:space="preserve">Dock Lifts / Scissor Lifts — Equipment Handling</t>
  </si>
  <si>
    <t xml:space="preserve">11 30 00</t>
  </si>
  <si>
    <t xml:space="preserve">Residential / Pantry Appliances — Break Rooms</t>
  </si>
  <si>
    <t xml:space="preserve">11 40 00</t>
  </si>
  <si>
    <t xml:space="preserve">Foodservice Equipment — Staff Café</t>
  </si>
  <si>
    <t xml:space="preserve">11 24 00</t>
  </si>
  <si>
    <t xml:space="preserve">Facility Maintenance Equipment — Window Washing / Davits</t>
  </si>
  <si>
    <t xml:space="preserve">11 53 00</t>
  </si>
  <si>
    <t xml:space="preserve">Battery / Laboratory Test Equipment</t>
  </si>
  <si>
    <t xml:space="preserve">11 82 00</t>
  </si>
  <si>
    <t xml:space="preserve">Solid Waste Handling — Compactors &amp; Balers</t>
  </si>
  <si>
    <t xml:space="preserve">11 13 50</t>
  </si>
  <si>
    <t xml:space="preserve">Loading Dock Shelters / Canopies</t>
  </si>
  <si>
    <t xml:space="preserve">11 12 00</t>
  </si>
  <si>
    <t xml:space="preserve">Parking Control Equipment — Gates / Ticketing</t>
  </si>
  <si>
    <t xml:space="preserve">11 13 60</t>
  </si>
  <si>
    <t xml:space="preserve">Vehicle Scale — Truck Weighing</t>
  </si>
  <si>
    <t xml:space="preserve">Subtotal — EQUIPMENT</t>
  </si>
  <si>
    <t xml:space="preserve">DIVISION 12 — FURNISHINGS</t>
  </si>
  <si>
    <t xml:space="preserve">12 21 00</t>
  </si>
  <si>
    <t xml:space="preserve">Window Treatments — Blinds / Shades</t>
  </si>
  <si>
    <t xml:space="preserve">12 24 00</t>
  </si>
  <si>
    <t xml:space="preserve">Entrance Mats &amp; Grilles</t>
  </si>
  <si>
    <t xml:space="preserve">12 35 00</t>
  </si>
  <si>
    <t xml:space="preserve">Specialty Casework — Break / Copy / Support</t>
  </si>
  <si>
    <t xml:space="preserve">12 48 00</t>
  </si>
  <si>
    <t xml:space="preserve">Operations Console Systems — NOC / SOC</t>
  </si>
  <si>
    <t xml:space="preserve">12 52 00</t>
  </si>
  <si>
    <t xml:space="preserve">Institutional Furniture — Office / Conference</t>
  </si>
  <si>
    <t xml:space="preserve">12 93 00</t>
  </si>
  <si>
    <t xml:space="preserve">Site Furnishings — Benches, Bike Racks, Receptacles</t>
  </si>
  <si>
    <t xml:space="preserve">12 36 00</t>
  </si>
  <si>
    <t xml:space="preserve">Countertops — Break / Pantry / Casework</t>
  </si>
  <si>
    <t xml:space="preserve">Subtotal — FURNISHINGS</t>
  </si>
  <si>
    <t xml:space="preserve">DIVISION 14 — CONVEYING EQUIPMENT</t>
  </si>
  <si>
    <t xml:space="preserve">14 21 00</t>
  </si>
  <si>
    <t xml:space="preserve">Passenger Elevators — Traction (Office Core)</t>
  </si>
  <si>
    <t xml:space="preserve">14 21 10</t>
  </si>
  <si>
    <t xml:space="preserve">Freight Elevators — Heavy Equipment (12,000 lb)</t>
  </si>
  <si>
    <t xml:space="preserve">14 24 00</t>
  </si>
  <si>
    <t xml:space="preserve">Hydraulic Elevators — Service / Low-Rise</t>
  </si>
  <si>
    <t xml:space="preserve">14 42 00</t>
  </si>
  <si>
    <t xml:space="preserve">Material Lifts / Vertical Reciprocating Conveyors</t>
  </si>
  <si>
    <t xml:space="preserve">14 91 00</t>
  </si>
  <si>
    <t xml:space="preserve">Hoists &amp; Monorail Cranes — Equipment Rigging</t>
  </si>
  <si>
    <t xml:space="preserve">14 92 00</t>
  </si>
  <si>
    <t xml:space="preserve">Facility Conveying — Tube / Material Transport</t>
  </si>
  <si>
    <t xml:space="preserve">Subtotal — CONVEYING EQUIPMENT</t>
  </si>
  <si>
    <t xml:space="preserve">DIVISION 21 — FIRE SUPPRESSION</t>
  </si>
  <si>
    <t xml:space="preserve">21 05 00</t>
  </si>
  <si>
    <t xml:space="preserve">Fire Suppression — Common Work</t>
  </si>
  <si>
    <t xml:space="preserve">21 11 00</t>
  </si>
  <si>
    <t xml:space="preserve">Wet Sprinkler System — Office / Support Areas</t>
  </si>
  <si>
    <t xml:space="preserve">21 12 00</t>
  </si>
  <si>
    <t xml:space="preserve">Dry Sprinkler System — Loading Dock / Generator Area</t>
  </si>
  <si>
    <t xml:space="preserve">21 13 00</t>
  </si>
  <si>
    <t xml:space="preserve">Pre-Action Sprinkler System — Data Halls  — breakdown ↓</t>
  </si>
  <si>
    <t xml:space="preserve">21 13 01</t>
  </si>
  <si>
    <t xml:space="preserve">      • Pre-Action — Piping &amp; Heads</t>
  </si>
  <si>
    <t xml:space="preserve">21 13 02</t>
  </si>
  <si>
    <t xml:space="preserve">      • Pre-Action — Valves &amp; Risers</t>
  </si>
  <si>
    <t xml:space="preserve">21 13 03</t>
  </si>
  <si>
    <t xml:space="preserve">      • Pre-Action — Controls</t>
  </si>
  <si>
    <t xml:space="preserve">21 13 10</t>
  </si>
  <si>
    <t xml:space="preserve">Pre-Action Sprinkler — Electrical Rooms</t>
  </si>
  <si>
    <t xml:space="preserve">21 22 00</t>
  </si>
  <si>
    <t xml:space="preserve">Clean Agent System — FM-200 (Data Halls)  — breakdown ↓</t>
  </si>
  <si>
    <t xml:space="preserve">21 22 01</t>
  </si>
  <si>
    <t xml:space="preserve">      • FM-200 — Agent &amp; Cylinders</t>
  </si>
  <si>
    <t xml:space="preserve">21 22 02</t>
  </si>
  <si>
    <t xml:space="preserve">      • FM-200 — Piping &amp; Nozzles</t>
  </si>
  <si>
    <t xml:space="preserve">21 22 03</t>
  </si>
  <si>
    <t xml:space="preserve">      • FM-200 — Detection &amp; Controls</t>
  </si>
  <si>
    <t xml:space="preserve">21 22 04</t>
  </si>
  <si>
    <t xml:space="preserve">      • FM-200 — Install</t>
  </si>
  <si>
    <t xml:space="preserve">21 22 10</t>
  </si>
  <si>
    <t xml:space="preserve">Clean Agent System — Novec 1230 (Alternate)</t>
  </si>
  <si>
    <t xml:space="preserve">21 22 20</t>
  </si>
  <si>
    <t xml:space="preserve">Clean Agent — UPS / Battery Rooms</t>
  </si>
  <si>
    <t xml:space="preserve">21 30 00</t>
  </si>
  <si>
    <t xml:space="preserve">VESDA — Very Early Smoke Detection Apparatus</t>
  </si>
  <si>
    <t xml:space="preserve">21 30 10</t>
  </si>
  <si>
    <t xml:space="preserve">Smoke Detection — Duct / Plenum Detectors</t>
  </si>
  <si>
    <t xml:space="preserve">21 31 00</t>
  </si>
  <si>
    <t xml:space="preserve">Fire Alarm / Mass Notification System  — breakdown ↓</t>
  </si>
  <si>
    <t xml:space="preserve">21 31 01</t>
  </si>
  <si>
    <t xml:space="preserve">      • Fire Alarm — Panels &amp; Devices</t>
  </si>
  <si>
    <t xml:space="preserve">21 31 02</t>
  </si>
  <si>
    <t xml:space="preserve">      • Fire Alarm — Wiring</t>
  </si>
  <si>
    <t xml:space="preserve">21 31 03</t>
  </si>
  <si>
    <t xml:space="preserve">      • Fire Alarm — Programming &amp; Test</t>
  </si>
  <si>
    <t xml:space="preserve">21 32 00</t>
  </si>
  <si>
    <t xml:space="preserve">Fire Alarm Control Panels (FACP)</t>
  </si>
  <si>
    <t xml:space="preserve">21 33 00</t>
  </si>
  <si>
    <t xml:space="preserve">Smoke Evacuation / Purge System</t>
  </si>
  <si>
    <t xml:space="preserve">21 34 00</t>
  </si>
  <si>
    <t xml:space="preserve">Standpipe System</t>
  </si>
  <si>
    <t xml:space="preserve">21 35 00</t>
  </si>
  <si>
    <t xml:space="preserve">Fire Pump</t>
  </si>
  <si>
    <t xml:space="preserve">21 40 00</t>
  </si>
  <si>
    <t xml:space="preserve">Fire Protection Water Storage Tank</t>
  </si>
  <si>
    <t xml:space="preserve">21 16 00</t>
  </si>
  <si>
    <t xml:space="preserve">Foam Suppression — Fuel Storage / Generator</t>
  </si>
  <si>
    <t xml:space="preserve">21 11 50</t>
  </si>
  <si>
    <t xml:space="preserve">Fire Water Yard Loop &amp; Hydrants</t>
  </si>
  <si>
    <t xml:space="preserve">21 12 50</t>
  </si>
  <si>
    <t xml:space="preserve">Jockey Pump &amp; Fire Pump Test Header</t>
  </si>
  <si>
    <t xml:space="preserve">21 11 60</t>
  </si>
  <si>
    <t xml:space="preserve">Fire Department Connections &amp; Hydrant Valves</t>
  </si>
  <si>
    <t xml:space="preserve">21 13 70</t>
  </si>
  <si>
    <t xml:space="preserve">Sprinkler Piping, Heads &amp; Risers — Office/Support</t>
  </si>
  <si>
    <t xml:space="preserve">Subtotal — FIRE SUPPRESSION</t>
  </si>
  <si>
    <t xml:space="preserve">DIVISION 22 — PLUMBING</t>
  </si>
  <si>
    <t xml:space="preserve">22 10 00</t>
  </si>
  <si>
    <t xml:space="preserve">Domestic Water — Plumbing Fixtures &amp; Trim</t>
  </si>
  <si>
    <t xml:space="preserve">22 11 00</t>
  </si>
  <si>
    <t xml:space="preserve">Domestic Hot Water System</t>
  </si>
  <si>
    <t xml:space="preserve">22 13 00</t>
  </si>
  <si>
    <t xml:space="preserve">Sanitary Waste &amp; Vent Piping</t>
  </si>
  <si>
    <t xml:space="preserve">22 14 00</t>
  </si>
  <si>
    <t xml:space="preserve">Storm Drainage — Interior Piping</t>
  </si>
  <si>
    <t xml:space="preserve">22 15 00</t>
  </si>
  <si>
    <t xml:space="preserve">Make-Up Water — Cooling Towers / Humidification  — breakdown ↓</t>
  </si>
  <si>
    <t xml:space="preserve">22 15 01</t>
  </si>
  <si>
    <t xml:space="preserve">      • Makeup Water — Storage Tanks</t>
  </si>
  <si>
    <t xml:space="preserve">22 15 02</t>
  </si>
  <si>
    <t xml:space="preserve">      • Makeup Water — Treatment &amp; Filtration</t>
  </si>
  <si>
    <t xml:space="preserve">22 15 03</t>
  </si>
  <si>
    <t xml:space="preserve">      • Makeup Water — Pumps &amp; Piping</t>
  </si>
  <si>
    <t xml:space="preserve">22 15 04</t>
  </si>
  <si>
    <t xml:space="preserve">      • Makeup Water — Controls</t>
  </si>
  <si>
    <t xml:space="preserve">22 16 00</t>
  </si>
  <si>
    <t xml:space="preserve">Condensate Drain — CRAH / AHU Units</t>
  </si>
  <si>
    <t xml:space="preserve">22 17 00</t>
  </si>
  <si>
    <t xml:space="preserve">Emergency Shower &amp; Eyewash Stations</t>
  </si>
  <si>
    <t xml:space="preserve">22 30 00</t>
  </si>
  <si>
    <t xml:space="preserve">Acid Neutralization Tank — Battery Room</t>
  </si>
  <si>
    <t xml:space="preserve">22 40 00</t>
  </si>
  <si>
    <t xml:space="preserve">Grease Interceptor — Kitchen / Café</t>
  </si>
  <si>
    <t xml:space="preserve">22 50 00</t>
  </si>
  <si>
    <t xml:space="preserve">Natural Gas Piping — Generator Support</t>
  </si>
  <si>
    <t xml:space="preserve">22 60 00</t>
  </si>
  <si>
    <t xml:space="preserve">Compressed Air System — Generator Starting</t>
  </si>
  <si>
    <t xml:space="preserve">22 70 00</t>
  </si>
  <si>
    <t xml:space="preserve">Backflow Prevention Assemblies</t>
  </si>
  <si>
    <t xml:space="preserve">22 14 50</t>
  </si>
  <si>
    <t xml:space="preserve">Storm / Sump Pump Systems</t>
  </si>
  <si>
    <t xml:space="preserve">22 31 50</t>
  </si>
  <si>
    <t xml:space="preserve">Reverse Osmosis / DI Water System</t>
  </si>
  <si>
    <t xml:space="preserve">22 14 60</t>
  </si>
  <si>
    <t xml:space="preserve">Trench Drains — Mechanical / Generator Rooms</t>
  </si>
  <si>
    <t xml:space="preserve">22 67 00</t>
  </si>
  <si>
    <t xml:space="preserve">Process Water Piping — Liquid Cooling Makeup</t>
  </si>
  <si>
    <t xml:space="preserve">22 13 60</t>
  </si>
  <si>
    <t xml:space="preserve">Floor Drains, Roof Drains &amp; Cleanouts</t>
  </si>
  <si>
    <t xml:space="preserve">22 07 50</t>
  </si>
  <si>
    <t xml:space="preserve">Plumbing Piping Insulation</t>
  </si>
  <si>
    <t xml:space="preserve">22 33 50</t>
  </si>
  <si>
    <t xml:space="preserve">Domestic Water Heaters &amp; Recirculation</t>
  </si>
  <si>
    <t xml:space="preserve">22 11 50</t>
  </si>
  <si>
    <t xml:space="preserve">Hose Bibbs &amp; Wall Hydrants</t>
  </si>
  <si>
    <t xml:space="preserve">22 66 00</t>
  </si>
  <si>
    <t xml:space="preserve">Emergency Eyewash &amp; Safety Showers — Battery Rooms</t>
  </si>
  <si>
    <t xml:space="preserve">Subtotal — PLUMBING</t>
  </si>
  <si>
    <t xml:space="preserve">DIVISION 23 — HVAC / COOLING SYSTEMS</t>
  </si>
  <si>
    <t xml:space="preserve">23 05 00</t>
  </si>
  <si>
    <t xml:space="preserve">Mechanical Common Work — Hangers, Supports, Seismic  — breakdown ↓</t>
  </si>
  <si>
    <t xml:space="preserve">23 05 01</t>
  </si>
  <si>
    <t xml:space="preserve">      • Mech Common — Hangers &amp; Supports</t>
  </si>
  <si>
    <t xml:space="preserve">23 05 02</t>
  </si>
  <si>
    <t xml:space="preserve">      • Mech Common — Sleeves &amp; Seals</t>
  </si>
  <si>
    <t xml:space="preserve">23 05 03</t>
  </si>
  <si>
    <t xml:space="preserve">      • Mech Common — Misc</t>
  </si>
  <si>
    <t xml:space="preserve">23 05 10</t>
  </si>
  <si>
    <t xml:space="preserve">Mechanical Insulation</t>
  </si>
  <si>
    <t xml:space="preserve">23 07 00</t>
  </si>
  <si>
    <t xml:space="preserve">HVAC Ductwork Insulation</t>
  </si>
  <si>
    <t xml:space="preserve">23 09 00</t>
  </si>
  <si>
    <t xml:space="preserve">Building Management System (BMS) — Controls  — breakdown ↓</t>
  </si>
  <si>
    <t xml:space="preserve">23 09 01</t>
  </si>
  <si>
    <t xml:space="preserve">      • BMS — Controllers &amp; Devices</t>
  </si>
  <si>
    <t xml:space="preserve">23 09 02</t>
  </si>
  <si>
    <t xml:space="preserve">      • BMS — Software &amp; Graphics</t>
  </si>
  <si>
    <t xml:space="preserve">23 09 03</t>
  </si>
  <si>
    <t xml:space="preserve">      • BMS — Integration</t>
  </si>
  <si>
    <t xml:space="preserve">23 09 10</t>
  </si>
  <si>
    <t xml:space="preserve">DCIM Integration — Environmental Monitoring  — breakdown ↓</t>
  </si>
  <si>
    <t xml:space="preserve">23 09 11</t>
  </si>
  <si>
    <t xml:space="preserve">      • DCIM — Software &amp; Sensors</t>
  </si>
  <si>
    <t xml:space="preserve">23 09 12</t>
  </si>
  <si>
    <t xml:space="preserve">      • DCIM — Integration</t>
  </si>
  <si>
    <t xml:space="preserve">23 09 13</t>
  </si>
  <si>
    <t xml:space="preserve">      • DCIM — Install</t>
  </si>
  <si>
    <t xml:space="preserve">23 21 00</t>
  </si>
  <si>
    <t xml:space="preserve">Centrifugal Chillers — Water-Cooled  — breakdown ↓</t>
  </si>
  <si>
    <t xml:space="preserve">23 21 01</t>
  </si>
  <si>
    <t xml:space="preserve">      • Chillers — Units</t>
  </si>
  <si>
    <t xml:space="preserve">23 21 02</t>
  </si>
  <si>
    <t xml:space="preserve">      • Chillers — Refrigerant Charge &amp; VFDs</t>
  </si>
  <si>
    <t xml:space="preserve">23 21 03</t>
  </si>
  <si>
    <t xml:space="preserve">      • Chillers — Rigging &amp; Install</t>
  </si>
  <si>
    <t xml:space="preserve">23 21 04</t>
  </si>
  <si>
    <t xml:space="preserve">      • Chillers — Startup &amp; Commissioning</t>
  </si>
  <si>
    <t xml:space="preserve">23 21 10</t>
  </si>
  <si>
    <t xml:space="preserve">Chiller Plant Pumps — Primary / Secondary</t>
  </si>
  <si>
    <t xml:space="preserve">23 21 20</t>
  </si>
  <si>
    <t xml:space="preserve">Chilled Water Piping — Primary Loop</t>
  </si>
  <si>
    <t xml:space="preserve">23 21 30</t>
  </si>
  <si>
    <t xml:space="preserve">Chilled Water Piping — Secondary / Tertiary  — breakdown ↓</t>
  </si>
  <si>
    <t xml:space="preserve">23 21 31</t>
  </si>
  <si>
    <t xml:space="preserve">      • CHW Piping (Sec) — Pipe &amp; Fittings</t>
  </si>
  <si>
    <t xml:space="preserve">23 21 32</t>
  </si>
  <si>
    <t xml:space="preserve">      • CHW Piping (Sec) — Valves &amp; Specialties</t>
  </si>
  <si>
    <t xml:space="preserve">23 21 33</t>
  </si>
  <si>
    <t xml:space="preserve">      • CHW Piping (Sec) — Hangers &amp; Install</t>
  </si>
  <si>
    <t xml:space="preserve">23 22 00</t>
  </si>
  <si>
    <t xml:space="preserve">Cooling Towers — Induced Draft  — breakdown ↓</t>
  </si>
  <si>
    <t xml:space="preserve">23 22 01</t>
  </si>
  <si>
    <t xml:space="preserve">      • Cooling Towers — Towers</t>
  </si>
  <si>
    <t xml:space="preserve">23 22 02</t>
  </si>
  <si>
    <t xml:space="preserve">      • Cooling Towers — Basins &amp; Fans</t>
  </si>
  <si>
    <t xml:space="preserve">23 22 03</t>
  </si>
  <si>
    <t xml:space="preserve">      • Cooling Towers — Install &amp; Rigging</t>
  </si>
  <si>
    <t xml:space="preserve">23 22 04</t>
  </si>
  <si>
    <t xml:space="preserve">      • Cooling Towers — Controls</t>
  </si>
  <si>
    <t xml:space="preserve">23 22 10</t>
  </si>
  <si>
    <t xml:space="preserve">Condenser Water Piping</t>
  </si>
  <si>
    <t xml:space="preserve">23 22 20</t>
  </si>
  <si>
    <t xml:space="preserve">Condenser Water Treatment System</t>
  </si>
  <si>
    <t xml:space="preserve">23 23 00</t>
  </si>
  <si>
    <t xml:space="preserve">Computer Room Air Handlers (CRAH)  — breakdown ↓</t>
  </si>
  <si>
    <t xml:space="preserve">23 23 01</t>
  </si>
  <si>
    <t xml:space="preserve">      • CRAH — Units</t>
  </si>
  <si>
    <t xml:space="preserve">23 23 02</t>
  </si>
  <si>
    <t xml:space="preserve">      • CRAH — Piping &amp; Coils</t>
  </si>
  <si>
    <t xml:space="preserve">23 23 03</t>
  </si>
  <si>
    <t xml:space="preserve">      • CRAH — Controls</t>
  </si>
  <si>
    <t xml:space="preserve">23 23 04</t>
  </si>
  <si>
    <t xml:space="preserve">      • CRAH — Install</t>
  </si>
  <si>
    <t xml:space="preserve">23 23 10</t>
  </si>
  <si>
    <t xml:space="preserve">In-Row Cooling Units  — breakdown ↓</t>
  </si>
  <si>
    <t xml:space="preserve">23 23 11</t>
  </si>
  <si>
    <t xml:space="preserve">      • In-Row Cooling — Units (Equipment)</t>
  </si>
  <si>
    <t xml:space="preserve">23 23 12</t>
  </si>
  <si>
    <t xml:space="preserve">      • In-Row Cooling — Refrigerant / CW Piping</t>
  </si>
  <si>
    <t xml:space="preserve">23 23 13</t>
  </si>
  <si>
    <t xml:space="preserve">      • In-Row Cooling — Controls &amp; Integration</t>
  </si>
  <si>
    <t xml:space="preserve">23 23 14</t>
  </si>
  <si>
    <t xml:space="preserve">      • In-Row Cooling — Rigging, Install &amp; Seismic</t>
  </si>
  <si>
    <t xml:space="preserve">23 23 15</t>
  </si>
  <si>
    <t xml:space="preserve">      • In-Row Cooling — Startup &amp; Commissioning</t>
  </si>
  <si>
    <t xml:space="preserve">23 23 20</t>
  </si>
  <si>
    <t xml:space="preserve">Rear Door Heat Exchangers (RDHx)</t>
  </si>
  <si>
    <t xml:space="preserve">23 24 00</t>
  </si>
  <si>
    <t xml:space="preserve">Hot Aisle Containment System  — breakdown ↓</t>
  </si>
  <si>
    <t xml:space="preserve">23 24 01</t>
  </si>
  <si>
    <t xml:space="preserve">      • Hot Aisle — Panels &amp; Doors</t>
  </si>
  <si>
    <t xml:space="preserve">23 24 02</t>
  </si>
  <si>
    <t xml:space="preserve">      • Hot Aisle — Roof / Ceiling</t>
  </si>
  <si>
    <t xml:space="preserve">23 24 03</t>
  </si>
  <si>
    <t xml:space="preserve">      • Hot Aisle — Install</t>
  </si>
  <si>
    <t xml:space="preserve">23 24 10</t>
  </si>
  <si>
    <t xml:space="preserve">Cold Aisle Containment System</t>
  </si>
  <si>
    <t xml:space="preserve">23 25 00</t>
  </si>
  <si>
    <t xml:space="preserve">Economizer System — Waterside  — breakdown ↓</t>
  </si>
  <si>
    <t xml:space="preserve">23 25 01</t>
  </si>
  <si>
    <t xml:space="preserve">      • Economizer — Heat Exchangers</t>
  </si>
  <si>
    <t xml:space="preserve">23 25 02</t>
  </si>
  <si>
    <t xml:space="preserve">      • Economizer — Piping &amp; Valves</t>
  </si>
  <si>
    <t xml:space="preserve">23 25 03</t>
  </si>
  <si>
    <t xml:space="preserve">      • Economizer — Controls</t>
  </si>
  <si>
    <t xml:space="preserve">23 25 10</t>
  </si>
  <si>
    <t xml:space="preserve">Economizer System — Airside</t>
  </si>
  <si>
    <t xml:space="preserve">23 30 00</t>
  </si>
  <si>
    <t xml:space="preserve">HVAC Air Handling Units — Office / Support</t>
  </si>
  <si>
    <t xml:space="preserve">23 31 00</t>
  </si>
  <si>
    <t xml:space="preserve">HVAC Ductwork — Office / Support</t>
  </si>
  <si>
    <t xml:space="preserve">23 34 00</t>
  </si>
  <si>
    <t xml:space="preserve">HVAC Fans — Exhaust / Ventilation</t>
  </si>
  <si>
    <t xml:space="preserve">23 36 00</t>
  </si>
  <si>
    <t xml:space="preserve">Humidification System  — breakdown ↓</t>
  </si>
  <si>
    <t xml:space="preserve">23 36 01</t>
  </si>
  <si>
    <t xml:space="preserve">      • Humidification — Units</t>
  </si>
  <si>
    <t xml:space="preserve">23 36 02</t>
  </si>
  <si>
    <t xml:space="preserve">      • Humidification — Distribution &amp; Piping</t>
  </si>
  <si>
    <t xml:space="preserve">23 36 03</t>
  </si>
  <si>
    <t xml:space="preserve">      • Humidification — Controls</t>
  </si>
  <si>
    <t xml:space="preserve">23 37 00</t>
  </si>
  <si>
    <t xml:space="preserve">Air Filtration — Data Hall</t>
  </si>
  <si>
    <t xml:space="preserve">23 38 00</t>
  </si>
  <si>
    <t xml:space="preserve">Refrigerant Piping — DX Systems</t>
  </si>
  <si>
    <t xml:space="preserve">23 40 00</t>
  </si>
  <si>
    <t xml:space="preserve">Make-Up Water System  — breakdown ↓</t>
  </si>
  <si>
    <t xml:space="preserve">23 40 01</t>
  </si>
  <si>
    <t xml:space="preserve">      • Makeup Water Sys — Tanks</t>
  </si>
  <si>
    <t xml:space="preserve">23 40 02</t>
  </si>
  <si>
    <t xml:space="preserve">      • Makeup Water Sys — Treatment</t>
  </si>
  <si>
    <t xml:space="preserve">23 40 03</t>
  </si>
  <si>
    <t xml:space="preserve">      • Makeup Water Sys — Pumps</t>
  </si>
  <si>
    <t xml:space="preserve">23 40 04</t>
  </si>
  <si>
    <t xml:space="preserve">      • Makeup Water Sys — Controls</t>
  </si>
  <si>
    <t xml:space="preserve">23 50 00</t>
  </si>
  <si>
    <t xml:space="preserve">Testing, Adjusting &amp; Balancing (TAB)  — breakdown ↓</t>
  </si>
  <si>
    <t xml:space="preserve">23 50 01</t>
  </si>
  <si>
    <t xml:space="preserve">      • TAB — Air Balancing</t>
  </si>
  <si>
    <t xml:space="preserve">23 50 02</t>
  </si>
  <si>
    <t xml:space="preserve">      • TAB — Water Balancing</t>
  </si>
  <si>
    <t xml:space="preserve">23 50 03</t>
  </si>
  <si>
    <t xml:space="preserve">      • TAB — Reporting</t>
  </si>
  <si>
    <t xml:space="preserve">23 60 00</t>
  </si>
  <si>
    <t xml:space="preserve">Direct Liquid Cooling Infrastructure</t>
  </si>
  <si>
    <t xml:space="preserve">23 65 00</t>
  </si>
  <si>
    <t xml:space="preserve">CDU — Coolant Distribution Units</t>
  </si>
  <si>
    <t xml:space="preserve">23 70 00</t>
  </si>
  <si>
    <t xml:space="preserve">Thermal Energy Storage  — breakdown ↓</t>
  </si>
  <si>
    <t xml:space="preserve">23 70 01</t>
  </si>
  <si>
    <t xml:space="preserve">      • TES — Storage Tanks</t>
  </si>
  <si>
    <t xml:space="preserve">23 70 02</t>
  </si>
  <si>
    <t xml:space="preserve">      • TES — Glycol Charge &amp; Water Treatment</t>
  </si>
  <si>
    <t xml:space="preserve">23 70 03</t>
  </si>
  <si>
    <t xml:space="preserve">      • TES — Pumps &amp; Piping</t>
  </si>
  <si>
    <t xml:space="preserve">23 70 04</t>
  </si>
  <si>
    <t xml:space="preserve">      • TES — Controls &amp; Insulation</t>
  </si>
  <si>
    <t xml:space="preserve">23 70 05</t>
  </si>
  <si>
    <t xml:space="preserve">      • TES — Commissioning</t>
  </si>
  <si>
    <t xml:space="preserve">23 09 50</t>
  </si>
  <si>
    <t xml:space="preserve">Variable Frequency Drives — Mechanical  — breakdown ↓</t>
  </si>
  <si>
    <t xml:space="preserve">23 09 51</t>
  </si>
  <si>
    <t xml:space="preserve">      • VFDs — Drives</t>
  </si>
  <si>
    <t xml:space="preserve">23 09 52</t>
  </si>
  <si>
    <t xml:space="preserve">      • VFDs — Enclosures</t>
  </si>
  <si>
    <t xml:space="preserve">23 09 53</t>
  </si>
  <si>
    <t xml:space="preserve">      • VFDs — Install &amp; Programming</t>
  </si>
  <si>
    <t xml:space="preserve">23 34 50</t>
  </si>
  <si>
    <t xml:space="preserve">Generator Room / Equipment Ventilation Fans  — breakdown ↓</t>
  </si>
  <si>
    <t xml:space="preserve">23 34 51</t>
  </si>
  <si>
    <t xml:space="preserve">      • Gen Vent — Fans</t>
  </si>
  <si>
    <t xml:space="preserve">23 34 52</t>
  </si>
  <si>
    <t xml:space="preserve">      • Gen Vent — Ductwork &amp; Louvers</t>
  </si>
  <si>
    <t xml:space="preserve">23 34 53</t>
  </si>
  <si>
    <t xml:space="preserve">      • Gen Vent — Controls</t>
  </si>
  <si>
    <t xml:space="preserve">23 25 50</t>
  </si>
  <si>
    <t xml:space="preserve">Glycol Feed &amp; Chemical Treatment</t>
  </si>
  <si>
    <t xml:space="preserve">23 33 00</t>
  </si>
  <si>
    <t xml:space="preserve">Air Terminal Units — VAV / Fan-Powered Boxes</t>
  </si>
  <si>
    <t xml:space="preserve">23 37 50</t>
  </si>
  <si>
    <t xml:space="preserve">Diffusers, Registers &amp; Grilles</t>
  </si>
  <si>
    <t xml:space="preserve">23 33 50</t>
  </si>
  <si>
    <t xml:space="preserve">Fire / Smoke Dampers</t>
  </si>
  <si>
    <t xml:space="preserve">23 21 60</t>
  </si>
  <si>
    <t xml:space="preserve">CHW/HW Valves, Expansion Tanks &amp; Air Separators</t>
  </si>
  <si>
    <t xml:space="preserve">23 31 50</t>
  </si>
  <si>
    <t xml:space="preserve">Ductwork — Galvanized Supply / Return / Exhaust  — breakdown ↓</t>
  </si>
  <si>
    <t xml:space="preserve">23 31 51</t>
  </si>
  <si>
    <t xml:space="preserve">      • Ductwork — Sheet Metal</t>
  </si>
  <si>
    <t xml:space="preserve">23 31 52</t>
  </si>
  <si>
    <t xml:space="preserve">      • Ductwork — Fittings &amp; Dampers</t>
  </si>
  <si>
    <t xml:space="preserve">23 31 53</t>
  </si>
  <si>
    <t xml:space="preserve">      • Ductwork — Hangers &amp; Sealing</t>
  </si>
  <si>
    <t xml:space="preserve">23 07 50</t>
  </si>
  <si>
    <t xml:space="preserve">Duct &amp; Pipe Insulation — Mechanical</t>
  </si>
  <si>
    <t xml:space="preserve">23 05 50</t>
  </si>
  <si>
    <t xml:space="preserve">Mechanical Seismic Restraints &amp; Hangers</t>
  </si>
  <si>
    <t xml:space="preserve">23 05 93</t>
  </si>
  <si>
    <t xml:space="preserve">Testing, Adjusting &amp; Balancing (TAB)</t>
  </si>
  <si>
    <t xml:space="preserve">23 63 00</t>
  </si>
  <si>
    <t xml:space="preserve">Dry Coolers / Fluid Coolers — Free Cooling</t>
  </si>
  <si>
    <t xml:space="preserve">23 09 60</t>
  </si>
  <si>
    <t xml:space="preserve">Mechanical Leak Detection — Chilled Water &amp; Under-Floor</t>
  </si>
  <si>
    <t xml:space="preserve">23 05 80</t>
  </si>
  <si>
    <t xml:space="preserve">Mechanical Equipment Vibration Isolation</t>
  </si>
  <si>
    <t xml:space="preserve">23 21 70</t>
  </si>
  <si>
    <t xml:space="preserve">CW/CHW Pipe Freeze Protection / Heat Trace</t>
  </si>
  <si>
    <t xml:space="preserve">23 31 60</t>
  </si>
  <si>
    <t xml:space="preserve">Acoustic Louvers &amp; Sound Attenuation</t>
  </si>
  <si>
    <t xml:space="preserve">Subtotal — HVAC / COOLING SYSTEMS</t>
  </si>
  <si>
    <t xml:space="preserve">DIVISION 25 — INTEGRATED AUTOMATION</t>
  </si>
  <si>
    <t xml:space="preserve">25 05 00</t>
  </si>
  <si>
    <t xml:space="preserve">Integrated Automation Common Work — OT Cabling &amp; Pathways</t>
  </si>
  <si>
    <t xml:space="preserve">25 10 00</t>
  </si>
  <si>
    <t xml:space="preserve">Integrated Automation Network — OT Backbone (Switches, Fiber, Segmentation)</t>
  </si>
  <si>
    <t xml:space="preserve">25 11 00</t>
  </si>
  <si>
    <t xml:space="preserve">Integration Servers, Historian &amp; Operator Workstations</t>
  </si>
  <si>
    <t xml:space="preserve">25 13 00</t>
  </si>
  <si>
    <t xml:space="preserve">Integration Control Panels — Tie-In / Aggregation (IACP)</t>
  </si>
  <si>
    <t xml:space="preserve">25 14 00</t>
  </si>
  <si>
    <t xml:space="preserve">Protocol Gateways / Routers (BACnet / Modbus / SNMP)</t>
  </si>
  <si>
    <t xml:space="preserve">25 30 00</t>
  </si>
  <si>
    <t xml:space="preserve">Master Systems Integrator (MSI) — Engineering &amp; Point Mapping  — breakdown ↓</t>
  </si>
  <si>
    <t xml:space="preserve">25 30 01</t>
  </si>
  <si>
    <t xml:space="preserve">      • MSI — Design</t>
  </si>
  <si>
    <t xml:space="preserve">25 30 02</t>
  </si>
  <si>
    <t xml:space="preserve">      • MSI — Integration</t>
  </si>
  <si>
    <t xml:space="preserve">25 30 03</t>
  </si>
  <si>
    <t xml:space="preserve">      • MSI — Test &amp; Commission</t>
  </si>
  <si>
    <t xml:space="preserve">25 50 00</t>
  </si>
  <si>
    <t xml:space="preserve">Facility Controls Integration — BMS / EPMS / DCIM  — breakdown ↓</t>
  </si>
  <si>
    <t xml:space="preserve">25 50 01</t>
  </si>
  <si>
    <t xml:space="preserve">      • Facility Controls — Integration</t>
  </si>
  <si>
    <t xml:space="preserve">25 50 02</t>
  </si>
  <si>
    <t xml:space="preserve">      • Facility Controls — Programming</t>
  </si>
  <si>
    <t xml:space="preserve">25 50 03</t>
  </si>
  <si>
    <t xml:space="preserve">      • Facility Controls — Testing</t>
  </si>
  <si>
    <t xml:space="preserve">25 55 00</t>
  </si>
  <si>
    <t xml:space="preserve">Fire Alarm / Security Integration to Automation</t>
  </si>
  <si>
    <t xml:space="preserve">25 90 00</t>
  </si>
  <si>
    <t xml:space="preserve">Sequence of Operations Development &amp; Controls Programming  — breakdown ↓</t>
  </si>
  <si>
    <t xml:space="preserve">25 90 01</t>
  </si>
  <si>
    <t xml:space="preserve">      • SOO — Development</t>
  </si>
  <si>
    <t xml:space="preserve">25 90 02</t>
  </si>
  <si>
    <t xml:space="preserve">      • SOO — Documentation</t>
  </si>
  <si>
    <t xml:space="preserve">25 90 03</t>
  </si>
  <si>
    <t xml:space="preserve">      • SOO — Validation</t>
  </si>
  <si>
    <t xml:space="preserve">25 95 00</t>
  </si>
  <si>
    <t xml:space="preserve">Integration Testing, Tuning &amp; Cx Support</t>
  </si>
  <si>
    <t xml:space="preserve">Subtotal — INTEGRATED AUTOMATION</t>
  </si>
  <si>
    <t xml:space="preserve">DIVISION 26 — ELECTRICAL / CRITICAL POWER</t>
  </si>
  <si>
    <t xml:space="preserve">26 05 00</t>
  </si>
  <si>
    <t xml:space="preserve">Electrical Common Work — Conduit, Wire, Supports  — breakdown ↓</t>
  </si>
  <si>
    <t xml:space="preserve">26 05 01</t>
  </si>
  <si>
    <t xml:space="preserve">      • Common Work — Conduit &amp; Raceway</t>
  </si>
  <si>
    <t xml:space="preserve">26 05 02</t>
  </si>
  <si>
    <t xml:space="preserve">      • Common Work — Wire &amp; Cable</t>
  </si>
  <si>
    <t xml:space="preserve">26 05 03</t>
  </si>
  <si>
    <t xml:space="preserve">      • Common Work — Boxes &amp; Fittings</t>
  </si>
  <si>
    <t xml:space="preserve">26 05 10</t>
  </si>
  <si>
    <t xml:space="preserve">Grounding &amp; Bonding System</t>
  </si>
  <si>
    <t xml:space="preserve">26 05 20</t>
  </si>
  <si>
    <t xml:space="preserve">Lightning Protection System</t>
  </si>
  <si>
    <t xml:space="preserve">26 06 00</t>
  </si>
  <si>
    <t xml:space="preserve">Medium Voltage Switchgear (15kV / 35kV)  — breakdown ↓</t>
  </si>
  <si>
    <t xml:space="preserve">26 06 01</t>
  </si>
  <si>
    <t xml:space="preserve">      • MV Switchgear — Gear</t>
  </si>
  <si>
    <t xml:space="preserve">26 06 02</t>
  </si>
  <si>
    <t xml:space="preserve">      • MV Switchgear — Breakers</t>
  </si>
  <si>
    <t xml:space="preserve">26 06 03</t>
  </si>
  <si>
    <t xml:space="preserve">      • MV Switchgear — Install &amp; Testing</t>
  </si>
  <si>
    <t xml:space="preserve">26 06 10</t>
  </si>
  <si>
    <t xml:space="preserve">Medium Voltage Cable — Utility to Switchgear  — breakdown ↓</t>
  </si>
  <si>
    <t xml:space="preserve">26 06 11</t>
  </si>
  <si>
    <t xml:space="preserve">      • MV Cable — Cable</t>
  </si>
  <si>
    <t xml:space="preserve">26 06 12</t>
  </si>
  <si>
    <t xml:space="preserve">      • MV Cable — Terminations</t>
  </si>
  <si>
    <t xml:space="preserve">26 06 13</t>
  </si>
  <si>
    <t xml:space="preserve">      • MV Cable — Testing</t>
  </si>
  <si>
    <t xml:space="preserve">26 09 00</t>
  </si>
  <si>
    <t xml:space="preserve">Power Monitoring &amp; Metering System (EPMS)</t>
  </si>
  <si>
    <t xml:space="preserve">26 11 00</t>
  </si>
  <si>
    <t xml:space="preserve">Utility Transformers — MV to LV  — breakdown ↓</t>
  </si>
  <si>
    <t xml:space="preserve">26 11 01</t>
  </si>
  <si>
    <t xml:space="preserve">      • Transformers — Units</t>
  </si>
  <si>
    <t xml:space="preserve">26 11 02</t>
  </si>
  <si>
    <t xml:space="preserve">      • Transformers — Pads &amp; Install</t>
  </si>
  <si>
    <t xml:space="preserve">26 11 03</t>
  </si>
  <si>
    <t xml:space="preserve">      • Transformers — Testing</t>
  </si>
  <si>
    <t xml:space="preserve">26 11 10</t>
  </si>
  <si>
    <t xml:space="preserve">Transformers — UPS Input / Output  — breakdown ↓</t>
  </si>
  <si>
    <t xml:space="preserve">26 11 11</t>
  </si>
  <si>
    <t xml:space="preserve">      • UPS Input Xfmr — Units</t>
  </si>
  <si>
    <t xml:space="preserve">26 11 12</t>
  </si>
  <si>
    <t xml:space="preserve">      • UPS Input Xfmr — Install</t>
  </si>
  <si>
    <t xml:space="preserve">26 11 13</t>
  </si>
  <si>
    <t xml:space="preserve">      • UPS Input Xfmr — Testing</t>
  </si>
  <si>
    <t xml:space="preserve">26 11 20</t>
  </si>
  <si>
    <t xml:space="preserve">Dry-Type Transformers — PDU / RPP  — breakdown ↓</t>
  </si>
  <si>
    <t xml:space="preserve">26 11 21</t>
  </si>
  <si>
    <t xml:space="preserve">      • Dry-Type Xfmr — Units</t>
  </si>
  <si>
    <t xml:space="preserve">26 11 22</t>
  </si>
  <si>
    <t xml:space="preserve">      • Dry-Type Xfmr — Install</t>
  </si>
  <si>
    <t xml:space="preserve">26 11 23</t>
  </si>
  <si>
    <t xml:space="preserve">      • Dry-Type Xfmr — Testing</t>
  </si>
  <si>
    <t xml:space="preserve">26 12 00</t>
  </si>
  <si>
    <t xml:space="preserve">Main Switchboards — 480V  — breakdown ↓</t>
  </si>
  <si>
    <t xml:space="preserve">26 12 01</t>
  </si>
  <si>
    <t xml:space="preserve">      • Switchboards — Units</t>
  </si>
  <si>
    <t xml:space="preserve">26 12 02</t>
  </si>
  <si>
    <t xml:space="preserve">      • Switchboards — Breakers &amp; Metering</t>
  </si>
  <si>
    <t xml:space="preserve">26 12 03</t>
  </si>
  <si>
    <t xml:space="preserve">      • Switchboards — Install &amp; Terminations</t>
  </si>
  <si>
    <t xml:space="preserve">26 13 00</t>
  </si>
  <si>
    <t xml:space="preserve">Automatic Transfer Switches (ATS)  — breakdown ↓</t>
  </si>
  <si>
    <t xml:space="preserve">26 13 01</t>
  </si>
  <si>
    <t xml:space="preserve">      • ATS — Units</t>
  </si>
  <si>
    <t xml:space="preserve">26 13 02</t>
  </si>
  <si>
    <t xml:space="preserve">      • ATS — Install</t>
  </si>
  <si>
    <t xml:space="preserve">26 13 03</t>
  </si>
  <si>
    <t xml:space="preserve">      • ATS — Testing</t>
  </si>
  <si>
    <t xml:space="preserve">26 14 00</t>
  </si>
  <si>
    <t xml:space="preserve">Distribution Panelboards — Mechanical  — breakdown ↓</t>
  </si>
  <si>
    <t xml:space="preserve">26 14 01</t>
  </si>
  <si>
    <t xml:space="preserve">      • Panelboards (Mech) — Boards</t>
  </si>
  <si>
    <t xml:space="preserve">26 14 02</t>
  </si>
  <si>
    <t xml:space="preserve">      • Panelboards (Mech) — Breakers</t>
  </si>
  <si>
    <t xml:space="preserve">26 14 03</t>
  </si>
  <si>
    <t xml:space="preserve">      • Panelboards (Mech) — Install</t>
  </si>
  <si>
    <t xml:space="preserve">26 14 10</t>
  </si>
  <si>
    <t xml:space="preserve">Distribution Panelboards — Lighting / General  — breakdown ↓</t>
  </si>
  <si>
    <t xml:space="preserve">26 14 11</t>
  </si>
  <si>
    <t xml:space="preserve">      • Panelboards (Lighting) — Boards</t>
  </si>
  <si>
    <t xml:space="preserve">26 14 12</t>
  </si>
  <si>
    <t xml:space="preserve">      • Panelboards (Lighting) — Breakers</t>
  </si>
  <si>
    <t xml:space="preserve">26 14 13</t>
  </si>
  <si>
    <t xml:space="preserve">      • Panelboards (Lighting) — Install</t>
  </si>
  <si>
    <t xml:space="preserve">26 20 00</t>
  </si>
  <si>
    <t xml:space="preserve">Standby Generators — Diesel (2MW+)  — breakdown ↓</t>
  </si>
  <si>
    <t xml:space="preserve">26 20 01</t>
  </si>
  <si>
    <t xml:space="preserve">      • Generators — Diesel Gensets</t>
  </si>
  <si>
    <t xml:space="preserve">26 20 02</t>
  </si>
  <si>
    <t xml:space="preserve">      • Generators — Fuel Day Tanks, Exhaust &amp; Silencers</t>
  </si>
  <si>
    <t xml:space="preserve">26 20 03</t>
  </si>
  <si>
    <t xml:space="preserve">      • Generators — Paralleling Switchgear &amp; Controls</t>
  </si>
  <si>
    <t xml:space="preserve">26 20 04</t>
  </si>
  <si>
    <t xml:space="preserve">      • Generators — Install, Rigging &amp; Commissioning</t>
  </si>
  <si>
    <t xml:space="preserve">26 20 10</t>
  </si>
  <si>
    <t xml:space="preserve">Generator Paralleling Switchgear  — breakdown ↓</t>
  </si>
  <si>
    <t xml:space="preserve">26 20 11</t>
  </si>
  <si>
    <t xml:space="preserve">      • Paralleling Switchgear — Gear</t>
  </si>
  <si>
    <t xml:space="preserve">26 20 12</t>
  </si>
  <si>
    <t xml:space="preserve">      • Paralleling Switchgear — Controls &amp; Sync</t>
  </si>
  <si>
    <t xml:space="preserve">26 20 13</t>
  </si>
  <si>
    <t xml:space="preserve">      • Paralleling Switchgear — Install &amp; Commissioning</t>
  </si>
  <si>
    <t xml:space="preserve">26 20 20</t>
  </si>
  <si>
    <t xml:space="preserve">Generator Exhaust / Silencer System  — breakdown ↓</t>
  </si>
  <si>
    <t xml:space="preserve">26 20 21</t>
  </si>
  <si>
    <t xml:space="preserve">      • Gen Exhaust — Silencers</t>
  </si>
  <si>
    <t xml:space="preserve">26 20 22</t>
  </si>
  <si>
    <t xml:space="preserve">      • Gen Exhaust — Exhaust Piping</t>
  </si>
  <si>
    <t xml:space="preserve">26 20 23</t>
  </si>
  <si>
    <t xml:space="preserve">      • Gen Exhaust — Supports &amp; Install</t>
  </si>
  <si>
    <t xml:space="preserve">26 20 30</t>
  </si>
  <si>
    <t xml:space="preserve">Generator Fuel Day Tanks  — breakdown ↓</t>
  </si>
  <si>
    <t xml:space="preserve">26 20 31</t>
  </si>
  <si>
    <t xml:space="preserve">      • Day Tanks — Tanks</t>
  </si>
  <si>
    <t xml:space="preserve">26 20 32</t>
  </si>
  <si>
    <t xml:space="preserve">      • Day Tanks — Piping &amp; Pumps</t>
  </si>
  <si>
    <t xml:space="preserve">26 20 33</t>
  </si>
  <si>
    <t xml:space="preserve">      • Day Tanks — Controls &amp; Leak Detection</t>
  </si>
  <si>
    <t xml:space="preserve">26 20 40</t>
  </si>
  <si>
    <t xml:space="preserve">Generator Enclosures / Sound Attenuation  — breakdown ↓</t>
  </si>
  <si>
    <t xml:space="preserve">26 20 41</t>
  </si>
  <si>
    <t xml:space="preserve">      • Gen Enclosures — Enclosures</t>
  </si>
  <si>
    <t xml:space="preserve">26 20 42</t>
  </si>
  <si>
    <t xml:space="preserve">      • Gen Enclosures — Sound Attenuation</t>
  </si>
  <si>
    <t xml:space="preserve">26 20 43</t>
  </si>
  <si>
    <t xml:space="preserve">      • Gen Enclosures — Install</t>
  </si>
  <si>
    <t xml:space="preserve">26 21 00</t>
  </si>
  <si>
    <t xml:space="preserve">Generator Load Banks (Testing)</t>
  </si>
  <si>
    <t xml:space="preserve">26 30 00</t>
  </si>
  <si>
    <t xml:space="preserve">Uninterruptible Power Supply (UPS) — Static  — breakdown ↓</t>
  </si>
  <si>
    <t xml:space="preserve">26 30 01</t>
  </si>
  <si>
    <t xml:space="preserve">      • UPS — Modules</t>
  </si>
  <si>
    <t xml:space="preserve">26 30 02</t>
  </si>
  <si>
    <t xml:space="preserve">      • UPS — Battery Systems</t>
  </si>
  <si>
    <t xml:space="preserve">26 30 03</t>
  </si>
  <si>
    <t xml:space="preserve">      • UPS — Input/Output Switchgear</t>
  </si>
  <si>
    <t xml:space="preserve">26 30 04</t>
  </si>
  <si>
    <t xml:space="preserve">      • UPS — Install &amp; Commissioning</t>
  </si>
  <si>
    <t xml:space="preserve">26 30 10</t>
  </si>
  <si>
    <t xml:space="preserve">UPS Batteries — VRLA / Lithium-Ion  — breakdown ↓</t>
  </si>
  <si>
    <t xml:space="preserve">26 30 12</t>
  </si>
  <si>
    <t xml:space="preserve">      • UPS Batteries — Cells / Strings</t>
  </si>
  <si>
    <t xml:space="preserve">26 30 13</t>
  </si>
  <si>
    <t xml:space="preserve">      • UPS Batteries — Racks / Cabinets</t>
  </si>
  <si>
    <t xml:space="preserve">26 30 14</t>
  </si>
  <si>
    <t xml:space="preserve">      • UPS Batteries — Monitoring (BMS)</t>
  </si>
  <si>
    <t xml:space="preserve">26 30 15</t>
  </si>
  <si>
    <t xml:space="preserve">      • UPS Batteries — Install</t>
  </si>
  <si>
    <t xml:space="preserve">26 30 20</t>
  </si>
  <si>
    <t xml:space="preserve">UPS Maintenance Bypass — External</t>
  </si>
  <si>
    <t xml:space="preserve">26 31 00</t>
  </si>
  <si>
    <t xml:space="preserve">Static Transfer Switch (STS)  — breakdown ↓</t>
  </si>
  <si>
    <t xml:space="preserve">26 31 01</t>
  </si>
  <si>
    <t xml:space="preserve">      • STS — Units</t>
  </si>
  <si>
    <t xml:space="preserve">26 31 02</t>
  </si>
  <si>
    <t xml:space="preserve">      • STS — Enclosures &amp; Bypass</t>
  </si>
  <si>
    <t xml:space="preserve">26 31 03</t>
  </si>
  <si>
    <t xml:space="preserve">      • STS — Install &amp; Terminations</t>
  </si>
  <si>
    <t xml:space="preserve">26 32 00</t>
  </si>
  <si>
    <t xml:space="preserve">Power Distribution Units (PDU)  — breakdown ↓</t>
  </si>
  <si>
    <t xml:space="preserve">26 32 01</t>
  </si>
  <si>
    <t xml:space="preserve">      • PDU — Units</t>
  </si>
  <si>
    <t xml:space="preserve">26 32 02</t>
  </si>
  <si>
    <t xml:space="preserve">      • PDU — Output Distribution Panels &amp; Breakers</t>
  </si>
  <si>
    <t xml:space="preserve">26 32 03</t>
  </si>
  <si>
    <t xml:space="preserve">      • PDU — Monitoring &amp; Metering</t>
  </si>
  <si>
    <t xml:space="preserve">26 32 04</t>
  </si>
  <si>
    <t xml:space="preserve">      • PDU — Install &amp; Terminations</t>
  </si>
  <si>
    <t xml:space="preserve">26 32 10</t>
  </si>
  <si>
    <t xml:space="preserve">Remote Power Panels (RPP)  — breakdown ↓</t>
  </si>
  <si>
    <t xml:space="preserve">26 32 11</t>
  </si>
  <si>
    <t xml:space="preserve">      • RPP — Panels</t>
  </si>
  <si>
    <t xml:space="preserve">26 32 12</t>
  </si>
  <si>
    <t xml:space="preserve">      • RPP — Branch Breakers</t>
  </si>
  <si>
    <t xml:space="preserve">26 32 13</t>
  </si>
  <si>
    <t xml:space="preserve">      • RPP — Monitoring &amp; Install</t>
  </si>
  <si>
    <t xml:space="preserve">26 33 00</t>
  </si>
  <si>
    <t xml:space="preserve">Overhead Busway — Data Hall  — breakdown ↓</t>
  </si>
  <si>
    <t xml:space="preserve">26 33 01</t>
  </si>
  <si>
    <t xml:space="preserve">      • Busway — Runs</t>
  </si>
  <si>
    <t xml:space="preserve">26 33 02</t>
  </si>
  <si>
    <t xml:space="preserve">      • Busway — Supports &amp; Hangers</t>
  </si>
  <si>
    <t xml:space="preserve">26 33 03</t>
  </si>
  <si>
    <t xml:space="preserve">      • Busway — Connections &amp; Terminations</t>
  </si>
  <si>
    <t xml:space="preserve">26 33 10</t>
  </si>
  <si>
    <t xml:space="preserve">Busway Tap-Off Boxes  — breakdown ↓</t>
  </si>
  <si>
    <t xml:space="preserve">26 33 11</t>
  </si>
  <si>
    <t xml:space="preserve">      • Tap-Off Boxes — Units</t>
  </si>
  <si>
    <t xml:space="preserve">26 33 12</t>
  </si>
  <si>
    <t xml:space="preserve">      • Tap-Off Boxes — Breakers</t>
  </si>
  <si>
    <t xml:space="preserve">26 33 13</t>
  </si>
  <si>
    <t xml:space="preserve">      • Tap-Off Boxes — Install</t>
  </si>
  <si>
    <t xml:space="preserve">26 34 00</t>
  </si>
  <si>
    <t xml:space="preserve">Whips &amp; Connections — Cabinet Level  — breakdown ↓</t>
  </si>
  <si>
    <t xml:space="preserve">26 34 01</t>
  </si>
  <si>
    <t xml:space="preserve">      • Whips — Whips</t>
  </si>
  <si>
    <t xml:space="preserve">26 34 02</t>
  </si>
  <si>
    <t xml:space="preserve">      • Whips — Connectors</t>
  </si>
  <si>
    <t xml:space="preserve">26 34 03</t>
  </si>
  <si>
    <t xml:space="preserve">      • Whips — Install</t>
  </si>
  <si>
    <t xml:space="preserve">26 40 00</t>
  </si>
  <si>
    <t xml:space="preserve">Interior Lighting — Office / Support</t>
  </si>
  <si>
    <t xml:space="preserve">26 40 10</t>
  </si>
  <si>
    <t xml:space="preserve">Interior Lighting — Data Halls (LED)  — breakdown ↓</t>
  </si>
  <si>
    <t xml:space="preserve">26 40 11</t>
  </si>
  <si>
    <t xml:space="preserve">      • Interior Lighting — Fixtures</t>
  </si>
  <si>
    <t xml:space="preserve">26 40 12</t>
  </si>
  <si>
    <t xml:space="preserve">      • Interior Lighting — Controls &amp; Sensors</t>
  </si>
  <si>
    <t xml:space="preserve">26 40 13</t>
  </si>
  <si>
    <t xml:space="preserve">      • Interior Lighting — Install &amp; Wiring</t>
  </si>
  <si>
    <t xml:space="preserve">26 40 20</t>
  </si>
  <si>
    <t xml:space="preserve">Emergency / Egress Lighting</t>
  </si>
  <si>
    <t xml:space="preserve">26 41 00</t>
  </si>
  <si>
    <t xml:space="preserve">Exterior Lighting — Building Mounted</t>
  </si>
  <si>
    <t xml:space="preserve">26 42 00</t>
  </si>
  <si>
    <t xml:space="preserve">Lighting Controls — Occupancy / Daylighting</t>
  </si>
  <si>
    <t xml:space="preserve">26 50 00</t>
  </si>
  <si>
    <t xml:space="preserve">Surge Protection Devices (SPD)</t>
  </si>
  <si>
    <t xml:space="preserve">26 51 00</t>
  </si>
  <si>
    <t xml:space="preserve">Arc Flash Mitigation — Relay Protection  — breakdown ↓</t>
  </si>
  <si>
    <t xml:space="preserve">26 51 01</t>
  </si>
  <si>
    <t xml:space="preserve">      • Arc Flash — Relays</t>
  </si>
  <si>
    <t xml:space="preserve">26 51 02</t>
  </si>
  <si>
    <t xml:space="preserve">      • Arc Flash — Settings &amp; Study</t>
  </si>
  <si>
    <t xml:space="preserve">26 51 03</t>
  </si>
  <si>
    <t xml:space="preserve">      • Arc Flash — Install</t>
  </si>
  <si>
    <t xml:space="preserve">26 52 00</t>
  </si>
  <si>
    <t xml:space="preserve">Power Factor Correction Capacitors</t>
  </si>
  <si>
    <t xml:space="preserve">26 53 00</t>
  </si>
  <si>
    <t xml:space="preserve">Electrical Testing &amp; Commissioning  — breakdown ↓</t>
  </si>
  <si>
    <t xml:space="preserve">26 53 01</t>
  </si>
  <si>
    <t xml:space="preserve">      • Elec Cx — L1-2 Startup</t>
  </si>
  <si>
    <t xml:space="preserve">26 53 02</t>
  </si>
  <si>
    <t xml:space="preserve">      • Elec Cx — L3 Functional</t>
  </si>
  <si>
    <t xml:space="preserve">26 53 03</t>
  </si>
  <si>
    <t xml:space="preserve">      • Elec Cx — L4-5 Integrated</t>
  </si>
  <si>
    <t xml:space="preserve">26 27 50</t>
  </si>
  <si>
    <t xml:space="preserve">Motor Control Centers — Mechanical  — breakdown ↓</t>
  </si>
  <si>
    <t xml:space="preserve">26 27 51</t>
  </si>
  <si>
    <t xml:space="preserve">      • MCC — Units</t>
  </si>
  <si>
    <t xml:space="preserve">26 27 52</t>
  </si>
  <si>
    <t xml:space="preserve">      • MCC — Breakers / Starters</t>
  </si>
  <si>
    <t xml:space="preserve">26 27 53</t>
  </si>
  <si>
    <t xml:space="preserve">      • MCC — Install</t>
  </si>
  <si>
    <t xml:space="preserve">26 05 60</t>
  </si>
  <si>
    <t xml:space="preserve">Feeder Cable &amp; Terminations — LV  — breakdown ↓</t>
  </si>
  <si>
    <t xml:space="preserve">26 05 61</t>
  </si>
  <si>
    <t xml:space="preserve">      • LV Feeder — Cable</t>
  </si>
  <si>
    <t xml:space="preserve">26 05 62</t>
  </si>
  <si>
    <t xml:space="preserve">      • LV Feeder — Terminations</t>
  </si>
  <si>
    <t xml:space="preserve">26 05 63</t>
  </si>
  <si>
    <t xml:space="preserve">      • LV Feeder — Testing</t>
  </si>
  <si>
    <t xml:space="preserve">26 32 50</t>
  </si>
  <si>
    <t xml:space="preserve">Battery Energy Storage (BESS) Tie-In  — breakdown ↓</t>
  </si>
  <si>
    <t xml:space="preserve">26 32 51</t>
  </si>
  <si>
    <t xml:space="preserve">      • BESS — Battery Racks</t>
  </si>
  <si>
    <t xml:space="preserve">26 32 52</t>
  </si>
  <si>
    <t xml:space="preserve">      • BESS — PCS / Inverters</t>
  </si>
  <si>
    <t xml:space="preserve">26 32 53</t>
  </si>
  <si>
    <t xml:space="preserve">      • BESS — Controls &amp; Install</t>
  </si>
  <si>
    <t xml:space="preserve">26 05 36</t>
  </si>
  <si>
    <t xml:space="preserve">Cable Tray &amp; Wireway Systems — Electrical</t>
  </si>
  <si>
    <t xml:space="preserve">26 27 60</t>
  </si>
  <si>
    <t xml:space="preserve">Wiring Devices &amp; Receptacles</t>
  </si>
  <si>
    <t xml:space="preserve">26 05 26</t>
  </si>
  <si>
    <t xml:space="preserve">Grounding &amp; Bonding — Electrical Ground Grid</t>
  </si>
  <si>
    <t xml:space="preserve">26 41 01</t>
  </si>
  <si>
    <t xml:space="preserve">26 05 73</t>
  </si>
  <si>
    <t xml:space="preserve">Arc-Flash &amp; Coordination Study</t>
  </si>
  <si>
    <t xml:space="preserve">26 51 50</t>
  </si>
  <si>
    <t xml:space="preserve">Emergency &amp; Egress Lighting</t>
  </si>
  <si>
    <t xml:space="preserve">26 05 19</t>
  </si>
  <si>
    <t xml:space="preserve">Medium-Voltage Distribution — Building Unit Substations</t>
  </si>
  <si>
    <t xml:space="preserve">26 05 48</t>
  </si>
  <si>
    <t xml:space="preserve">Electrical Equipment Seismic Anchorage &amp; Bracing</t>
  </si>
  <si>
    <t xml:space="preserve">26 05 53</t>
  </si>
  <si>
    <t xml:space="preserve">Electrical Identification &amp; Arc-Flash Labeling</t>
  </si>
  <si>
    <t xml:space="preserve">26 05 90</t>
  </si>
  <si>
    <t xml:space="preserve">Temporary Construction Power &amp; Distribution</t>
  </si>
  <si>
    <t xml:space="preserve">26 05 99</t>
  </si>
  <si>
    <t xml:space="preserve">Electrical Spare Parts &amp; Maintenance Stock</t>
  </si>
  <si>
    <t xml:space="preserve">26 20 50</t>
  </si>
  <si>
    <t xml:space="preserve">Generator Radiators / Remote Cooling Systems</t>
  </si>
  <si>
    <t xml:space="preserve">26 20 60</t>
  </si>
  <si>
    <t xml:space="preserve">Generator Fuel Polishing / Filtration System</t>
  </si>
  <si>
    <t xml:space="preserve">26 20 70</t>
  </si>
  <si>
    <t xml:space="preserve">Generator Emissions Control (SCR / Tier 4)</t>
  </si>
  <si>
    <t xml:space="preserve">Subtotal — ELECTRICAL / CRITICAL POWER</t>
  </si>
  <si>
    <t xml:space="preserve">DIVISION 27 — COMMUNICATIONS / IT INFRASTRUCTURE</t>
  </si>
  <si>
    <t xml:space="preserve">27 05 00</t>
  </si>
  <si>
    <t xml:space="preserve">Pathway &amp; Spaces — Cable Tray, Ladder Rack, J-Hooks</t>
  </si>
  <si>
    <t xml:space="preserve">27 05 10</t>
  </si>
  <si>
    <t xml:space="preserve">Firestopping — Communications Penetrations</t>
  </si>
  <si>
    <t xml:space="preserve">27 10 00</t>
  </si>
  <si>
    <t xml:space="preserve">Structured Cabling — Cat6A (Data Halls)</t>
  </si>
  <si>
    <t xml:space="preserve">27 10 10</t>
  </si>
  <si>
    <t xml:space="preserve">Structured Cabling — Cat6A (Office / Support)</t>
  </si>
  <si>
    <t xml:space="preserve">27 11 00</t>
  </si>
  <si>
    <t xml:space="preserve">Fiber Optic Cabling — Single Mode Backbone</t>
  </si>
  <si>
    <t xml:space="preserve">27 11 10</t>
  </si>
  <si>
    <t xml:space="preserve">Fiber Optic Cabling — Multi-Mode Distribution</t>
  </si>
  <si>
    <t xml:space="preserve">27 13 00</t>
  </si>
  <si>
    <t xml:space="preserve">Main Distribution Area (MDA) Buildout</t>
  </si>
  <si>
    <t xml:space="preserve">27 13 10</t>
  </si>
  <si>
    <t xml:space="preserve">Intermediate Distribution Area (IDA)</t>
  </si>
  <si>
    <t xml:space="preserve">27 15 00</t>
  </si>
  <si>
    <t xml:space="preserve">IT Cabinets &amp; Racks — 42U / 52U  — breakdown ↓</t>
  </si>
  <si>
    <t xml:space="preserve">27 15 01</t>
  </si>
  <si>
    <t xml:space="preserve">      • IT Racks — Cabinets / Racks</t>
  </si>
  <si>
    <t xml:space="preserve">27 15 02</t>
  </si>
  <si>
    <t xml:space="preserve">      • IT Racks — Rack PDUs / Power Strips</t>
  </si>
  <si>
    <t xml:space="preserve">27 15 03</t>
  </si>
  <si>
    <t xml:space="preserve">      • IT Racks — Containment &amp; Accessories</t>
  </si>
  <si>
    <t xml:space="preserve">27 15 10</t>
  </si>
  <si>
    <t xml:space="preserve">Cabinet Accessories — PDU Strips, Blanking Panels  — breakdown ↓</t>
  </si>
  <si>
    <t xml:space="preserve">27 15 11</t>
  </si>
  <si>
    <t xml:space="preserve">      • Cabinet Accessories — Blanking Panels</t>
  </si>
  <si>
    <t xml:space="preserve">27 15 12</t>
  </si>
  <si>
    <t xml:space="preserve">      • Cabinet Accessories — Cable Management</t>
  </si>
  <si>
    <t xml:space="preserve">27 15 13</t>
  </si>
  <si>
    <t xml:space="preserve">      • Cabinet Accessories — Grounding &amp; Hardware</t>
  </si>
  <si>
    <t xml:space="preserve">27 16 00</t>
  </si>
  <si>
    <t xml:space="preserve">Overhead Cable Management — Waterfall Trays</t>
  </si>
  <si>
    <t xml:space="preserve">27 20 00</t>
  </si>
  <si>
    <t xml:space="preserve">Fiber Patch Panels &amp; Enclosures  — breakdown ↓</t>
  </si>
  <si>
    <t xml:space="preserve">27 20 01</t>
  </si>
  <si>
    <t xml:space="preserve">      • Fiber — Panels &amp; Enclosures</t>
  </si>
  <si>
    <t xml:space="preserve">27 20 02</t>
  </si>
  <si>
    <t xml:space="preserve">      • Fiber — Cassettes / Modules</t>
  </si>
  <si>
    <t xml:space="preserve">27 20 03</t>
  </si>
  <si>
    <t xml:space="preserve">      • Fiber — Terminations &amp; Testing</t>
  </si>
  <si>
    <t xml:space="preserve">27 21 00</t>
  </si>
  <si>
    <t xml:space="preserve">Copper Patch Panels  — breakdown ↓</t>
  </si>
  <si>
    <t xml:space="preserve">27 21 01</t>
  </si>
  <si>
    <t xml:space="preserve">      • Copper Panels — Panels</t>
  </si>
  <si>
    <t xml:space="preserve">27 21 02</t>
  </si>
  <si>
    <t xml:space="preserve">      • Copper Panels — Jacks &amp; Modules</t>
  </si>
  <si>
    <t xml:space="preserve">27 21 03</t>
  </si>
  <si>
    <t xml:space="preserve">      • Copper Panels — Terminations &amp; Testing</t>
  </si>
  <si>
    <t xml:space="preserve">27 30 00</t>
  </si>
  <si>
    <t xml:space="preserve">DCIM — Data Center Infrastructure Management</t>
  </si>
  <si>
    <t xml:space="preserve">27 31 00</t>
  </si>
  <si>
    <t xml:space="preserve">Environmental Monitoring — Temp / Humidity Sensors</t>
  </si>
  <si>
    <t xml:space="preserve">27 32 00</t>
  </si>
  <si>
    <t xml:space="preserve">Water Leak Detection System — Under Raised Floor  — breakdown ↓</t>
  </si>
  <si>
    <t xml:space="preserve">27 32 01</t>
  </si>
  <si>
    <t xml:space="preserve">      • Leak Detection — Sensing Cable</t>
  </si>
  <si>
    <t xml:space="preserve">27 32 02</t>
  </si>
  <si>
    <t xml:space="preserve">      • Leak Detection — Controllers</t>
  </si>
  <si>
    <t xml:space="preserve">27 32 03</t>
  </si>
  <si>
    <t xml:space="preserve">      • Leak Detection — Integration &amp; Install</t>
  </si>
  <si>
    <t xml:space="preserve">27 40 00</t>
  </si>
  <si>
    <t xml:space="preserve">Audio / Visual System — NOC / SOC</t>
  </si>
  <si>
    <t xml:space="preserve">27 41 00</t>
  </si>
  <si>
    <t xml:space="preserve">Audio / Visual — Conference Rooms</t>
  </si>
  <si>
    <t xml:space="preserve">27 50 00</t>
  </si>
  <si>
    <t xml:space="preserve">Wireless Access Points (WAP)</t>
  </si>
  <si>
    <t xml:space="preserve">27 60 00</t>
  </si>
  <si>
    <t xml:space="preserve">Telecom Entrance Facility — Meet-Me Room</t>
  </si>
  <si>
    <t xml:space="preserve">27 51 00</t>
  </si>
  <si>
    <t xml:space="preserve">Distributed Antenna System (DAS) — Cellular</t>
  </si>
  <si>
    <t xml:space="preserve">27 52 00</t>
  </si>
  <si>
    <t xml:space="preserve">Public Address / Intercom</t>
  </si>
  <si>
    <t xml:space="preserve">27 05 60</t>
  </si>
  <si>
    <t xml:space="preserve">Telecom Bonding &amp; Grounding (TBB/TGB)</t>
  </si>
  <si>
    <t xml:space="preserve">27 53 00</t>
  </si>
  <si>
    <t xml:space="preserve">Two-Way Radio / BDA Coverage System</t>
  </si>
  <si>
    <t xml:space="preserve">27 32 50</t>
  </si>
  <si>
    <t xml:space="preserve">Master Clock / Timing Distribution</t>
  </si>
  <si>
    <t xml:space="preserve">27 21 50</t>
  </si>
  <si>
    <t xml:space="preserve">KVM / Console Management — Data Halls</t>
  </si>
  <si>
    <t xml:space="preserve">27 05 28</t>
  </si>
  <si>
    <t xml:space="preserve">Telecom Pathways — Innerduct &amp; Sleeves</t>
  </si>
  <si>
    <t xml:space="preserve">27 08 00</t>
  </si>
  <si>
    <t xml:space="preserve">Communications Commissioning &amp; Acceptance Testing</t>
  </si>
  <si>
    <t xml:space="preserve">27 10 50</t>
  </si>
  <si>
    <t xml:space="preserve">Pre-Terminated MPO/MTP Trunk Cabling</t>
  </si>
  <si>
    <t xml:space="preserve">27 11 50</t>
  </si>
  <si>
    <t xml:space="preserve">Campus / OSP Fiber Backbone — Inter-Building (SM)</t>
  </si>
  <si>
    <t xml:space="preserve">27 13 50</t>
  </si>
  <si>
    <t xml:space="preserve">Horizontal Distribution Area (HDA) Buildout</t>
  </si>
  <si>
    <t xml:space="preserve">Subtotal — COMMUNICATIONS / IT INFRASTRUCTURE</t>
  </si>
  <si>
    <t xml:space="preserve">DIVISION 28 — ELECTRONIC SAFETY &amp; SECURITY</t>
  </si>
  <si>
    <t xml:space="preserve">28 05 00</t>
  </si>
  <si>
    <t xml:space="preserve">Security Common Work — Conduit &amp; Wiring</t>
  </si>
  <si>
    <t xml:space="preserve">28 10 00</t>
  </si>
  <si>
    <t xml:space="preserve">Access Control System — Card Reader / Biometric</t>
  </si>
  <si>
    <t xml:space="preserve">28 10 10</t>
  </si>
  <si>
    <t xml:space="preserve">Access Control — Mantrap / Interlock Vestibule  — breakdown ↓</t>
  </si>
  <si>
    <t xml:space="preserve">28 10 11</t>
  </si>
  <si>
    <t xml:space="preserve">      • Mantrap — Interlock Doors &amp; Controllers</t>
  </si>
  <si>
    <t xml:space="preserve">28 10 12</t>
  </si>
  <si>
    <t xml:space="preserve">      • Mantrap — Readers &amp; Biometrics</t>
  </si>
  <si>
    <t xml:space="preserve">28 10 13</t>
  </si>
  <si>
    <t xml:space="preserve">      • Mantrap — Integration &amp; Software</t>
  </si>
  <si>
    <t xml:space="preserve">28 10 14</t>
  </si>
  <si>
    <t xml:space="preserve">      • Mantrap — Install</t>
  </si>
  <si>
    <t xml:space="preserve">28 10 20</t>
  </si>
  <si>
    <t xml:space="preserve">Access Control — Vehicle Gate Integration</t>
  </si>
  <si>
    <t xml:space="preserve">28 13 00</t>
  </si>
  <si>
    <t xml:space="preserve">CCTV / Video Surveillance — Interior</t>
  </si>
  <si>
    <t xml:space="preserve">28 13 10</t>
  </si>
  <si>
    <t xml:space="preserve">CCTV / Video Surveillance — Exterior</t>
  </si>
  <si>
    <t xml:space="preserve">28 13 20</t>
  </si>
  <si>
    <t xml:space="preserve">Video Management System (VMS) &amp; Storage</t>
  </si>
  <si>
    <t xml:space="preserve">28 15 00</t>
  </si>
  <si>
    <t xml:space="preserve">Intrusion Detection — Perimeter Fence</t>
  </si>
  <si>
    <t xml:space="preserve">28 15 10</t>
  </si>
  <si>
    <t xml:space="preserve">Intrusion Detection — Interior Motion / Glass Break</t>
  </si>
  <si>
    <t xml:space="preserve">28 16 00</t>
  </si>
  <si>
    <t xml:space="preserve">Security Operations Center (SOC) Buildout</t>
  </si>
  <si>
    <t xml:space="preserve">28 17 00</t>
  </si>
  <si>
    <t xml:space="preserve">Visitor Management System</t>
  </si>
  <si>
    <t xml:space="preserve">28 18 00</t>
  </si>
  <si>
    <t xml:space="preserve">Guard Booth — Vehicle Checkpoint</t>
  </si>
  <si>
    <t xml:space="preserve">28 20 00</t>
  </si>
  <si>
    <t xml:space="preserve">Security Monitoring &amp; Alarm Integration</t>
  </si>
  <si>
    <t xml:space="preserve">28 23 00</t>
  </si>
  <si>
    <t xml:space="preserve">Vehicle Barrier System — Crash Rated</t>
  </si>
  <si>
    <t xml:space="preserve">28 30 00</t>
  </si>
  <si>
    <t xml:space="preserve">Security Lighting — IR / White Light</t>
  </si>
  <si>
    <t xml:space="preserve">28 13 50</t>
  </si>
  <si>
    <t xml:space="preserve">Optical Turnstiles — Lobby</t>
  </si>
  <si>
    <t xml:space="preserve">28 16 50</t>
  </si>
  <si>
    <t xml:space="preserve">Duress / Panic Alarm System</t>
  </si>
  <si>
    <t xml:space="preserve">28 13 60</t>
  </si>
  <si>
    <t xml:space="preserve">Weapons / Package Screening — Lobby</t>
  </si>
  <si>
    <t xml:space="preserve">28 16 60</t>
  </si>
  <si>
    <t xml:space="preserve">Rising Bollards — Vehicle Sally Port</t>
  </si>
  <si>
    <t xml:space="preserve">28 23 50</t>
  </si>
  <si>
    <t xml:space="preserve">Video Analytics / AI Surveillance Platform</t>
  </si>
  <si>
    <t xml:space="preserve">28 13 70</t>
  </si>
  <si>
    <t xml:space="preserve">Subtotal — ELECTRONIC SAFETY &amp; SECURITY</t>
  </si>
  <si>
    <t xml:space="preserve">DIVISION 31 — EARTHWORK</t>
  </si>
  <si>
    <t xml:space="preserve">31 10 00</t>
  </si>
  <si>
    <t xml:space="preserve">Site Clearing &amp; Demolition</t>
  </si>
  <si>
    <t xml:space="preserve">31 22 00</t>
  </si>
  <si>
    <t xml:space="preserve">Grading &amp; Excavation</t>
  </si>
  <si>
    <t xml:space="preserve">31 23 00</t>
  </si>
  <si>
    <t xml:space="preserve">Fill, Backfill &amp; Compaction</t>
  </si>
  <si>
    <t xml:space="preserve">31 23 10</t>
  </si>
  <si>
    <t xml:space="preserve">Structural Fill — Under Slabs</t>
  </si>
  <si>
    <t xml:space="preserve">31 25 00</t>
  </si>
  <si>
    <t xml:space="preserve">Erosion &amp; Sediment Control</t>
  </si>
  <si>
    <t xml:space="preserve">31 31 00</t>
  </si>
  <si>
    <t xml:space="preserve">Soil Treatment / Stabilization</t>
  </si>
  <si>
    <t xml:space="preserve">31 40 00</t>
  </si>
  <si>
    <t xml:space="preserve">Shoring &amp; Underpinning</t>
  </si>
  <si>
    <t xml:space="preserve">31 50 00</t>
  </si>
  <si>
    <t xml:space="preserve">Excavation Support — Sheet Piling</t>
  </si>
  <si>
    <t xml:space="preserve">31 62 00</t>
  </si>
  <si>
    <t xml:space="preserve">Driven Piles  — breakdown ↓</t>
  </si>
  <si>
    <t xml:space="preserve">31 62 01</t>
  </si>
  <si>
    <t xml:space="preserve">      • Driven Piles — Pile Material</t>
  </si>
  <si>
    <t xml:space="preserve">31 62 02</t>
  </si>
  <si>
    <t xml:space="preserve">      • Driven Piles — Driving &amp; Equipment</t>
  </si>
  <si>
    <t xml:space="preserve">31 62 03</t>
  </si>
  <si>
    <t xml:space="preserve">      • Driven Piles — Testing &amp; PDA</t>
  </si>
  <si>
    <t xml:space="preserve">31 62 04</t>
  </si>
  <si>
    <t xml:space="preserve">      • Driven Piles — Cutoffs &amp; Prep</t>
  </si>
  <si>
    <t xml:space="preserve">31 63 00</t>
  </si>
  <si>
    <t xml:space="preserve">Drilled Shafts (Caissons)  — breakdown ↓</t>
  </si>
  <si>
    <t xml:space="preserve">31 63 01</t>
  </si>
  <si>
    <t xml:space="preserve">      • Drilled Shafts — Drilling</t>
  </si>
  <si>
    <t xml:space="preserve">31 63 02</t>
  </si>
  <si>
    <t xml:space="preserve">      • Drilled Shafts — Concrete &amp; Rebar</t>
  </si>
  <si>
    <t xml:space="preserve">31 63 03</t>
  </si>
  <si>
    <t xml:space="preserve">      • Drilled Shafts — Casing</t>
  </si>
  <si>
    <t xml:space="preserve">31 63 04</t>
  </si>
  <si>
    <t xml:space="preserve">      • Drilled Shafts — Testing</t>
  </si>
  <si>
    <t xml:space="preserve">31 23 20</t>
  </si>
  <si>
    <t xml:space="preserve">Dewatering — Construction</t>
  </si>
  <si>
    <t xml:space="preserve">31 05 13</t>
  </si>
  <si>
    <t xml:space="preserve">Aggregate Base Course — Under Slab/Paving</t>
  </si>
  <si>
    <t xml:space="preserve">31 32 00</t>
  </si>
  <si>
    <t xml:space="preserve">Geotextile / Soil Stabilization Fabric</t>
  </si>
  <si>
    <t xml:space="preserve">31 23 30</t>
  </si>
  <si>
    <t xml:space="preserve">Rock Excavation &amp; Blasting</t>
  </si>
  <si>
    <t xml:space="preserve">31 23 40</t>
  </si>
  <si>
    <t xml:space="preserve">Surplus Soil Export &amp; Haul-Off</t>
  </si>
  <si>
    <t xml:space="preserve">31 11 50</t>
  </si>
  <si>
    <t xml:space="preserve">Temporary Construction Roads &amp; Laydown</t>
  </si>
  <si>
    <t xml:space="preserve">31 22 50</t>
  </si>
  <si>
    <t xml:space="preserve">Topsoil Stripping &amp; Stockpiling</t>
  </si>
  <si>
    <t xml:space="preserve">31 22 60</t>
  </si>
  <si>
    <t xml:space="preserve">Fine Grading &amp; Subgrade Preparation</t>
  </si>
  <si>
    <t xml:space="preserve">31 25 50</t>
  </si>
  <si>
    <t xml:space="preserve">SWPPP &amp; Construction Fence</t>
  </si>
  <si>
    <t xml:space="preserve">31 09 00</t>
  </si>
  <si>
    <t xml:space="preserve">Geotechnical Instrumentation &amp; Monitoring</t>
  </si>
  <si>
    <t xml:space="preserve">Subtotal — EARTHWORK</t>
  </si>
  <si>
    <t xml:space="preserve">DIVISION 32 — EXTERIOR IMPROVEMENTS</t>
  </si>
  <si>
    <t xml:space="preserve">32 12 00</t>
  </si>
  <si>
    <t xml:space="preserve">Flexible Paving — Asphalt</t>
  </si>
  <si>
    <t xml:space="preserve">32 13 00</t>
  </si>
  <si>
    <t xml:space="preserve">Rigid Paving — Concrete</t>
  </si>
  <si>
    <t xml:space="preserve">32 16 00</t>
  </si>
  <si>
    <t xml:space="preserve">Curbs &amp; Gutters</t>
  </si>
  <si>
    <t xml:space="preserve">32 17 00</t>
  </si>
  <si>
    <t xml:space="preserve">Parking Lot Striping &amp; Signage</t>
  </si>
  <si>
    <t xml:space="preserve">32 31 00</t>
  </si>
  <si>
    <t xml:space="preserve">Security Fencing — 8' Chain Link + Barbed Wire</t>
  </si>
  <si>
    <t xml:space="preserve">32 31 10</t>
  </si>
  <si>
    <t xml:space="preserve">Perimeter Bollards — K-Rated</t>
  </si>
  <si>
    <t xml:space="preserve">32 32 00</t>
  </si>
  <si>
    <t xml:space="preserve">Vehicle Gates — Slide / Swing</t>
  </si>
  <si>
    <t xml:space="preserve">32 84 00</t>
  </si>
  <si>
    <t xml:space="preserve">Irrigation System</t>
  </si>
  <si>
    <t xml:space="preserve">32 90 00</t>
  </si>
  <si>
    <t xml:space="preserve">Landscaping</t>
  </si>
  <si>
    <t xml:space="preserve">32 11 00</t>
  </si>
  <si>
    <t xml:space="preserve">Sidewalks &amp; Pedestrian Paving</t>
  </si>
  <si>
    <t xml:space="preserve">32 32 50</t>
  </si>
  <si>
    <t xml:space="preserve">Retaining Walls — Site</t>
  </si>
  <si>
    <t xml:space="preserve">32 17 50</t>
  </si>
  <si>
    <t xml:space="preserve">Guard Rails &amp; Crash Barriers — Site</t>
  </si>
  <si>
    <t xml:space="preserve">32 13 50</t>
  </si>
  <si>
    <t xml:space="preserve">Heavy-Duty Concrete Hardstand — Equipment Yard</t>
  </si>
  <si>
    <t xml:space="preserve">32 12 50</t>
  </si>
  <si>
    <t xml:space="preserve">Truck Court &amp; Dock Apron Paving</t>
  </si>
  <si>
    <t xml:space="preserve">32 17 60</t>
  </si>
  <si>
    <t xml:space="preserve">Parking Bumpers &amp; Wheel Stops</t>
  </si>
  <si>
    <t xml:space="preserve">32 84 50</t>
  </si>
  <si>
    <t xml:space="preserve">Site Stormwater — Inlets, Manholes &amp; Catch Basins</t>
  </si>
  <si>
    <t xml:space="preserve">32 31 50</t>
  </si>
  <si>
    <t xml:space="preserve">Security Gates &amp; Crash-Rated Barriers (K-Rated)</t>
  </si>
  <si>
    <t xml:space="preserve">Subtotal — EXTERIOR IMPROVEMENTS</t>
  </si>
  <si>
    <t xml:space="preserve">DIVISION 33 — UTILITIES</t>
  </si>
  <si>
    <t xml:space="preserve">33 10 00</t>
  </si>
  <si>
    <t xml:space="preserve">Water Distribution — Main Connection</t>
  </si>
  <si>
    <t xml:space="preserve">33 30 00</t>
  </si>
  <si>
    <t xml:space="preserve">Sanitary Sewer — Main Connection</t>
  </si>
  <si>
    <t xml:space="preserve">33 40 00</t>
  </si>
  <si>
    <t xml:space="preserve">Storm Drainage System  — breakdown ↓</t>
  </si>
  <si>
    <t xml:space="preserve">33 40 01</t>
  </si>
  <si>
    <t xml:space="preserve">      • Storm Drainage — Piping</t>
  </si>
  <si>
    <t xml:space="preserve">33 40 02</t>
  </si>
  <si>
    <t xml:space="preserve">      • Storm Drainage — Structures (Inlets/MH)</t>
  </si>
  <si>
    <t xml:space="preserve">33 40 03</t>
  </si>
  <si>
    <t xml:space="preserve">      • Storm Drainage — Install</t>
  </si>
  <si>
    <t xml:space="preserve">33 41 00</t>
  </si>
  <si>
    <t xml:space="preserve">Stormwater Detention / Retention</t>
  </si>
  <si>
    <t xml:space="preserve">33 50 10</t>
  </si>
  <si>
    <t xml:space="preserve">Fuel Oil Distribution — Generator Farm  — breakdown ↓</t>
  </si>
  <si>
    <t xml:space="preserve">33 50 11</t>
  </si>
  <si>
    <t xml:space="preserve">      • Fuel — Day Tanks &amp; Bulk Piping</t>
  </si>
  <si>
    <t xml:space="preserve">33 50 12</t>
  </si>
  <si>
    <t xml:space="preserve">      • Fuel — Pumps, Filtration &amp; Polishing</t>
  </si>
  <si>
    <t xml:space="preserve">33 50 13</t>
  </si>
  <si>
    <t xml:space="preserve">      • Fuel — Controls &amp; Leak Detection</t>
  </si>
  <si>
    <t xml:space="preserve">33 50 14</t>
  </si>
  <si>
    <t xml:space="preserve">      • Fuel — Install &amp; Testing</t>
  </si>
  <si>
    <t xml:space="preserve">33 51 00</t>
  </si>
  <si>
    <t xml:space="preserve">Fuel Storage Tanks — Above Ground  — breakdown ↓</t>
  </si>
  <si>
    <t xml:space="preserve">33 51 01</t>
  </si>
  <si>
    <t xml:space="preserve">      • Fuel Tanks — Tanks</t>
  </si>
  <si>
    <t xml:space="preserve">33 51 02</t>
  </si>
  <si>
    <t xml:space="preserve">      • Fuel Tanks — Foundations &amp; Containment</t>
  </si>
  <si>
    <t xml:space="preserve">33 51 03</t>
  </si>
  <si>
    <t xml:space="preserve">      • Fuel Tanks — Install &amp; Testing</t>
  </si>
  <si>
    <t xml:space="preserve">33 52 00</t>
  </si>
  <si>
    <t xml:space="preserve">Fuel Oil Piping &amp; Fill Station  — breakdown ↓</t>
  </si>
  <si>
    <t xml:space="preserve">33 52 01</t>
  </si>
  <si>
    <t xml:space="preserve">      • Fuel Piping — Piping &amp; Fittings</t>
  </si>
  <si>
    <t xml:space="preserve">33 52 02</t>
  </si>
  <si>
    <t xml:space="preserve">      • Fuel Piping — Fill Station &amp; Pumps</t>
  </si>
  <si>
    <t xml:space="preserve">33 52 03</t>
  </si>
  <si>
    <t xml:space="preserve">      • Fuel Piping — Supports &amp; Insulation</t>
  </si>
  <si>
    <t xml:space="preserve">33 52 04</t>
  </si>
  <si>
    <t xml:space="preserve">      • Fuel Piping — Testing</t>
  </si>
  <si>
    <t xml:space="preserve">33 71 00</t>
  </si>
  <si>
    <t xml:space="preserve">Electrical Utility — Primary Service Entrance  — breakdown ↓</t>
  </si>
  <si>
    <t xml:space="preserve">33 71 01</t>
  </si>
  <si>
    <t xml:space="preserve">      • Utility Substation &amp; Transformers</t>
  </si>
  <si>
    <t xml:space="preserve">33 71 02</t>
  </si>
  <si>
    <t xml:space="preserve">      • Primary Feeders &amp; Duct Bank</t>
  </si>
  <si>
    <t xml:space="preserve">33 71 03</t>
  </si>
  <si>
    <t xml:space="preserve">      • Metering &amp; Protection Relays</t>
  </si>
  <si>
    <t xml:space="preserve">33 71 04</t>
  </si>
  <si>
    <t xml:space="preserve">      • Utility Coordination &amp; Switchgear</t>
  </si>
  <si>
    <t xml:space="preserve">33 71 10</t>
  </si>
  <si>
    <t xml:space="preserve">Utility Ductbank — Medium Voltage  — breakdown ↓</t>
  </si>
  <si>
    <t xml:space="preserve">33 71 11</t>
  </si>
  <si>
    <t xml:space="preserve">      • MV Ductbank — Excavation &amp; Conduit</t>
  </si>
  <si>
    <t xml:space="preserve">33 71 12</t>
  </si>
  <si>
    <t xml:space="preserve">      • MV Ductbank — Concrete Encasement</t>
  </si>
  <si>
    <t xml:space="preserve">33 71 13</t>
  </si>
  <si>
    <t xml:space="preserve">      • MV Ductbank — Manholes</t>
  </si>
  <si>
    <t xml:space="preserve">33 73 00</t>
  </si>
  <si>
    <t xml:space="preserve">Utility Metering — Revenue Grade</t>
  </si>
  <si>
    <t xml:space="preserve">33 79 00</t>
  </si>
  <si>
    <t xml:space="preserve">Site Lighting — LED Poles &amp; Fixtures</t>
  </si>
  <si>
    <t xml:space="preserve">33 82 00</t>
  </si>
  <si>
    <t xml:space="preserve">Fiber Optic Utility Entrance — Diverse Path</t>
  </si>
  <si>
    <t xml:space="preserve">33 52 50</t>
  </si>
  <si>
    <t xml:space="preserve">Natural Gas Service &amp; Distribution</t>
  </si>
  <si>
    <t xml:space="preserve">33 82 50</t>
  </si>
  <si>
    <t xml:space="preserve">Communications Ductbank — Site</t>
  </si>
  <si>
    <t xml:space="preserve">33 12 50</t>
  </si>
  <si>
    <t xml:space="preserve">Domestic Water Booster Pump Station</t>
  </si>
  <si>
    <t xml:space="preserve">33 31 50</t>
  </si>
  <si>
    <t xml:space="preserve">Sanitary Lift Station</t>
  </si>
  <si>
    <t xml:space="preserve">33 09 50</t>
  </si>
  <si>
    <t xml:space="preserve">Utility SCADA / Monitoring</t>
  </si>
  <si>
    <t xml:space="preserve">33 05 50</t>
  </si>
  <si>
    <t xml:space="preserve">Utility Trenching, Bedding &amp; Backfill</t>
  </si>
  <si>
    <t xml:space="preserve">33 46 00</t>
  </si>
  <si>
    <t xml:space="preserve">Subdrainage / Under-Slab Drainage System</t>
  </si>
  <si>
    <t xml:space="preserve">Subtotal — UTILITIES</t>
  </si>
  <si>
    <t xml:space="preserve">SUBTOTAL (All Divisions)</t>
  </si>
  <si>
    <t xml:space="preserve">Contingency</t>
  </si>
  <si>
    <t xml:space="preserve">(included in line items)</t>
  </si>
  <si>
    <t xml:space="preserve">TOTAL PROJECT BUDGET</t>
  </si>
  <si>
    <t xml:space="preserve">Cost per SF:</t>
  </si>
  <si>
    <t xml:space="preserve">Cost per Watt:</t>
  </si>
  <si>
    <t xml:space="preserve">UNIT COST DATABASE — TIE-OUT CHECK</t>
  </si>
  <si>
    <t xml:space="preserve">Active pricing tier (live, from database)</t>
  </si>
  <si>
    <t xml:space="preserve">CSI line items priced from database</t>
  </si>
  <si>
    <t xml:space="preserve">Codes not found in database (should be 0)</t>
  </si>
  <si>
    <t xml:space="preserve">Σ all line items = grand total (no orphans / double-counts)</t>
  </si>
  <si>
    <t xml:space="preserve">Tie-out status — all line prices sourced from Unit Cost Database</t>
  </si>
  <si>
    <t xml:space="preserve">DATA CENTER CAMPUS — PROGRAM-LEVEL ROLLUP</t>
  </si>
  <si>
    <t xml:space="preserve">Program Name:</t>
  </si>
  <si>
    <t xml:space="preserve">Client:</t>
  </si>
  <si>
    <t xml:space="preserve">Estimate Class:</t>
  </si>
  <si>
    <t xml:space="preserve">Class 3 (DD)</t>
  </si>
  <si>
    <t xml:space="preserve">Location:</t>
  </si>
  <si>
    <t xml:space="preserve">Accuracy Range:</t>
  </si>
  <si>
    <t xml:space="preserve">BUILDING-BY-BUILDING SUMMARY</t>
  </si>
  <si>
    <t xml:space="preserve">GBA (SF)</t>
  </si>
  <si>
    <t xml:space="preserve">IT Load (MW)</t>
  </si>
  <si>
    <t xml:space="preserve">CSA Cost</t>
  </si>
  <si>
    <t xml:space="preserve">MEP Cost</t>
  </si>
  <si>
    <t xml:space="preserve">Other (Cx/GC/Soft)</t>
  </si>
  <si>
    <t xml:space="preserve">$/SF</t>
  </si>
  <si>
    <t xml:space="preserve">$/MW</t>
  </si>
  <si>
    <t xml:space="preserve">Building 1 (B1)</t>
  </si>
  <si>
    <t xml:space="preserve">Building 2 (B2)</t>
  </si>
  <si>
    <t xml:space="preserve">Building 3 (B3)</t>
  </si>
  <si>
    <t xml:space="preserve">Building 4 (B4)</t>
  </si>
  <si>
    <t xml:space="preserve">Building 5 (B5)</t>
  </si>
  <si>
    <t xml:space="preserve">Building 6 (B6)</t>
  </si>
  <si>
    <t xml:space="preserve">S</t>
  </si>
  <si>
    <t xml:space="preserve">Shared Infrastructure</t>
  </si>
  <si>
    <t xml:space="preserve">CAMPUS TOTAL</t>
  </si>
  <si>
    <t xml:space="preserve">PROGRAM-LEVEL METRICS</t>
  </si>
  <si>
    <t xml:space="preserve">CSA Share of Total:</t>
  </si>
  <si>
    <t xml:space="preserve">MEP Share of Total:</t>
  </si>
  <si>
    <t xml:space="preserve">Other Share:</t>
  </si>
  <si>
    <t xml:space="preserve">Campus $/SF (excl. Shared):</t>
  </si>
  <si>
    <t xml:space="preserve">Campus $/MW (incl. Shared):</t>
  </si>
  <si>
    <t xml:space="preserve">PROGRAM ECONOMICS — ALL-IN   (bridge to TDC)</t>
  </si>
  <si>
    <t xml:space="preserve">Hard construction (this tab):</t>
  </si>
  <si>
    <t xml:space="preserve">All-in development cost:</t>
  </si>
  <si>
    <t xml:space="preserve">Hard cost % of all-in:</t>
  </si>
  <si>
    <t xml:space="preserve">Construction $/MW:</t>
  </si>
  <si>
    <t xml:space="preserve">All-in $/MW:</t>
  </si>
  <si>
    <t xml:space="preserve">Capex uplift $/MW:</t>
  </si>
  <si>
    <t xml:space="preserve">Construction $/SF (incl. shared):</t>
  </si>
  <si>
    <t xml:space="preserve">All-in $/SF:</t>
  </si>
  <si>
    <t xml:space="preserve">All-in cost per Watt:</t>
  </si>
  <si>
    <t xml:space="preserve">Senior loan (60% LTC):</t>
  </si>
  <si>
    <t xml:space="preserve">Sponsor equity:</t>
  </si>
  <si>
    <t xml:space="preserve">Loan-to-cost:</t>
  </si>
  <si>
    <t xml:space="preserve">NOTES</t>
  </si>
  <si>
    <t xml:space="preserve">• Tag each Construction Budget line in column I (Building) to one of B1–B6 or "Shared" so it rolls up here.</t>
  </si>
  <si>
    <t xml:space="preserve">• Column J (Scope) auto-classifies CSA / MEP / Cx / GC / Soft based on division. Override per line if needed.</t>
  </si>
  <si>
    <t xml:space="preserve">• Shared Infrastructure = site-wide utilities, security perimeter, central plant, common roads — not allocated to a specific building.</t>
  </si>
  <si>
    <t xml:space="preserve">• Campus $/SF excludes Shared Infra (which has no allocable SF). Campus $/MW includes Shared (allocated against total IT load).</t>
  </si>
  <si>
    <t xml:space="preserve">— chart source data —</t>
  </si>
  <si>
    <t xml:space="preserve">CSA (core &amp; shell)</t>
  </si>
  <si>
    <t xml:space="preserve">MEP (power &amp; cooling)</t>
  </si>
  <si>
    <t xml:space="preserve">Other (Cx / GC / soft)</t>
  </si>
  <si>
    <t xml:space="preserve">CIVIL / STRUCTURAL / ARCHITECTURAL (CSA) ESTIMATE SUMMARY</t>
  </si>
  <si>
    <t xml:space="preserve">Scope:</t>
  </si>
  <si>
    <t xml:space="preserve">Civil + Structural + Architectural (excludes MEP, Cx, GC, Soft Costs)</t>
  </si>
  <si>
    <t xml:space="preserve">CSA DIVISION</t>
  </si>
  <si>
    <t xml:space="preserve">Base (current)</t>
  </si>
  <si>
    <t xml:space="preserve">Hyperscale (Hybrid)</t>
  </si>
  <si>
    <t xml:space="preserve">Air-Cooled</t>
  </si>
  <si>
    <t xml:space="preserve">AI / HPC (Liquid)</t>
  </si>
  <si>
    <t xml:space="preserve">Earthwork (Div 31)</t>
  </si>
  <si>
    <t xml:space="preserve">Exterior Improvements (Div 32)</t>
  </si>
  <si>
    <t xml:space="preserve">Utilities (Div 33)</t>
  </si>
  <si>
    <t xml:space="preserve">Concrete (Div 03)</t>
  </si>
  <si>
    <t xml:space="preserve">Metals / Structural Steel (Div 05)</t>
  </si>
  <si>
    <t xml:space="preserve">Thermal &amp; Moisture (Div 07)</t>
  </si>
  <si>
    <t xml:space="preserve">Openings (Div 08)</t>
  </si>
  <si>
    <t xml:space="preserve">Finishes (Div 09)</t>
  </si>
  <si>
    <t xml:space="preserve">Specialties (Div 10)</t>
  </si>
  <si>
    <t xml:space="preserve">Masonry (Div 04)</t>
  </si>
  <si>
    <t xml:space="preserve">Wood, Plastics &amp; Composites (Div 06)</t>
  </si>
  <si>
    <t xml:space="preserve">Equipment (Div 11)</t>
  </si>
  <si>
    <t xml:space="preserve">Furnishings (Div 12)</t>
  </si>
  <si>
    <t xml:space="preserve">Conveying Equipment (Div 14)</t>
  </si>
  <si>
    <t xml:space="preserve">TOTAL CSA</t>
  </si>
  <si>
    <t xml:space="preserve">Hyperscale / Air-Cooled / AI-HPC = Base division mix scaled to each scenario's CSA total (Scenario Comparison) — indicative, not separately estimated.</t>
  </si>
  <si>
    <t xml:space="preserve">CSA UNIT METRICS</t>
  </si>
  <si>
    <t xml:space="preserve">CSA $/SF</t>
  </si>
  <si>
    <t xml:space="preserve">CSA IN CONTEXT</t>
  </si>
  <si>
    <t xml:space="preserve">Total CSA cost</t>
  </si>
  <si>
    <t xml:space="preserve">Campus CSA $/SF (blended)</t>
  </si>
  <si>
    <t xml:space="preserve">CSA % of total construction</t>
  </si>
  <si>
    <t xml:space="preserve">CSA % of all-in TDC</t>
  </si>
  <si>
    <t xml:space="preserve">DATA CENTER — UNIT COST DATABASE / STANDARD REFERENCE PRICING</t>
  </si>
  <si>
    <t xml:space="preserve">Low Range</t>
  </si>
  <si>
    <t xml:space="preserve">Mid Range</t>
  </si>
  <si>
    <t xml:space="preserve">High Range</t>
  </si>
  <si>
    <t xml:space="preserve">Notes</t>
  </si>
  <si>
    <t xml:space="preserve">Selected Price</t>
  </si>
  <si>
    <t xml:space="preserve">SF</t>
  </si>
  <si>
    <t xml:space="preserve">Per SF of site area; varies with existing conditions</t>
  </si>
  <si>
    <t xml:space="preserve">CY</t>
  </si>
  <si>
    <t xml:space="preserve">Per cubic yard; rock excavation at high end</t>
  </si>
  <si>
    <t xml:space="preserve">Includes import fill, placement, and proof-roll</t>
  </si>
  <si>
    <t xml:space="preserve">Driven Piles</t>
  </si>
  <si>
    <t xml:space="preserve">LF</t>
  </si>
  <si>
    <t xml:space="preserve">Per LF of pile; steel H-pile typical</t>
  </si>
  <si>
    <t xml:space="preserve">Asphalt Paving</t>
  </si>
  <si>
    <t xml:space="preserve">4" HMA over 8" aggregate base</t>
  </si>
  <si>
    <t xml:space="preserve">Concrete Paving</t>
  </si>
  <si>
    <t xml:space="preserve">6" reinforced concrete; truck aprons higher</t>
  </si>
  <si>
    <t xml:space="preserve">Per LF including gates; K-rated bollards separate</t>
  </si>
  <si>
    <t xml:space="preserve">Tap, meter, backflow, site distribution</t>
  </si>
  <si>
    <t xml:space="preserve">Storm Drainage System</t>
  </si>
  <si>
    <t xml:space="preserve">Per SF of site; includes detention/retention</t>
  </si>
  <si>
    <t xml:space="preserve">33 50 00</t>
  </si>
  <si>
    <t xml:space="preserve">Fuel Oil Distribution — Generator Farm</t>
  </si>
  <si>
    <t xml:space="preserve">GAL</t>
  </si>
  <si>
    <t xml:space="preserve">Per gallon of storage capacity; AST w/ piping</t>
  </si>
  <si>
    <t xml:space="preserve">Electrical Utility — Primary Service Entrance</t>
  </si>
  <si>
    <t xml:space="preserve">Per MW; includes ductbank, switchgear pad, metering</t>
  </si>
  <si>
    <t xml:space="preserve">Cast-in-Place Concrete — Foundations</t>
  </si>
  <si>
    <t xml:space="preserve">Per CY placed; includes form, rebar, finish</t>
  </si>
  <si>
    <t xml:space="preserve">Slab on Grade — Data Halls (FF/FL)</t>
  </si>
  <si>
    <t xml:space="preserve">6"+ slab w/ vapor barrier; FF50/FL25 min</t>
  </si>
  <si>
    <t xml:space="preserve">Precast Concrete — Tilt-Up Panels</t>
  </si>
  <si>
    <t xml:space="preserve">Per SF of panel face; erected and sealed</t>
  </si>
  <si>
    <t xml:space="preserve">Structural Steel Framing</t>
  </si>
  <si>
    <t xml:space="preserve">TON</t>
  </si>
  <si>
    <t xml:space="preserve">Fabricated and erected; connections included</t>
  </si>
  <si>
    <t xml:space="preserve">Steel Decking — Roof</t>
  </si>
  <si>
    <t xml:space="preserve">1.5" Type B; installed on steel joists</t>
  </si>
  <si>
    <t xml:space="preserve">Metal Wall Panels — Insulated</t>
  </si>
  <si>
    <t xml:space="preserve">IMPs; R-25+ typical for data centers</t>
  </si>
  <si>
    <t xml:space="preserve">Single-Ply Membrane Roofing (TPO/EPDM)</t>
  </si>
  <si>
    <t xml:space="preserve">Fully adhered; includes insulation and walkway pads</t>
  </si>
  <si>
    <t xml:space="preserve">EA</t>
  </si>
  <si>
    <t xml:space="preserve">Per penetration; UL-listed systems</t>
  </si>
  <si>
    <t xml:space="preserve">Domestic Water — Plumbing Fixtures</t>
  </si>
  <si>
    <t xml:space="preserve">FIX</t>
  </si>
  <si>
    <t xml:space="preserve">Per fixture; includes rough-in and trim</t>
  </si>
  <si>
    <t xml:space="preserve">Make-Up Water — Cooling Towers</t>
  </si>
  <si>
    <t xml:space="preserve">GPM</t>
  </si>
  <si>
    <t xml:space="preserve">Per GPM capacity; RO/DI treatment included</t>
  </si>
  <si>
    <t xml:space="preserve">Per tank; VRLA acid neutralization typical</t>
  </si>
  <si>
    <t xml:space="preserve">Pre-Action Sprinkler System — Data Halls</t>
  </si>
  <si>
    <t xml:space="preserve">Double interlock pre-action; per SF protected</t>
  </si>
  <si>
    <t xml:space="preserve">Clean Agent System — FM-200 / Novec 1230</t>
  </si>
  <si>
    <t xml:space="preserve">Per SF of protected zone; includes tanks and piping</t>
  </si>
  <si>
    <t xml:space="preserve">VESDA Detection</t>
  </si>
  <si>
    <t xml:space="preserve">Per SF; aspirating smoke detection</t>
  </si>
  <si>
    <t xml:space="preserve">Fire Alarm / Mass Notification System</t>
  </si>
  <si>
    <t xml:space="preserve">Per SF total building; FACP, devices, wiring</t>
  </si>
  <si>
    <t xml:space="preserve">Per pump; electric or diesel drive</t>
  </si>
  <si>
    <t xml:space="preserve">Centrifugal Chillers — Water-Cooled</t>
  </si>
  <si>
    <t xml:space="preserve">Per ton; 500-2000 ton units typical</t>
  </si>
  <si>
    <t xml:space="preserve">Cooling Towers — Induced Draft</t>
  </si>
  <si>
    <t xml:space="preserve">Per ton; includes basin, VFDs, piping</t>
  </si>
  <si>
    <t xml:space="preserve">Per LF; 8"-16" welded steel insulated</t>
  </si>
  <si>
    <t xml:space="preserve">CRAH Units</t>
  </si>
  <si>
    <t xml:space="preserve">Per ton; chilled water CRAHs, 30-100 ton units</t>
  </si>
  <si>
    <t xml:space="preserve">Hot/Cold Aisle Containment</t>
  </si>
  <si>
    <t xml:space="preserve">CAB</t>
  </si>
  <si>
    <t xml:space="preserve">Per cabinet position; panels, doors, roof</t>
  </si>
  <si>
    <t xml:space="preserve">Economizer System — Waterside</t>
  </si>
  <si>
    <t xml:space="preserve">Per ton; plate-and-frame HX, controls</t>
  </si>
  <si>
    <t xml:space="preserve">Building Management System (BMS)</t>
  </si>
  <si>
    <t xml:space="preserve">PT</t>
  </si>
  <si>
    <t xml:space="preserve">Per point; includes controllers, sensors, programming</t>
  </si>
  <si>
    <t xml:space="preserve">kW</t>
  </si>
  <si>
    <t xml:space="preserve">Per kW; CDUs, manifolds, piping to racks</t>
  </si>
  <si>
    <t xml:space="preserve">Medium Voltage Switchgear (15kV/35kV)</t>
  </si>
  <si>
    <t xml:space="preserve">Per lineup; includes breakers, relays, testing</t>
  </si>
  <si>
    <t xml:space="preserve">Utility Transformers — MV to LV</t>
  </si>
  <si>
    <t xml:space="preserve">kVA</t>
  </si>
  <si>
    <t xml:space="preserve">Per kVA; 2000-3000 kVA units typical</t>
  </si>
  <si>
    <t xml:space="preserve">Standby Generators — Diesel (2MW+)</t>
  </si>
  <si>
    <t xml:space="preserve">Per kW; includes paralleling, enclosure, exhaust</t>
  </si>
  <si>
    <t xml:space="preserve">UPS — Static (Rotary higher)</t>
  </si>
  <si>
    <t xml:space="preserve">Per kW; 500kW-1.5MW modules; double-conversion</t>
  </si>
  <si>
    <t xml:space="preserve">UPS Batteries — VRLA</t>
  </si>
  <si>
    <t xml:space="preserve">Per kW supported; 10-15 min runtime</t>
  </si>
  <si>
    <t xml:space="preserve">26 30 11</t>
  </si>
  <si>
    <t xml:space="preserve">UPS Batteries — Lithium-Ion</t>
  </si>
  <si>
    <t xml:space="preserve">Per kW; longer life, smaller footprint vs VRLA</t>
  </si>
  <si>
    <t xml:space="preserve">Static Transfer Switch (STS)</t>
  </si>
  <si>
    <t xml:space="preserve">Per unit; 100A-4000A range</t>
  </si>
  <si>
    <t xml:space="preserve">Power Distribution Units (PDU)</t>
  </si>
  <si>
    <t xml:space="preserve">Per unit; 75-500 kVA; transformer + breakers</t>
  </si>
  <si>
    <t xml:space="preserve">Overhead Busway — Data Hall</t>
  </si>
  <si>
    <t xml:space="preserve">Per LF; 225A-800A; includes tap-off boxes</t>
  </si>
  <si>
    <t xml:space="preserve">Whips &amp; Connections — Cabinet Level</t>
  </si>
  <si>
    <t xml:space="preserve">Per drop; A+B feeds typical</t>
  </si>
  <si>
    <t xml:space="preserve">Per SF data hall; ground grid, risers, bonds</t>
  </si>
  <si>
    <t xml:space="preserve">Per SF roof area; air terminals, conductors, grounds</t>
  </si>
  <si>
    <t xml:space="preserve">Power Monitoring (EPMS)</t>
  </si>
  <si>
    <t xml:space="preserve">Per metering point; includes software/dashboard</t>
  </si>
  <si>
    <t xml:space="preserve">Hollow Metal Doors &amp; Frames</t>
  </si>
  <si>
    <t xml:space="preserve">Per opening; includes hardware</t>
  </si>
  <si>
    <t xml:space="preserve">Per door; 10'x12' insulated typical</t>
  </si>
  <si>
    <t xml:space="preserve">Raised Access Floor — Data Halls</t>
  </si>
  <si>
    <t xml:space="preserve">Per SF; 24"+ height; 2500lb concentrated load</t>
  </si>
  <si>
    <t xml:space="preserve">Epoxy Flooring — Battery / Mech Rooms</t>
  </si>
  <si>
    <t xml:space="preserve">Chemical-resistant; includes surface prep</t>
  </si>
  <si>
    <t xml:space="preserve">Gypsum Board — Interior Partitions</t>
  </si>
  <si>
    <t xml:space="preserve">Per SF of wall; both sides; studs included</t>
  </si>
  <si>
    <t xml:space="preserve">Cable Tray &amp; Ladder Rack</t>
  </si>
  <si>
    <t xml:space="preserve">Per LF; 12"-24" wide; includes supports</t>
  </si>
  <si>
    <t xml:space="preserve">Structured Cabling — Cat6A</t>
  </si>
  <si>
    <t xml:space="preserve">DROP</t>
  </si>
  <si>
    <t xml:space="preserve">Per drop; includes patch panel, testing, labeling</t>
  </si>
  <si>
    <t xml:space="preserve">Fiber Optic Cabling — SM Backbone</t>
  </si>
  <si>
    <t xml:space="preserve">Per LF of 48-strand SM; terminated both ends</t>
  </si>
  <si>
    <t xml:space="preserve">IT Cabinets &amp; Racks — 42U/52U</t>
  </si>
  <si>
    <t xml:space="preserve">Per cabinet; includes seismic bracing</t>
  </si>
  <si>
    <t xml:space="preserve">DCIM — Infrastructure Management Software</t>
  </si>
  <si>
    <t xml:space="preserve">Per cabinet monitored; license + sensors</t>
  </si>
  <si>
    <t xml:space="preserve">Water Leak Detection — Under Raised Floor</t>
  </si>
  <si>
    <t xml:space="preserve">Per LF of sensing cable; controller separate</t>
  </si>
  <si>
    <t xml:space="preserve">Access Control — Card Reader / Biometric</t>
  </si>
  <si>
    <t xml:space="preserve">Per controlled opening; includes panel share</t>
  </si>
  <si>
    <t xml:space="preserve">Mantrap / Interlock Vestibule</t>
  </si>
  <si>
    <t xml:space="preserve">Per vestibule; doors, readers, interlock logic</t>
  </si>
  <si>
    <t xml:space="preserve">CCTV / Video Surveillance</t>
  </si>
  <si>
    <t xml:space="preserve">Per camera position; includes VMS share</t>
  </si>
  <si>
    <t xml:space="preserve">Vehicle Barrier — Crash Rated (K-rated)</t>
  </si>
  <si>
    <t xml:space="preserve">Per barrier; K4-K12 rating range</t>
  </si>
  <si>
    <t xml:space="preserve">Per MW IT load; overall Cx program mgmt</t>
  </si>
  <si>
    <t xml:space="preserve">Integrated Systems Testing (IST)</t>
  </si>
  <si>
    <t xml:space="preserve">Per MW; load banks, fuel, labor</t>
  </si>
  <si>
    <t xml:space="preserve">General Conditions — Project Management</t>
  </si>
  <si>
    <t xml:space="preserve">MO</t>
  </si>
  <si>
    <t xml:space="preserve">Per month; PM, super, safety, QC staff</t>
  </si>
  <si>
    <t xml:space="preserve">Temporary Facilities — Site Office</t>
  </si>
  <si>
    <t xml:space="preserve">Per month; trailers, utilities, IT</t>
  </si>
  <si>
    <t xml:space="preserve">A/E Design Fees</t>
  </si>
  <si>
    <t xml:space="preserve">%</t>
  </si>
  <si>
    <t xml:space="preserve">As % of hard costs; MEP-heavy scope</t>
  </si>
  <si>
    <t xml:space="preserve">Third-Party CxA</t>
  </si>
  <si>
    <t xml:space="preserve">Third-party CxA / Owner's CxA; $/MW basis (corrected from %).</t>
  </si>
  <si>
    <t xml:space="preserve">Per facility; TCDD + TCCF; Tier III-IV</t>
  </si>
  <si>
    <t xml:space="preserve">BIM / Virtual Design &amp; Construction</t>
  </si>
  <si>
    <t xml:space="preserve">As % of hard costs; LOD 300-400</t>
  </si>
  <si>
    <t xml:space="preserve">Data Center — All-In Cost per MW</t>
  </si>
  <si>
    <t xml:space="preserve">Total project cost per MW IT; Tier III benchmark</t>
  </si>
  <si>
    <t xml:space="preserve">Seeded from CB hardcode</t>
  </si>
  <si>
    <t xml:space="preserve">Drilled Shafts (Caissons)</t>
  </si>
  <si>
    <t xml:space="preserve">Fuel Oil Piping &amp; Fill Station</t>
  </si>
  <si>
    <t xml:space="preserve">Utility Ductbank — Medium Voltage</t>
  </si>
  <si>
    <t xml:space="preserve">Structural Steel — Generator / Equipment Support</t>
  </si>
  <si>
    <t xml:space="preserve">Steel Joists</t>
  </si>
  <si>
    <t xml:space="preserve">Cold-Formed Metal Framing</t>
  </si>
  <si>
    <t xml:space="preserve">Pipe / Equipment Supports — Seismic Bracing</t>
  </si>
  <si>
    <t xml:space="preserve">Building Insulation — Walls</t>
  </si>
  <si>
    <t xml:space="preserve">Roof Insulation</t>
  </si>
  <si>
    <t xml:space="preserve">Applied Fireproofing — Spray</t>
  </si>
  <si>
    <t xml:space="preserve">Mechanical Common Work — Hangers, Supports, Seismic</t>
  </si>
  <si>
    <t xml:space="preserve">DCIM Integration — Environmental Monitoring</t>
  </si>
  <si>
    <t xml:space="preserve">Chilled Water Piping — Secondary / Tertiary</t>
  </si>
  <si>
    <t xml:space="preserve">In-Row Cooling Units</t>
  </si>
  <si>
    <t xml:space="preserve">Humidification System</t>
  </si>
  <si>
    <t xml:space="preserve">Make-Up Water System</t>
  </si>
  <si>
    <t xml:space="preserve">Thermal Energy Storage</t>
  </si>
  <si>
    <t xml:space="preserve">kWh</t>
  </si>
  <si>
    <t xml:space="preserve">Electrical Common Work — Conduit, Wire, Supports</t>
  </si>
  <si>
    <t xml:space="preserve">Medium Voltage Cable — Utility to Switchgear</t>
  </si>
  <si>
    <t xml:space="preserve">Transformers — UPS Input / Output</t>
  </si>
  <si>
    <t xml:space="preserve">Dry-Type Transformers — PDU / RPP</t>
  </si>
  <si>
    <t xml:space="preserve">Main Switchboards — 480V</t>
  </si>
  <si>
    <t xml:space="preserve">Automatic Transfer Switches (ATS)</t>
  </si>
  <si>
    <t xml:space="preserve">Distribution Panelboards — Mechanical</t>
  </si>
  <si>
    <t xml:space="preserve">Distribution Panelboards — Lighting / General</t>
  </si>
  <si>
    <t xml:space="preserve">Generator Paralleling Switchgear</t>
  </si>
  <si>
    <t xml:space="preserve">Generator Exhaust / Silencer System</t>
  </si>
  <si>
    <t xml:space="preserve">Generator Fuel Day Tanks</t>
  </si>
  <si>
    <t xml:space="preserve">Generator Enclosures / Sound Attenuation</t>
  </si>
  <si>
    <t xml:space="preserve">Remote Power Panels (RPP)</t>
  </si>
  <si>
    <t xml:space="preserve">Busway Tap-Off Boxes</t>
  </si>
  <si>
    <t xml:space="preserve">Interior Lighting — Data Halls (LED)</t>
  </si>
  <si>
    <t xml:space="preserve">Arc Flash Mitigation — Relay Protection</t>
  </si>
  <si>
    <t xml:space="preserve">Curtain Wall System</t>
  </si>
  <si>
    <t xml:space="preserve">Anti-Static / ESD Flooring — Data Halls</t>
  </si>
  <si>
    <t xml:space="preserve">Cabinet Accessories — PDU Strips, Blanking Panels</t>
  </si>
  <si>
    <t xml:space="preserve">Fiber Patch Panels &amp; Enclosures</t>
  </si>
  <si>
    <t xml:space="preserve">Copper Patch Panels</t>
  </si>
  <si>
    <t xml:space="preserve">Stub — no current cost; activate when scope confirmed</t>
  </si>
  <si>
    <t xml:space="preserve">Fuel Storage Tanks — Above Ground</t>
  </si>
  <si>
    <t xml:space="preserve">Cast-in-Place — Elevated Slabs</t>
  </si>
  <si>
    <t xml:space="preserve">Electrical Testing &amp; Commissioning</t>
  </si>
  <si>
    <t xml:space="preserve">Mortar, grout, joint reinforcing, ties across CMU scope</t>
  </si>
  <si>
    <t xml:space="preserve">CMU — Fire-Rated Walls (Electrical / UPS / Battery Rooms)</t>
  </si>
  <si>
    <t xml:space="preserve">2-hr rated assemblies enclosing critical rooms; per SF of wall</t>
  </si>
  <si>
    <t xml:space="preserve">Acoustic/visual screen at generator farm</t>
  </si>
  <si>
    <t xml:space="preserve">Grouted, reinforced security partitions</t>
  </si>
  <si>
    <t xml:space="preserve">Brick/stone veneer at administrative areas</t>
  </si>
  <si>
    <t xml:space="preserve">Final cleaning and water-repellent sealing</t>
  </si>
  <si>
    <t xml:space="preserve">Roof blocking, equipment curbs, nailers; per SF GBA</t>
  </si>
  <si>
    <t xml:space="preserve">Gypsum/wood sheathing behind panels; per SF</t>
  </si>
  <si>
    <t xml:space="preserve">Fiberglass-reinforced panels at washdown/service</t>
  </si>
  <si>
    <t xml:space="preserve">FRP grating at mechanical platforms and trenches</t>
  </si>
  <si>
    <t xml:space="preserve">Fire-treated backboards at IDF/electrical rooms</t>
  </si>
  <si>
    <t xml:space="preserve">Per dock position; hydraulic levelers, seals, bumpers</t>
  </si>
  <si>
    <t xml:space="preserve">Heavy equipment receiving/handling</t>
  </si>
  <si>
    <t xml:space="preserve">Refrigeration, microwaves, dishwashers</t>
  </si>
  <si>
    <t xml:space="preserve">Commercial kitchen / servery equipment</t>
  </si>
  <si>
    <t xml:space="preserve">Roof davits and fall-arrest tie-offs</t>
  </si>
  <si>
    <t xml:space="preserve">Battery monitoring/test bench equipment</t>
  </si>
  <si>
    <t xml:space="preserve">Site compactors and cardboard balers</t>
  </si>
  <si>
    <t xml:space="preserve">Manual/motorized shades at office glazing</t>
  </si>
  <si>
    <t xml:space="preserve">Recessed entrance matting at lobbies</t>
  </si>
  <si>
    <t xml:space="preserve">Plastic-laminate casework; per LF</t>
  </si>
  <si>
    <t xml:space="preserve">Per operator position; technical furniture</t>
  </si>
  <si>
    <t xml:space="preserve">Systems furniture, conference, lobby</t>
  </si>
  <si>
    <t xml:space="preserve">Exterior site amenities</t>
  </si>
  <si>
    <t xml:space="preserve">~2 per building; machine-room-less traction</t>
  </si>
  <si>
    <t xml:space="preserve">Equipment-rated freight; ~2 per building</t>
  </si>
  <si>
    <t xml:space="preserve">Service elevators at support cores</t>
  </si>
  <si>
    <t xml:space="preserve">VRCs for inter-floor equipment moves</t>
  </si>
  <si>
    <t xml:space="preserve">Monorail/jib cranes at mechanical yards</t>
  </si>
  <si>
    <t xml:space="preserve">Pneumatic tube / small-parts transport</t>
  </si>
  <si>
    <t xml:space="preserve">Dedicated OT conduit/cable; per SF GBA</t>
  </si>
  <si>
    <t xml:space="preserve">Segmented OT/controls network backbone</t>
  </si>
  <si>
    <t xml:space="preserve">Front-end servers, historian, HMI workstations</t>
  </si>
  <si>
    <t xml:space="preserve">Aggregation/tie-in panels (excl. field BMS panels in Div 23)</t>
  </si>
  <si>
    <t xml:space="preserve">Multi-protocol integration gateways</t>
  </si>
  <si>
    <t xml:space="preserve">Master Systems Integrator (MSI) — Engineering &amp; Point Mapping</t>
  </si>
  <si>
    <t xml:space="preserve">MSI engineering, point mapping; per MW IT load</t>
  </si>
  <si>
    <t xml:space="preserve">Facility Controls Integration — BMS / EPMS / DCIM</t>
  </si>
  <si>
    <t xml:space="preserve">Cross-system integration layer; field devices in Div 23/26/27</t>
  </si>
  <si>
    <t xml:space="preserve">Tie-in of life-safety/security to head-end</t>
  </si>
  <si>
    <t xml:space="preserve">Sequence of Operations Development &amp; Controls Programming</t>
  </si>
  <si>
    <t xml:space="preserve">SOO authoring and programming; per MW</t>
  </si>
  <si>
    <t xml:space="preserve">Integrated systems testing support to Cx</t>
  </si>
  <si>
    <t xml:space="preserve">Added detail — earthwork supplemental</t>
  </si>
  <si>
    <t xml:space="preserve">Added detail — exterior supplemental</t>
  </si>
  <si>
    <t xml:space="preserve">Added detail — utilities supplemental</t>
  </si>
  <si>
    <t xml:space="preserve">Added detail — concrete supplemental</t>
  </si>
  <si>
    <t xml:space="preserve">Added detail — metals supplemental</t>
  </si>
  <si>
    <t xml:space="preserve">Added detail — thermal/moisture supplemental</t>
  </si>
  <si>
    <t xml:space="preserve">Added detail — plumbing supplemental</t>
  </si>
  <si>
    <t xml:space="preserve">Added detail — openings supplemental</t>
  </si>
  <si>
    <t xml:space="preserve">Added detail — finishes supplemental</t>
  </si>
  <si>
    <t xml:space="preserve">Added detail — specialties supplemental</t>
  </si>
  <si>
    <t xml:space="preserve">Added detail — comms supplemental</t>
  </si>
  <si>
    <t xml:space="preserve">Added detail — equipment supplemental</t>
  </si>
  <si>
    <t xml:space="preserve">Added detail — client estimate granularity</t>
  </si>
  <si>
    <t xml:space="preserve">Cast-in-Place — Mat Foundation / Raft</t>
  </si>
  <si>
    <t xml:space="preserve">LB</t>
  </si>
  <si>
    <t xml:space="preserve">Variable Frequency Drives — Mechanical</t>
  </si>
  <si>
    <t xml:space="preserve">Generator Room / Equipment Ventilation Fans</t>
  </si>
  <si>
    <t xml:space="preserve">Motor Control Centers — Mechanical</t>
  </si>
  <si>
    <t xml:space="preserve">Feeder Cable &amp; Terminations — LV</t>
  </si>
  <si>
    <t xml:space="preserve">Battery Energy Storage (BESS) Tie-In</t>
  </si>
  <si>
    <t xml:space="preserve">CF</t>
  </si>
  <si>
    <t xml:space="preserve">Ductwork — Galvanized Supply / Return / Exhaust</t>
  </si>
  <si>
    <t xml:space="preserve">In-Row Cooling — Units (Equipment)</t>
  </si>
  <si>
    <t xml:space="preserve">Decomposed from 23 23 10</t>
  </si>
  <si>
    <t xml:space="preserve">In-Row Cooling — Refrigerant / CW Piping</t>
  </si>
  <si>
    <t xml:space="preserve">In-Row Cooling — Controls &amp; Integration</t>
  </si>
  <si>
    <t xml:space="preserve">In-Row Cooling — Rigging, Install &amp; Seismic</t>
  </si>
  <si>
    <t xml:space="preserve">In-Row Cooling — Startup &amp; Commissioning</t>
  </si>
  <si>
    <t xml:space="preserve">PDU — Units</t>
  </si>
  <si>
    <t xml:space="preserve">Decomposed from 26 32 00</t>
  </si>
  <si>
    <t xml:space="preserve">PDU — Output Distribution Panels &amp; Breakers</t>
  </si>
  <si>
    <t xml:space="preserve">PDU — Monitoring &amp; Metering</t>
  </si>
  <si>
    <t xml:space="preserve">PDU — Install &amp; Terminations</t>
  </si>
  <si>
    <t xml:space="preserve">TES — Storage Tanks</t>
  </si>
  <si>
    <t xml:space="preserve">Decomposed from 23 70 00</t>
  </si>
  <si>
    <t xml:space="preserve">TES — Glycol Charge &amp; Water Treatment</t>
  </si>
  <si>
    <t xml:space="preserve">TES — Pumps &amp; Piping</t>
  </si>
  <si>
    <t xml:space="preserve">TES — Controls &amp; Insulation</t>
  </si>
  <si>
    <t xml:space="preserve">TES — Commissioning</t>
  </si>
  <si>
    <t xml:space="preserve">Generators — Diesel Gensets</t>
  </si>
  <si>
    <t xml:space="preserve">Decomposed from 26 20 00</t>
  </si>
  <si>
    <t xml:space="preserve">Generators — Fuel Day Tanks, Exhaust &amp; Silencers</t>
  </si>
  <si>
    <t xml:space="preserve">Generators — Paralleling Switchgear &amp; Controls</t>
  </si>
  <si>
    <t xml:space="preserve">Generators — Install, Rigging &amp; Commissioning</t>
  </si>
  <si>
    <t xml:space="preserve">UPS — Modules</t>
  </si>
  <si>
    <t xml:space="preserve">Decomposed from 26 30 00</t>
  </si>
  <si>
    <t xml:space="preserve">UPS — Battery Systems</t>
  </si>
  <si>
    <t xml:space="preserve">UPS — Input/Output Switchgear</t>
  </si>
  <si>
    <t xml:space="preserve">UPS — Install &amp; Commissioning</t>
  </si>
  <si>
    <t xml:space="preserve">Chillers — Units</t>
  </si>
  <si>
    <t xml:space="preserve">Decomposed from 23 21 00</t>
  </si>
  <si>
    <t xml:space="preserve">Chillers — Refrigerant Charge &amp; VFDs</t>
  </si>
  <si>
    <t xml:space="preserve">Chillers — Rigging &amp; Install</t>
  </si>
  <si>
    <t xml:space="preserve">Chillers — Startup &amp; Commissioning</t>
  </si>
  <si>
    <t xml:space="preserve">Utility Substation &amp; Transformers</t>
  </si>
  <si>
    <t xml:space="preserve">Decomposed from 33 71 00</t>
  </si>
  <si>
    <t xml:space="preserve">Primary Feeders &amp; Duct Bank</t>
  </si>
  <si>
    <t xml:space="preserve">Metering &amp; Protection Relays</t>
  </si>
  <si>
    <t xml:space="preserve">Utility Coordination &amp; Switchgear</t>
  </si>
  <si>
    <t xml:space="preserve">Busway — Runs</t>
  </si>
  <si>
    <t xml:space="preserve">Decomposed from 26 33 00</t>
  </si>
  <si>
    <t xml:space="preserve">Busway — Supports &amp; Hangers</t>
  </si>
  <si>
    <t xml:space="preserve">Busway — Connections &amp; Terminations</t>
  </si>
  <si>
    <t xml:space="preserve">Fiber — Panels &amp; Enclosures</t>
  </si>
  <si>
    <t xml:space="preserve">Decomposed from 27 20 00</t>
  </si>
  <si>
    <t xml:space="preserve">Fiber — Cassettes / Modules</t>
  </si>
  <si>
    <t xml:space="preserve">Fiber — Terminations &amp; Testing</t>
  </si>
  <si>
    <t xml:space="preserve">Fuel — Day Tanks &amp; Bulk Piping</t>
  </si>
  <si>
    <t xml:space="preserve">Decomposed from 33 50 10</t>
  </si>
  <si>
    <t xml:space="preserve">Fuel — Pumps, Filtration &amp; Polishing</t>
  </si>
  <si>
    <t xml:space="preserve">Fuel — Controls &amp; Leak Detection</t>
  </si>
  <si>
    <t xml:space="preserve">Fuel — Install &amp; Testing</t>
  </si>
  <si>
    <t xml:space="preserve">Steel — Fabricated (Columns/Beams)</t>
  </si>
  <si>
    <t xml:space="preserve">Decomposed from 05 12 00</t>
  </si>
  <si>
    <t xml:space="preserve">Steel — Erection &amp; Connections</t>
  </si>
  <si>
    <t xml:space="preserve">Steel — Shop Priming &amp; Coatings</t>
  </si>
  <si>
    <t xml:space="preserve">Steel — Detailing &amp; Engineering</t>
  </si>
  <si>
    <t xml:space="preserve">IT Racks — Cabinets / Racks</t>
  </si>
  <si>
    <t xml:space="preserve">Decomposed from 27 15 00</t>
  </si>
  <si>
    <t xml:space="preserve">IT Racks — Rack PDUs / Power Strips</t>
  </si>
  <si>
    <t xml:space="preserve">IT Racks — Containment &amp; Accessories</t>
  </si>
  <si>
    <t xml:space="preserve">Makeup Water — Storage Tanks</t>
  </si>
  <si>
    <t xml:space="preserve">Decomposed from 22 15 00</t>
  </si>
  <si>
    <t xml:space="preserve">Makeup Water — Treatment &amp; Filtration</t>
  </si>
  <si>
    <t xml:space="preserve">Makeup Water — Pumps &amp; Piping</t>
  </si>
  <si>
    <t xml:space="preserve">Makeup Water — Controls</t>
  </si>
  <si>
    <t xml:space="preserve">Raised Floor — Panels &amp; Pedestals</t>
  </si>
  <si>
    <t xml:space="preserve">Decomposed from 09 69 00</t>
  </si>
  <si>
    <t xml:space="preserve">Raised Floor — Ramps, Stairs &amp; Transitions</t>
  </si>
  <si>
    <t xml:space="preserve">Raised Floor — Cutouts, Grommets &amp; Accessories</t>
  </si>
  <si>
    <t xml:space="preserve">Raised Floor — Leveling &amp; Install</t>
  </si>
  <si>
    <t xml:space="preserve">UPS Batteries — Cells / Strings</t>
  </si>
  <si>
    <t xml:space="preserve">Decomposed from 26 30 10</t>
  </si>
  <si>
    <t xml:space="preserve">UPS Batteries — Racks / Cabinets</t>
  </si>
  <si>
    <t xml:space="preserve">UPS Batteries — Monitoring (BMS)</t>
  </si>
  <si>
    <t xml:space="preserve">UPS Batteries — Install</t>
  </si>
  <si>
    <t xml:space="preserve">STS — Units</t>
  </si>
  <si>
    <t xml:space="preserve">Decomposed from 26 31 00</t>
  </si>
  <si>
    <t xml:space="preserve">STS — Enclosures &amp; Bypass</t>
  </si>
  <si>
    <t xml:space="preserve">STS — Install &amp; Terminations</t>
  </si>
  <si>
    <t xml:space="preserve">RPP — Panels</t>
  </si>
  <si>
    <t xml:space="preserve">Decomposed from 26 32 10</t>
  </si>
  <si>
    <t xml:space="preserve">RPP — Branch Breakers</t>
  </si>
  <si>
    <t xml:space="preserve">RPP — Monitoring &amp; Install</t>
  </si>
  <si>
    <t xml:space="preserve">Tap-Off Boxes — Units</t>
  </si>
  <si>
    <t xml:space="preserve">Decomposed from 26 33 10</t>
  </si>
  <si>
    <t xml:space="preserve">Tap-Off Boxes — Breakers</t>
  </si>
  <si>
    <t xml:space="preserve">Tap-Off Boxes — Install</t>
  </si>
  <si>
    <t xml:space="preserve">Tilt-Up — Panel Fabrication</t>
  </si>
  <si>
    <t xml:space="preserve">Decomposed from 03 40 00</t>
  </si>
  <si>
    <t xml:space="preserve">Tilt-Up — Erection &amp; Bracing</t>
  </si>
  <si>
    <t xml:space="preserve">Tilt-Up — Connections &amp; Joints</t>
  </si>
  <si>
    <t xml:space="preserve">Tilt-Up — Finishing</t>
  </si>
  <si>
    <t xml:space="preserve">Wall Panels — Panels &amp; Insulation</t>
  </si>
  <si>
    <t xml:space="preserve">Decomposed from 07 41 00</t>
  </si>
  <si>
    <t xml:space="preserve">Wall Panels — Subgirts &amp; Attachment</t>
  </si>
  <si>
    <t xml:space="preserve">Wall Panels — Flashing &amp; Trim</t>
  </si>
  <si>
    <t xml:space="preserve">Driven Piles — Pile Material</t>
  </si>
  <si>
    <t xml:space="preserve">Decomposed from 31 62 00</t>
  </si>
  <si>
    <t xml:space="preserve">Driven Piles — Driving &amp; Equipment</t>
  </si>
  <si>
    <t xml:space="preserve">Driven Piles — Testing &amp; PDA</t>
  </si>
  <si>
    <t xml:space="preserve">Driven Piles — Cutoffs &amp; Prep</t>
  </si>
  <si>
    <t xml:space="preserve">Paralleling Switchgear — Gear</t>
  </si>
  <si>
    <t xml:space="preserve">Decomposed from 26 20 10</t>
  </si>
  <si>
    <t xml:space="preserve">Paralleling Switchgear — Controls &amp; Sync</t>
  </si>
  <si>
    <t xml:space="preserve">Paralleling Switchgear — Install &amp; Commissioning</t>
  </si>
  <si>
    <t xml:space="preserve">Fuel Piping — Piping &amp; Fittings</t>
  </si>
  <si>
    <t xml:space="preserve">Decomposed from 33 52 00</t>
  </si>
  <si>
    <t xml:space="preserve">Fuel Piping — Fill Station &amp; Pumps</t>
  </si>
  <si>
    <t xml:space="preserve">Fuel Piping — Supports &amp; Insulation</t>
  </si>
  <si>
    <t xml:space="preserve">Fuel Piping — Testing</t>
  </si>
  <si>
    <t xml:space="preserve">Fireproofing — Material &amp; Application</t>
  </si>
  <si>
    <t xml:space="preserve">Decomposed from 07 81 00</t>
  </si>
  <si>
    <t xml:space="preserve">Fireproofing — Prep &amp; Masking</t>
  </si>
  <si>
    <t xml:space="preserve">Fireproofing — Patching &amp; Touch-Up</t>
  </si>
  <si>
    <t xml:space="preserve">Switchboards — Units</t>
  </si>
  <si>
    <t xml:space="preserve">Decomposed from 26 12 00</t>
  </si>
  <si>
    <t xml:space="preserve">Switchboards — Breakers &amp; Metering</t>
  </si>
  <si>
    <t xml:space="preserve">Switchboards — Install &amp; Terminations</t>
  </si>
  <si>
    <t xml:space="preserve">Panelboards (Mech) — Boards</t>
  </si>
  <si>
    <t xml:space="preserve">Decomposed from 26 14 00</t>
  </si>
  <si>
    <t xml:space="preserve">Panelboards (Mech) — Breakers</t>
  </si>
  <si>
    <t xml:space="preserve">Panelboards (Mech) — Install</t>
  </si>
  <si>
    <t xml:space="preserve">CRAH — Units</t>
  </si>
  <si>
    <t xml:space="preserve">Decomposed from 23 23 00</t>
  </si>
  <si>
    <t xml:space="preserve">CRAH — Piping &amp; Coils</t>
  </si>
  <si>
    <t xml:space="preserve">CRAH — Controls</t>
  </si>
  <si>
    <t xml:space="preserve">CRAH — Install</t>
  </si>
  <si>
    <t xml:space="preserve">Seismic Supports — Steel &amp; Bracing</t>
  </si>
  <si>
    <t xml:space="preserve">Decomposed from 05 52 00</t>
  </si>
  <si>
    <t xml:space="preserve">Seismic Supports — Snubbers &amp; Isolators</t>
  </si>
  <si>
    <t xml:space="preserve">Seismic Supports — Anchorage &amp; Install</t>
  </si>
  <si>
    <t xml:space="preserve">Panelboards (Lighting) — Boards</t>
  </si>
  <si>
    <t xml:space="preserve">Decomposed from 26 14 10</t>
  </si>
  <si>
    <t xml:space="preserve">Panelboards (Lighting) — Breakers</t>
  </si>
  <si>
    <t xml:space="preserve">Panelboards (Lighting) — Install</t>
  </si>
  <si>
    <t xml:space="preserve">TPO Roofing — Membrane &amp; Insulation</t>
  </si>
  <si>
    <t xml:space="preserve">Decomposed from 07 52 00</t>
  </si>
  <si>
    <t xml:space="preserve">TPO Roofing — Fasteners &amp; Adhesive</t>
  </si>
  <si>
    <t xml:space="preserve">TPO Roofing — Flashing &amp; Details</t>
  </si>
  <si>
    <t xml:space="preserve">Mantrap — Interlock Doors &amp; Controllers</t>
  </si>
  <si>
    <t xml:space="preserve">Decomposed from 28 10 10</t>
  </si>
  <si>
    <t xml:space="preserve">Mantrap — Readers &amp; Biometrics</t>
  </si>
  <si>
    <t xml:space="preserve">Mantrap — Integration &amp; Software</t>
  </si>
  <si>
    <t xml:space="preserve">Mantrap — Install</t>
  </si>
  <si>
    <t xml:space="preserve">Gypsum — Framing &amp; Studs</t>
  </si>
  <si>
    <t xml:space="preserve">Decomposed from 09 21 00</t>
  </si>
  <si>
    <t xml:space="preserve">Gypsum — Board &amp; Install</t>
  </si>
  <si>
    <t xml:space="preserve">Gypsum — Taping &amp; Finishing</t>
  </si>
  <si>
    <t xml:space="preserve">Drilled Shafts — Drilling</t>
  </si>
  <si>
    <t xml:space="preserve">Decomposed from 31 63 00</t>
  </si>
  <si>
    <t xml:space="preserve">Drilled Shafts — Concrete &amp; Rebar</t>
  </si>
  <si>
    <t xml:space="preserve">Drilled Shafts — Casing</t>
  </si>
  <si>
    <t xml:space="preserve">Drilled Shafts — Testing</t>
  </si>
  <si>
    <t xml:space="preserve">FM-200 — Agent &amp; Cylinders</t>
  </si>
  <si>
    <t xml:space="preserve">Decomposed from 21 22 00</t>
  </si>
  <si>
    <t xml:space="preserve">FM-200 — Piping &amp; Nozzles</t>
  </si>
  <si>
    <t xml:space="preserve">FM-200 — Detection &amp; Controls</t>
  </si>
  <si>
    <t xml:space="preserve">FM-200 — Install</t>
  </si>
  <si>
    <t xml:space="preserve">Cooling Towers — Towers</t>
  </si>
  <si>
    <t xml:space="preserve">Decomposed from 23 22 00</t>
  </si>
  <si>
    <t xml:space="preserve">Cooling Towers — Basins &amp; Fans</t>
  </si>
  <si>
    <t xml:space="preserve">Cooling Towers — Install &amp; Rigging</t>
  </si>
  <si>
    <t xml:space="preserve">Cooling Towers — Controls</t>
  </si>
  <si>
    <t xml:space="preserve">Gen Enclosures — Enclosures</t>
  </si>
  <si>
    <t xml:space="preserve">Decomposed from 26 20 40</t>
  </si>
  <si>
    <t xml:space="preserve">Gen Enclosures — Sound Attenuation</t>
  </si>
  <si>
    <t xml:space="preserve">Gen Enclosures — Install</t>
  </si>
  <si>
    <t xml:space="preserve">Common Work — Conduit &amp; Raceway</t>
  </si>
  <si>
    <t xml:space="preserve">Decomposed from 26 05 00</t>
  </si>
  <si>
    <t xml:space="preserve">Common Work — Wire &amp; Cable</t>
  </si>
  <si>
    <t xml:space="preserve">Common Work — Boxes &amp; Fittings</t>
  </si>
  <si>
    <t xml:space="preserve">Copper Panels — Panels</t>
  </si>
  <si>
    <t xml:space="preserve">Decomposed from 27 21 00</t>
  </si>
  <si>
    <t xml:space="preserve">Copper Panels — Jacks &amp; Modules</t>
  </si>
  <si>
    <t xml:space="preserve">Copper Panels — Terminations &amp; Testing</t>
  </si>
  <si>
    <t xml:space="preserve">LV Feeder — Cable</t>
  </si>
  <si>
    <t xml:space="preserve">Decomposed from 26 05 60</t>
  </si>
  <si>
    <t xml:space="preserve">LV Feeder — Terminations</t>
  </si>
  <si>
    <t xml:space="preserve">LV Feeder — Testing</t>
  </si>
  <si>
    <t xml:space="preserve">Cabinet Accessories — Blanking Panels</t>
  </si>
  <si>
    <t xml:space="preserve">Decomposed from 27 15 10</t>
  </si>
  <si>
    <t xml:space="preserve">Cabinet Accessories — Cable Management</t>
  </si>
  <si>
    <t xml:space="preserve">Cabinet Accessories — Grounding &amp; Hardware</t>
  </si>
  <si>
    <t xml:space="preserve">Ductwork — Sheet Metal</t>
  </si>
  <si>
    <t xml:space="preserve">Decomposed from 23 31 50</t>
  </si>
  <si>
    <t xml:space="preserve">Ductwork — Fittings &amp; Dampers</t>
  </si>
  <si>
    <t xml:space="preserve">Ductwork — Hangers &amp; Sealing</t>
  </si>
  <si>
    <t xml:space="preserve">Slab on Grade — Concrete</t>
  </si>
  <si>
    <t xml:space="preserve">Decomposed from 03 30 30</t>
  </si>
  <si>
    <t xml:space="preserve">Slab on Grade — Reinforcement</t>
  </si>
  <si>
    <t xml:space="preserve">Slab on Grade — Finishing &amp; Curing</t>
  </si>
  <si>
    <t xml:space="preserve">Slab on Grade — Vapor Barrier Prep</t>
  </si>
  <si>
    <t xml:space="preserve">Leak Detection — Sensing Cable</t>
  </si>
  <si>
    <t xml:space="preserve">Decomposed from 27 32 00</t>
  </si>
  <si>
    <t xml:space="preserve">Leak Detection — Controllers</t>
  </si>
  <si>
    <t xml:space="preserve">Leak Detection — Integration &amp; Install</t>
  </si>
  <si>
    <t xml:space="preserve">Hot Aisle — Panels &amp; Doors</t>
  </si>
  <si>
    <t xml:space="preserve">Decomposed from 23 24 00</t>
  </si>
  <si>
    <t xml:space="preserve">Hot Aisle — Roof / Ceiling</t>
  </si>
  <si>
    <t xml:space="preserve">Hot Aisle — Install</t>
  </si>
  <si>
    <t xml:space="preserve">Roof Deck — Decking</t>
  </si>
  <si>
    <t xml:space="preserve">Decomposed from 05 31 00</t>
  </si>
  <si>
    <t xml:space="preserve">Roof Deck — Fasteners &amp; Accessories</t>
  </si>
  <si>
    <t xml:space="preserve">Roof Deck — Install</t>
  </si>
  <si>
    <t xml:space="preserve">Curtain Wall — Framing &amp; Glazing</t>
  </si>
  <si>
    <t xml:space="preserve">Decomposed from 08 44 00</t>
  </si>
  <si>
    <t xml:space="preserve">Curtain Wall — Install</t>
  </si>
  <si>
    <t xml:space="preserve">Curtain Wall — Sealants &amp; Flashing</t>
  </si>
  <si>
    <t xml:space="preserve">VFDs — Drives</t>
  </si>
  <si>
    <t xml:space="preserve">Decomposed from 23 09 50</t>
  </si>
  <si>
    <t xml:space="preserve">VFDs — Enclosures</t>
  </si>
  <si>
    <t xml:space="preserve">VFDs — Install &amp; Programming</t>
  </si>
  <si>
    <t xml:space="preserve">Makeup Water Sys — Tanks</t>
  </si>
  <si>
    <t xml:space="preserve">Decomposed from 23 40 00</t>
  </si>
  <si>
    <t xml:space="preserve">Makeup Water Sys — Treatment</t>
  </si>
  <si>
    <t xml:space="preserve">Makeup Water Sys — Pumps</t>
  </si>
  <si>
    <t xml:space="preserve">Makeup Water Sys — Controls</t>
  </si>
  <si>
    <t xml:space="preserve">Elevated Slabs — Concrete</t>
  </si>
  <si>
    <t xml:space="preserve">Decomposed from 03 30 20</t>
  </si>
  <si>
    <t xml:space="preserve">Elevated Slabs — Rebar</t>
  </si>
  <si>
    <t xml:space="preserve">Elevated Slabs — Forming</t>
  </si>
  <si>
    <t xml:space="preserve">Elevated Slabs — Finishing</t>
  </si>
  <si>
    <t xml:space="preserve">MV Cable — Cable</t>
  </si>
  <si>
    <t xml:space="preserve">Decomposed from 26 06 10</t>
  </si>
  <si>
    <t xml:space="preserve">MV Cable — Terminations</t>
  </si>
  <si>
    <t xml:space="preserve">MV Cable — Testing</t>
  </si>
  <si>
    <t xml:space="preserve">Elec Cx — L1-2 Startup</t>
  </si>
  <si>
    <t xml:space="preserve">Decomposed from 26 53 00</t>
  </si>
  <si>
    <t xml:space="preserve">Elec Cx — L3 Functional</t>
  </si>
  <si>
    <t xml:space="preserve">Elec Cx — L4-5 Integrated</t>
  </si>
  <si>
    <t xml:space="preserve">MSI — Design</t>
  </si>
  <si>
    <t xml:space="preserve">Decomposed from 25 30 00</t>
  </si>
  <si>
    <t xml:space="preserve">MSI — Integration</t>
  </si>
  <si>
    <t xml:space="preserve">MSI — Test &amp; Commission</t>
  </si>
  <si>
    <t xml:space="preserve">BMS — Controllers &amp; Devices</t>
  </si>
  <si>
    <t xml:space="preserve">Decomposed from 23 09 00</t>
  </si>
  <si>
    <t xml:space="preserve">BMS — Software &amp; Graphics</t>
  </si>
  <si>
    <t xml:space="preserve">BMS — Integration</t>
  </si>
  <si>
    <t xml:space="preserve">Fire Alarm — Panels &amp; Devices</t>
  </si>
  <si>
    <t xml:space="preserve">Decomposed from 21 31 00</t>
  </si>
  <si>
    <t xml:space="preserve">Fire Alarm — Wiring</t>
  </si>
  <si>
    <t xml:space="preserve">Fire Alarm — Programming &amp; Test</t>
  </si>
  <si>
    <t xml:space="preserve">MV Ductbank — Excavation &amp; Conduit</t>
  </si>
  <si>
    <t xml:space="preserve">Decomposed from 33 71 10</t>
  </si>
  <si>
    <t xml:space="preserve">MV Ductbank — Concrete Encasement</t>
  </si>
  <si>
    <t xml:space="preserve">MV Ductbank — Manholes</t>
  </si>
  <si>
    <t xml:space="preserve">Gen Exhaust — Silencers</t>
  </si>
  <si>
    <t xml:space="preserve">Decomposed from 26 20 20</t>
  </si>
  <si>
    <t xml:space="preserve">Gen Exhaust — Exhaust Piping</t>
  </si>
  <si>
    <t xml:space="preserve">Gen Exhaust — Supports &amp; Install</t>
  </si>
  <si>
    <t xml:space="preserve">Mat Foundation — Concrete</t>
  </si>
  <si>
    <t xml:space="preserve">Decomposed from 03 30 80</t>
  </si>
  <si>
    <t xml:space="preserve">Mat Foundation — Rebar</t>
  </si>
  <si>
    <t xml:space="preserve">Mat Foundation — Forming &amp; Finishing</t>
  </si>
  <si>
    <t xml:space="preserve">BESS — Battery Racks</t>
  </si>
  <si>
    <t xml:space="preserve">Decomposed from 26 32 50</t>
  </si>
  <si>
    <t xml:space="preserve">BESS — PCS / Inverters</t>
  </si>
  <si>
    <t xml:space="preserve">BESS — Controls &amp; Install</t>
  </si>
  <si>
    <t xml:space="preserve">Transformers — Units</t>
  </si>
  <si>
    <t xml:space="preserve">Decomposed from 26 11 00</t>
  </si>
  <si>
    <t xml:space="preserve">Transformers — Pads &amp; Install</t>
  </si>
  <si>
    <t xml:space="preserve">Transformers — Testing</t>
  </si>
  <si>
    <t xml:space="preserve">CFMF — Studs &amp; Track</t>
  </si>
  <si>
    <t xml:space="preserve">Decomposed from 05 40 00</t>
  </si>
  <si>
    <t xml:space="preserve">CFMF — Install</t>
  </si>
  <si>
    <t xml:space="preserve">CFMF — Sheathing Attachment</t>
  </si>
  <si>
    <t xml:space="preserve">Pre-Action — Piping &amp; Heads</t>
  </si>
  <si>
    <t xml:space="preserve">Decomposed from 21 13 00</t>
  </si>
  <si>
    <t xml:space="preserve">Pre-Action — Valves &amp; Risers</t>
  </si>
  <si>
    <t xml:space="preserve">Pre-Action — Controls</t>
  </si>
  <si>
    <t xml:space="preserve">Day Tanks — Tanks</t>
  </si>
  <si>
    <t xml:space="preserve">Decomposed from 26 20 30</t>
  </si>
  <si>
    <t xml:space="preserve">Day Tanks — Piping &amp; Pumps</t>
  </si>
  <si>
    <t xml:space="preserve">Day Tanks — Controls &amp; Leak Detection</t>
  </si>
  <si>
    <t xml:space="preserve">Economizer — Heat Exchangers</t>
  </si>
  <si>
    <t xml:space="preserve">Decomposed from 23 25 00</t>
  </si>
  <si>
    <t xml:space="preserve">Economizer — Piping &amp; Valves</t>
  </si>
  <si>
    <t xml:space="preserve">Economizer — Controls</t>
  </si>
  <si>
    <t xml:space="preserve">Interior Lighting — Fixtures</t>
  </si>
  <si>
    <t xml:space="preserve">Decomposed from 26 40 10</t>
  </si>
  <si>
    <t xml:space="preserve">Interior Lighting — Controls &amp; Sensors</t>
  </si>
  <si>
    <t xml:space="preserve">Interior Lighting — Install &amp; Wiring</t>
  </si>
  <si>
    <t xml:space="preserve">Humidification — Units</t>
  </si>
  <si>
    <t xml:space="preserve">Decomposed from 23 36 00</t>
  </si>
  <si>
    <t xml:space="preserve">Humidification — Distribution &amp; Piping</t>
  </si>
  <si>
    <t xml:space="preserve">Humidification — Controls</t>
  </si>
  <si>
    <t xml:space="preserve">UPS Input Xfmr — Units</t>
  </si>
  <si>
    <t xml:space="preserve">Decomposed from 26 11 10</t>
  </si>
  <si>
    <t xml:space="preserve">UPS Input Xfmr — Install</t>
  </si>
  <si>
    <t xml:space="preserve">UPS Input Xfmr — Testing</t>
  </si>
  <si>
    <t xml:space="preserve">Fuel Tanks — Tanks</t>
  </si>
  <si>
    <t xml:space="preserve">Decomposed from 33 51 00</t>
  </si>
  <si>
    <t xml:space="preserve">Fuel Tanks — Foundations &amp; Containment</t>
  </si>
  <si>
    <t xml:space="preserve">Fuel Tanks — Install &amp; Testing</t>
  </si>
  <si>
    <t xml:space="preserve">ATS — Units</t>
  </si>
  <si>
    <t xml:space="preserve">Decomposed from 26 13 00</t>
  </si>
  <si>
    <t xml:space="preserve">ATS — Install</t>
  </si>
  <si>
    <t xml:space="preserve">ATS — Testing</t>
  </si>
  <si>
    <t xml:space="preserve">DCIM — Software &amp; Sensors</t>
  </si>
  <si>
    <t xml:space="preserve">Decomposed from 23 09 10</t>
  </si>
  <si>
    <t xml:space="preserve">DCIM — Integration</t>
  </si>
  <si>
    <t xml:space="preserve">DCIM — Install</t>
  </si>
  <si>
    <t xml:space="preserve">ESD Flooring — Material</t>
  </si>
  <si>
    <t xml:space="preserve">Decomposed from 09 97 00</t>
  </si>
  <si>
    <t xml:space="preserve">ESD Flooring — Install</t>
  </si>
  <si>
    <t xml:space="preserve">ESD Flooring — Grounding</t>
  </si>
  <si>
    <t xml:space="preserve">Steel Joists — Joists</t>
  </si>
  <si>
    <t xml:space="preserve">Decomposed from 05 21 00</t>
  </si>
  <si>
    <t xml:space="preserve">Steel Joists — Erection</t>
  </si>
  <si>
    <t xml:space="preserve">Steel Joists — Accessories</t>
  </si>
  <si>
    <t xml:space="preserve">MV Switchgear — Gear</t>
  </si>
  <si>
    <t xml:space="preserve">Decomposed from 26 06 00</t>
  </si>
  <si>
    <t xml:space="preserve">MV Switchgear — Breakers</t>
  </si>
  <si>
    <t xml:space="preserve">MV Switchgear — Install &amp; Testing</t>
  </si>
  <si>
    <t xml:space="preserve">CHW Piping (Sec) — Pipe &amp; Fittings</t>
  </si>
  <si>
    <t xml:space="preserve">Decomposed from 23 21 30</t>
  </si>
  <si>
    <t xml:space="preserve">CHW Piping (Sec) — Valves &amp; Specialties</t>
  </si>
  <si>
    <t xml:space="preserve">CHW Piping (Sec) — Hangers &amp; Install</t>
  </si>
  <si>
    <t xml:space="preserve">Mech Common — Hangers &amp; Supports</t>
  </si>
  <si>
    <t xml:space="preserve">Decomposed from 23 05 00</t>
  </si>
  <si>
    <t xml:space="preserve">Mech Common — Sleeves &amp; Seals</t>
  </si>
  <si>
    <t xml:space="preserve">Mech Common — Misc</t>
  </si>
  <si>
    <t xml:space="preserve">Whips — Whips</t>
  </si>
  <si>
    <t xml:space="preserve">Decomposed from 26 34 00</t>
  </si>
  <si>
    <t xml:space="preserve">Whips — Connectors</t>
  </si>
  <si>
    <t xml:space="preserve">Whips — Install</t>
  </si>
  <si>
    <t xml:space="preserve">TAB — Air Balancing</t>
  </si>
  <si>
    <t xml:space="preserve">Decomposed from 23 50 00</t>
  </si>
  <si>
    <t xml:space="preserve">TAB — Water Balancing</t>
  </si>
  <si>
    <t xml:space="preserve">TAB — Reporting</t>
  </si>
  <si>
    <t xml:space="preserve">Roof Insulation — Board</t>
  </si>
  <si>
    <t xml:space="preserve">Decomposed from 07 22 00</t>
  </si>
  <si>
    <t xml:space="preserve">Roof Insulation — Fasteners &amp; Adhesive</t>
  </si>
  <si>
    <t xml:space="preserve">Roof Insulation — Install</t>
  </si>
  <si>
    <t xml:space="preserve">Gen Steel — Fabricated</t>
  </si>
  <si>
    <t xml:space="preserve">Decomposed from 05 12 20</t>
  </si>
  <si>
    <t xml:space="preserve">Gen Steel — Erection</t>
  </si>
  <si>
    <t xml:space="preserve">Gen Steel — Coatings</t>
  </si>
  <si>
    <t xml:space="preserve">MCC — Units</t>
  </si>
  <si>
    <t xml:space="preserve">Decomposed from 26 27 50</t>
  </si>
  <si>
    <t xml:space="preserve">MCC — Breakers / Starters</t>
  </si>
  <si>
    <t xml:space="preserve">MCC — Install</t>
  </si>
  <si>
    <t xml:space="preserve">Facility Controls — Integration</t>
  </si>
  <si>
    <t xml:space="preserve">Decomposed from 25 50 00</t>
  </si>
  <si>
    <t xml:space="preserve">Facility Controls — Programming</t>
  </si>
  <si>
    <t xml:space="preserve">Facility Controls — Testing</t>
  </si>
  <si>
    <t xml:space="preserve">CMU Walls — Block &amp; Mortar</t>
  </si>
  <si>
    <t xml:space="preserve">Decomposed from 04 20 00</t>
  </si>
  <si>
    <t xml:space="preserve">CMU Walls — Reinforcing &amp; Grout</t>
  </si>
  <si>
    <t xml:space="preserve">CMU Walls — Install</t>
  </si>
  <si>
    <t xml:space="preserve">Dry-Type Xfmr — Units</t>
  </si>
  <si>
    <t xml:space="preserve">Decomposed from 26 11 20</t>
  </si>
  <si>
    <t xml:space="preserve">Dry-Type Xfmr — Install</t>
  </si>
  <si>
    <t xml:space="preserve">Dry-Type Xfmr — Testing</t>
  </si>
  <si>
    <t xml:space="preserve">SOO — Development</t>
  </si>
  <si>
    <t xml:space="preserve">Decomposed from 25 90 00</t>
  </si>
  <si>
    <t xml:space="preserve">SOO — Documentation</t>
  </si>
  <si>
    <t xml:space="preserve">SOO — Validation</t>
  </si>
  <si>
    <t xml:space="preserve">Gen Vent — Fans</t>
  </si>
  <si>
    <t xml:space="preserve">Decomposed from 23 34 50</t>
  </si>
  <si>
    <t xml:space="preserve">Gen Vent — Ductwork &amp; Louvers</t>
  </si>
  <si>
    <t xml:space="preserve">Gen Vent — Controls</t>
  </si>
  <si>
    <t xml:space="preserve">Wall Insulation — Insulation</t>
  </si>
  <si>
    <t xml:space="preserve">Decomposed from 07 21 00</t>
  </si>
  <si>
    <t xml:space="preserve">Wall Insulation — Vapor Barrier</t>
  </si>
  <si>
    <t xml:space="preserve">Wall Insulation — Install</t>
  </si>
  <si>
    <t xml:space="preserve">Arc Flash — Relays</t>
  </si>
  <si>
    <t xml:space="preserve">Decomposed from 26 51 00</t>
  </si>
  <si>
    <t xml:space="preserve">Arc Flash — Settings &amp; Study</t>
  </si>
  <si>
    <t xml:space="preserve">Arc Flash — Install</t>
  </si>
  <si>
    <t xml:space="preserve">Storm Drainage — Piping</t>
  </si>
  <si>
    <t xml:space="preserve">Decomposed from 33 40 00</t>
  </si>
  <si>
    <t xml:space="preserve">Storm Drainage — Structures (Inlets/MH)</t>
  </si>
  <si>
    <t xml:space="preserve">Storm Drainage — Install</t>
  </si>
  <si>
    <t xml:space="preserve">Added from Construction Budget CX/SC section; Low = current budget basis (NoVA).</t>
  </si>
  <si>
    <t xml:space="preserve">Added scope — typical hyperscale allowance; Low = budget basis.</t>
  </si>
  <si>
    <t xml:space="preserve">03 39 00</t>
  </si>
  <si>
    <t xml:space="preserve">Concrete Curing &amp; Sealing Compounds</t>
  </si>
  <si>
    <t xml:space="preserve">08 56 00</t>
  </si>
  <si>
    <t xml:space="preserve">Blast-Resistant / Security Windows</t>
  </si>
  <si>
    <t xml:space="preserve">22 34 00</t>
  </si>
  <si>
    <t xml:space="preserve">Domestic Water Heaters</t>
  </si>
  <si>
    <t xml:space="preserve">09 84 00</t>
  </si>
  <si>
    <t xml:space="preserve">Acoustic Wall Treatment Panels</t>
  </si>
  <si>
    <t xml:space="preserve">10 51 00</t>
  </si>
  <si>
    <t xml:space="preserve">Staff Lockers &amp; Equipment</t>
  </si>
  <si>
    <t xml:space="preserve">23 81 00</t>
  </si>
  <si>
    <t xml:space="preserve">Packaged DX Units — Electrical / Admin Rooms</t>
  </si>
  <si>
    <t xml:space="preserve">DATA CENTER — ALLOWANCES &amp; ALTERNATES</t>
  </si>
  <si>
    <t xml:space="preserve">ALLOWANCES</t>
  </si>
  <si>
    <t xml:space="preserve">CSI Div</t>
  </si>
  <si>
    <t xml:space="preserve">Allowance Amt</t>
  </si>
  <si>
    <t xml:space="preserve">Actual Cost</t>
  </si>
  <si>
    <t xml:space="preserve">Variance</t>
  </si>
  <si>
    <t xml:space="preserve">Status</t>
  </si>
  <si>
    <t xml:space="preserve">Vendor</t>
  </si>
  <si>
    <t xml:space="preserve">Owner-Furnished Equipment Allowance</t>
  </si>
  <si>
    <t xml:space="preserve">Pending</t>
  </si>
  <si>
    <t xml:space="preserve">Fiber Optic Entrance — Carrier Buildout</t>
  </si>
  <si>
    <t xml:space="preserve">Office / NOC Furniture</t>
  </si>
  <si>
    <t xml:space="preserve">Landscaping Allowance</t>
  </si>
  <si>
    <t xml:space="preserve">Security System Enhancements</t>
  </si>
  <si>
    <t xml:space="preserve">Generator Fuel Fill — Initial</t>
  </si>
  <si>
    <t xml:space="preserve">Contingency (suppressed — included in budget lines)</t>
  </si>
  <si>
    <t xml:space="preserve">IT Cabinet Accessories</t>
  </si>
  <si>
    <t xml:space="preserve">Commissioning &amp; Integrated Systems Testing (L1–L5 IST)</t>
  </si>
  <si>
    <t xml:space="preserve">L5 integrated systems test across electrical/mechanical; pull/fail testing</t>
  </si>
  <si>
    <t xml:space="preserve">DCIM &amp; Building Management System Integration</t>
  </si>
  <si>
    <t xml:space="preserve">DCIM platform, BMS graphics/programming, sensor integration</t>
  </si>
  <si>
    <t xml:space="preserve">Structured Cabling Backbone (MMR / MDA / Cross-Connect)</t>
  </si>
  <si>
    <t xml:space="preserve">OS2 fiber backbone, Cat6A, cross-connect fields in MMR/MDA</t>
  </si>
  <si>
    <t xml:space="preserve">Clean-Agent Fire Suppression &amp; VESDA Detection</t>
  </si>
  <si>
    <t xml:space="preserve">Inert/clean-agent in data halls; VESDA aspirating smoke detection</t>
  </si>
  <si>
    <t xml:space="preserve">Grounding, Bonding &amp; Lightning Protection</t>
  </si>
  <si>
    <t xml:space="preserve">Signal reference grid, telecom bonding backbone, LPS air terminals</t>
  </si>
  <si>
    <t xml:space="preserve">Critical Spare Parts &amp; Maintenance Inventory</t>
  </si>
  <si>
    <t xml:space="preserve">OEM spares for CRAH/CRAC, breakers, pumps, UPS modules</t>
  </si>
  <si>
    <t xml:space="preserve">Utility Interconnection &amp; Substation Fees</t>
  </si>
  <si>
    <t xml:space="preserve">Utility interconnection, primary switchgear/substation contributions</t>
  </si>
  <si>
    <t xml:space="preserve">Signage, Wayfinding &amp; ADA Compliance</t>
  </si>
  <si>
    <t xml:space="preserve">Code/arc-flash signage, room ID, ADA wayfinding</t>
  </si>
  <si>
    <t xml:space="preserve">Temporary Construction Power &amp; Conditioning</t>
  </si>
  <si>
    <t xml:space="preserve">Temp power, generators, distribution for construction phase</t>
  </si>
  <si>
    <t xml:space="preserve">Hazmat Abatement / Unforeseen Site Conditions</t>
  </si>
  <si>
    <t xml:space="preserve">Abatement, dewatering, rock/soil remediation contingency</t>
  </si>
  <si>
    <t xml:space="preserve">TOTAL ALLOWANCES</t>
  </si>
  <si>
    <t xml:space="preserve">ALTERNATES — TIER UPGRADES &amp; OPTIONS</t>
  </si>
  <si>
    <t xml:space="preserve">Alt #</t>
  </si>
  <si>
    <t xml:space="preserve">Baseline Cost</t>
  </si>
  <si>
    <t xml:space="preserve">Upgrade Cost</t>
  </si>
  <si>
    <t xml:space="preserve">Net Add ($)</t>
  </si>
  <si>
    <t xml:space="preserve">Accepted?</t>
  </si>
  <si>
    <t xml:space="preserve">Tier Impact</t>
  </si>
  <si>
    <t xml:space="preserve">ALT-01</t>
  </si>
  <si>
    <t xml:space="preserve">Tier III → Tier IV Electrical (2N UPS/Gen)</t>
  </si>
  <si>
    <t xml:space="preserve">No</t>
  </si>
  <si>
    <t xml:space="preserve">Tier IV</t>
  </si>
  <si>
    <t xml:space="preserve">ALT-02</t>
  </si>
  <si>
    <t xml:space="preserve">Tier III → Tier IV Mechanical (2N Cooling)</t>
  </si>
  <si>
    <t xml:space="preserve">ALT-03</t>
  </si>
  <si>
    <t xml:space="preserve">Liquid Cooling Infrastructure (in lieu of air)</t>
  </si>
  <si>
    <t xml:space="preserve">Tier III/IV</t>
  </si>
  <si>
    <t xml:space="preserve">ALT-04</t>
  </si>
  <si>
    <t xml:space="preserve">On-Site Renewable — Solar Canopy</t>
  </si>
  <si>
    <t xml:space="preserve">None</t>
  </si>
  <si>
    <t xml:space="preserve">ALT-05</t>
  </si>
  <si>
    <t xml:space="preserve">Battery Energy Storage System (BESS)</t>
  </si>
  <si>
    <t xml:space="preserve">ALT-06</t>
  </si>
  <si>
    <t xml:space="preserve">Lithium-Ion UPS Batteries (vs. VRLA)</t>
  </si>
  <si>
    <t xml:space="preserve">ALT-07</t>
  </si>
  <si>
    <t xml:space="preserve">Free Cooling — Airside Economizer</t>
  </si>
  <si>
    <t xml:space="preserve">ALT-08</t>
  </si>
  <si>
    <t xml:space="preserve">Enhanced Physical Security — Anti-Ram</t>
  </si>
  <si>
    <t xml:space="preserve">ALT-09</t>
  </si>
  <si>
    <t xml:space="preserve">Generator — Natural Gas (vs. Diesel)</t>
  </si>
  <si>
    <t xml:space="preserve">ALT-10</t>
  </si>
  <si>
    <t xml:space="preserve">High-Density Cooling (30+ kW/rack)</t>
  </si>
  <si>
    <t xml:space="preserve">ALT-11</t>
  </si>
  <si>
    <t xml:space="preserve">Modular / Prefab Data Hall Pod</t>
  </si>
  <si>
    <t xml:space="preserve">All</t>
  </si>
  <si>
    <t xml:space="preserve">Tier II/III</t>
  </si>
  <si>
    <t xml:space="preserve">ALT-12</t>
  </si>
  <si>
    <t xml:space="preserve">Additional Meet-Me Room / Carrier Entrance</t>
  </si>
  <si>
    <t xml:space="preserve">TOTAL ACCEPTED ALTERNATES</t>
  </si>
  <si>
    <t xml:space="preserve">SUMMARY</t>
  </si>
  <si>
    <t xml:space="preserve">Total Allowances:</t>
  </si>
  <si>
    <t xml:space="preserve">Total Accepted Alternates:</t>
  </si>
  <si>
    <t xml:space="preserve">Combined Net Impact (Allowances + Accepted Alts):</t>
  </si>
  <si>
    <t xml:space="preserve">ACCEPTED ALTERNATES (for Proposal):</t>
  </si>
  <si>
    <t xml:space="preserve">DATA CENTER — LOCATION ADJUSTMENT FACTORS</t>
  </si>
  <si>
    <t xml:space="preserve">Selected Market:</t>
  </si>
  <si>
    <t xml:space="preserve">Northern Virginia</t>
  </si>
  <si>
    <t xml:space="preserve">Baseline Market:</t>
  </si>
  <si>
    <t xml:space="preserve">Northern Virginia (Index = 1.00)</t>
  </si>
  <si>
    <t xml:space="preserve">MASTER LOCATION FACTOR:</t>
  </si>
  <si>
    <t xml:space="preserve">Selected Region / Country:</t>
  </si>
  <si>
    <t xml:space="preserve">CATEGORY ADJUSTMENT FACTORS</t>
  </si>
  <si>
    <t xml:space="preserve">Category</t>
  </si>
  <si>
    <t xml:space="preserve">Base Factor</t>
  </si>
  <si>
    <t xml:space="preserve">Category Adj.</t>
  </si>
  <si>
    <t xml:space="preserve">Combined Factor</t>
  </si>
  <si>
    <t xml:space="preserve">Site Work</t>
  </si>
  <si>
    <t xml:space="preserve">Earthwork, paving, utilities, fencing</t>
  </si>
  <si>
    <t xml:space="preserve">Concrete</t>
  </si>
  <si>
    <t xml:space="preserve">Foundations, slabs, precast</t>
  </si>
  <si>
    <t xml:space="preserve">Structural Steel</t>
  </si>
  <si>
    <t xml:space="preserve">Steel erection, decking, misc metals</t>
  </si>
  <si>
    <t xml:space="preserve">Building Envelope</t>
  </si>
  <si>
    <t xml:space="preserve">Roofing, wall panels, waterproofing</t>
  </si>
  <si>
    <t xml:space="preserve">Plumbing</t>
  </si>
  <si>
    <t xml:space="preserve">Domestic water, make-up water, drains</t>
  </si>
  <si>
    <t xml:space="preserve">Fire Suppression</t>
  </si>
  <si>
    <t xml:space="preserve">Clean agent, sprinkler, VESDA, alarm</t>
  </si>
  <si>
    <t xml:space="preserve">HVAC / Cooling</t>
  </si>
  <si>
    <t xml:space="preserve">Chillers, CRAHs, towers, piping, controls</t>
  </si>
  <si>
    <t xml:space="preserve">Electrical / Critical Power</t>
  </si>
  <si>
    <t xml:space="preserve">Switchgear, generators, UPS, PDUs</t>
  </si>
  <si>
    <t xml:space="preserve">IT Infrastructure</t>
  </si>
  <si>
    <t xml:space="preserve">Cabling, racks, DCIM, leak detection</t>
  </si>
  <si>
    <t xml:space="preserve">Communications</t>
  </si>
  <si>
    <t xml:space="preserve">Cabling, cabinets, DCIM, leak detection</t>
  </si>
  <si>
    <t xml:space="preserve">Security</t>
  </si>
  <si>
    <t xml:space="preserve">Access control, CCTV, intrusion detection</t>
  </si>
  <si>
    <t xml:space="preserve">Commissioning</t>
  </si>
  <si>
    <t xml:space="preserve">L1-L5 Cx, IST, seasonal, FMEA</t>
  </si>
  <si>
    <t xml:space="preserve">Openings</t>
  </si>
  <si>
    <t xml:space="preserve">Doors, frames, hardware, glazing, overhead doors</t>
  </si>
  <si>
    <t xml:space="preserve">Finishes</t>
  </si>
  <si>
    <t xml:space="preserve">Drywall, paint, raised floor, ACT, flooring</t>
  </si>
  <si>
    <t xml:space="preserve">Specialties</t>
  </si>
  <si>
    <t xml:space="preserve">Signage, lockers, partitions, fire extinguishers</t>
  </si>
  <si>
    <t xml:space="preserve">General Conditions</t>
  </si>
  <si>
    <t xml:space="preserve">PM, temp facilities, QA/QC, permits</t>
  </si>
  <si>
    <t xml:space="preserve">Soft Costs</t>
  </si>
  <si>
    <t xml:space="preserve">A/E fees, CxA, Uptime cert, BIM, legal</t>
  </si>
  <si>
    <t xml:space="preserve">MARKET INDEX TABLE</t>
  </si>
  <si>
    <t xml:space="preserve">Market</t>
  </si>
  <si>
    <t xml:space="preserve">Region</t>
  </si>
  <si>
    <t xml:space="preserve">State</t>
  </si>
  <si>
    <t xml:space="preserve">Country</t>
  </si>
  <si>
    <t xml:space="preserve">North America</t>
  </si>
  <si>
    <t xml:space="preserve">VA</t>
  </si>
  <si>
    <t xml:space="preserve">United States</t>
  </si>
  <si>
    <t xml:space="preserve">Albuquerque, NM</t>
  </si>
  <si>
    <t xml:space="preserve">NM</t>
  </si>
  <si>
    <t xml:space="preserve">Atlanta</t>
  </si>
  <si>
    <t xml:space="preserve">GA</t>
  </si>
  <si>
    <t xml:space="preserve">Austin, TX</t>
  </si>
  <si>
    <t xml:space="preserve">TX</t>
  </si>
  <si>
    <t xml:space="preserve">Baltimore, MD</t>
  </si>
  <si>
    <t xml:space="preserve">MD</t>
  </si>
  <si>
    <t xml:space="preserve">Birmingham, AL</t>
  </si>
  <si>
    <t xml:space="preserve">AL</t>
  </si>
  <si>
    <t xml:space="preserve">Boise, ID</t>
  </si>
  <si>
    <t xml:space="preserve">ID</t>
  </si>
  <si>
    <t xml:space="preserve">Boston, MA</t>
  </si>
  <si>
    <t xml:space="preserve">MA</t>
  </si>
  <si>
    <t xml:space="preserve">Buffalo, NY</t>
  </si>
  <si>
    <t xml:space="preserve">NY</t>
  </si>
  <si>
    <t xml:space="preserve">Charlotte, NC</t>
  </si>
  <si>
    <t xml:space="preserve">NC</t>
  </si>
  <si>
    <t xml:space="preserve">Chicago</t>
  </si>
  <si>
    <t xml:space="preserve">IL</t>
  </si>
  <si>
    <t xml:space="preserve">Cincinnati, OH</t>
  </si>
  <si>
    <t xml:space="preserve">OH</t>
  </si>
  <si>
    <t xml:space="preserve">Cleveland, OH</t>
  </si>
  <si>
    <t xml:space="preserve">Columbus / New Albany</t>
  </si>
  <si>
    <t xml:space="preserve">Dallas / Fort Worth</t>
  </si>
  <si>
    <t xml:space="preserve">Denver, CO</t>
  </si>
  <si>
    <t xml:space="preserve">CO</t>
  </si>
  <si>
    <t xml:space="preserve">Des Moines, IA</t>
  </si>
  <si>
    <t xml:space="preserve">IA</t>
  </si>
  <si>
    <t xml:space="preserve">Detroit, MI</t>
  </si>
  <si>
    <t xml:space="preserve">MI</t>
  </si>
  <si>
    <t xml:space="preserve">El Paso, TX</t>
  </si>
  <si>
    <t xml:space="preserve">Fresno, CA</t>
  </si>
  <si>
    <t xml:space="preserve">CA</t>
  </si>
  <si>
    <t xml:space="preserve">Grand Rapids, MI</t>
  </si>
  <si>
    <t xml:space="preserve">Hartford, CT</t>
  </si>
  <si>
    <t xml:space="preserve">CT</t>
  </si>
  <si>
    <t xml:space="preserve">Honolulu, HI</t>
  </si>
  <si>
    <t xml:space="preserve">HI</t>
  </si>
  <si>
    <t xml:space="preserve">Houston, TX</t>
  </si>
  <si>
    <t xml:space="preserve">Indianapolis, IN</t>
  </si>
  <si>
    <t xml:space="preserve">IN</t>
  </si>
  <si>
    <t xml:space="preserve">Inland Empire / Riverside, CA</t>
  </si>
  <si>
    <t xml:space="preserve">Jacksonville, FL</t>
  </si>
  <si>
    <t xml:space="preserve">FL</t>
  </si>
  <si>
    <t xml:space="preserve">Kansas City, MO</t>
  </si>
  <si>
    <t xml:space="preserve">Las Vegas, NV</t>
  </si>
  <si>
    <t xml:space="preserve">NV</t>
  </si>
  <si>
    <t xml:space="preserve">Los Angeles, CA</t>
  </si>
  <si>
    <t xml:space="preserve">Louisville, KY</t>
  </si>
  <si>
    <t xml:space="preserve">KY</t>
  </si>
  <si>
    <t xml:space="preserve">Memphis, TN</t>
  </si>
  <si>
    <t xml:space="preserve">TN</t>
  </si>
  <si>
    <t xml:space="preserve">Miami / Fort Lauderdale, FL</t>
  </si>
  <si>
    <t xml:space="preserve">Milwaukee, WI</t>
  </si>
  <si>
    <t xml:space="preserve">WI</t>
  </si>
  <si>
    <t xml:space="preserve">Minneapolis / St. Paul, MN</t>
  </si>
  <si>
    <t xml:space="preserve">MN</t>
  </si>
  <si>
    <t xml:space="preserve">Nashville, TN</t>
  </si>
  <si>
    <t xml:space="preserve">New Orleans, LA</t>
  </si>
  <si>
    <t xml:space="preserve">LA</t>
  </si>
  <si>
    <t xml:space="preserve">New York / Newark, NY-NJ</t>
  </si>
  <si>
    <t xml:space="preserve">Oklahoma City, OK</t>
  </si>
  <si>
    <t xml:space="preserve">OK</t>
  </si>
  <si>
    <t xml:space="preserve">Omaha, NE</t>
  </si>
  <si>
    <t xml:space="preserve">NE</t>
  </si>
  <si>
    <t xml:space="preserve">Orlando, FL</t>
  </si>
  <si>
    <t xml:space="preserve">Philadelphia, PA</t>
  </si>
  <si>
    <t xml:space="preserve">PA</t>
  </si>
  <si>
    <t xml:space="preserve">Phoenix / Mesa</t>
  </si>
  <si>
    <t xml:space="preserve">AZ</t>
  </si>
  <si>
    <t xml:space="preserve">Pittsburgh, PA</t>
  </si>
  <si>
    <t xml:space="preserve">Portland / Hillsboro</t>
  </si>
  <si>
    <t xml:space="preserve">OR</t>
  </si>
  <si>
    <t xml:space="preserve">Providence, RI</t>
  </si>
  <si>
    <t xml:space="preserve">RI</t>
  </si>
  <si>
    <t xml:space="preserve">Raleigh / Durham, NC</t>
  </si>
  <si>
    <t xml:space="preserve">Reno, NV</t>
  </si>
  <si>
    <t xml:space="preserve">Richmond, VA</t>
  </si>
  <si>
    <t xml:space="preserve">Rochester, NY</t>
  </si>
  <si>
    <t xml:space="preserve">Sacramento, CA</t>
  </si>
  <si>
    <t xml:space="preserve">Salt Lake City</t>
  </si>
  <si>
    <t xml:space="preserve">UT</t>
  </si>
  <si>
    <t xml:space="preserve">San Antonio, TX</t>
  </si>
  <si>
    <t xml:space="preserve">San Diego, CA</t>
  </si>
  <si>
    <t xml:space="preserve">San Francisco / Oakland, CA</t>
  </si>
  <si>
    <t xml:space="preserve">Seattle / Tacoma, WA</t>
  </si>
  <si>
    <t xml:space="preserve">WA</t>
  </si>
  <si>
    <t xml:space="preserve">Silicon Valley</t>
  </si>
  <si>
    <t xml:space="preserve">St. Louis, MO</t>
  </si>
  <si>
    <t xml:space="preserve">Tampa / St. Petersburg, FL</t>
  </si>
  <si>
    <t xml:space="preserve">Tucson, AZ</t>
  </si>
  <si>
    <t xml:space="preserve">Tulsa, OK</t>
  </si>
  <si>
    <t xml:space="preserve">Virginia Beach / Norfolk, VA</t>
  </si>
  <si>
    <t xml:space="preserve">Toronto</t>
  </si>
  <si>
    <t xml:space="preserve">Canada</t>
  </si>
  <si>
    <t xml:space="preserve">Montreal</t>
  </si>
  <si>
    <t xml:space="preserve">London</t>
  </si>
  <si>
    <t xml:space="preserve">Europe</t>
  </si>
  <si>
    <t xml:space="preserve">United Kingdom</t>
  </si>
  <si>
    <t xml:space="preserve">Frankfurt</t>
  </si>
  <si>
    <t xml:space="preserve">Germany</t>
  </si>
  <si>
    <t xml:space="preserve">Amsterdam</t>
  </si>
  <si>
    <t xml:space="preserve">Netherlands</t>
  </si>
  <si>
    <t xml:space="preserve">Dublin</t>
  </si>
  <si>
    <t xml:space="preserve">Ireland</t>
  </si>
  <si>
    <t xml:space="preserve">Paris</t>
  </si>
  <si>
    <t xml:space="preserve">France</t>
  </si>
  <si>
    <t xml:space="preserve">Stockholm</t>
  </si>
  <si>
    <t xml:space="preserve">Sweden</t>
  </si>
  <si>
    <t xml:space="preserve">Singapore</t>
  </si>
  <si>
    <t xml:space="preserve">Asia-Pacific</t>
  </si>
  <si>
    <t xml:space="preserve">Tokyo</t>
  </si>
  <si>
    <t xml:space="preserve">Japan</t>
  </si>
  <si>
    <t xml:space="preserve">Sydney</t>
  </si>
  <si>
    <t xml:space="preserve">Australia</t>
  </si>
  <si>
    <t xml:space="preserve">Mumbai</t>
  </si>
  <si>
    <t xml:space="preserve">India</t>
  </si>
  <si>
    <t xml:space="preserve">Carson City, NV</t>
  </si>
  <si>
    <t xml:space="preserve">Eagle Pass, TX</t>
  </si>
  <si>
    <t xml:space="preserve">Enid, OK</t>
  </si>
  <si>
    <t xml:space="preserve">Walla Walla, WA</t>
  </si>
  <si>
    <t xml:space="preserve">Lewiston, ID-WA</t>
  </si>
  <si>
    <t xml:space="preserve">Minot, ND</t>
  </si>
  <si>
    <t xml:space="preserve">ND</t>
  </si>
  <si>
    <t xml:space="preserve">Grand Island, NE</t>
  </si>
  <si>
    <t xml:space="preserve">Casper, WY</t>
  </si>
  <si>
    <t xml:space="preserve">WY</t>
  </si>
  <si>
    <t xml:space="preserve">Elmira, NY</t>
  </si>
  <si>
    <t xml:space="preserve">Midland, MI</t>
  </si>
  <si>
    <t xml:space="preserve">Kokomo, IN</t>
  </si>
  <si>
    <t xml:space="preserve">Great Falls, MT</t>
  </si>
  <si>
    <t xml:space="preserve">MT</t>
  </si>
  <si>
    <t xml:space="preserve">Columbus, IN</t>
  </si>
  <si>
    <t xml:space="preserve">Parkersburg–Vienna, WV</t>
  </si>
  <si>
    <t xml:space="preserve">WV</t>
  </si>
  <si>
    <t xml:space="preserve">Grants Pass, OR</t>
  </si>
  <si>
    <t xml:space="preserve">Hinesville, GA</t>
  </si>
  <si>
    <t xml:space="preserve">Pocatello, ID</t>
  </si>
  <si>
    <t xml:space="preserve">Fairbanks–College, AK</t>
  </si>
  <si>
    <t xml:space="preserve">AK</t>
  </si>
  <si>
    <t xml:space="preserve">Helena, MT</t>
  </si>
  <si>
    <t xml:space="preserve">Cape Girardeau, MO-IL</t>
  </si>
  <si>
    <t xml:space="preserve">Corvallis, OR</t>
  </si>
  <si>
    <t xml:space="preserve">Victoria, TX</t>
  </si>
  <si>
    <t xml:space="preserve">Dubuque, IA</t>
  </si>
  <si>
    <t xml:space="preserve">Hot Springs, AR</t>
  </si>
  <si>
    <t xml:space="preserve">AR</t>
  </si>
  <si>
    <t xml:space="preserve">Decatur, IL</t>
  </si>
  <si>
    <t xml:space="preserve">Lima, OH</t>
  </si>
  <si>
    <t xml:space="preserve">Rome, GA</t>
  </si>
  <si>
    <t xml:space="preserve">Cheyenne, WY</t>
  </si>
  <si>
    <t xml:space="preserve">Paducah, KY-IL</t>
  </si>
  <si>
    <t xml:space="preserve">Bay City, MI</t>
  </si>
  <si>
    <t xml:space="preserve">Gadsden, AL</t>
  </si>
  <si>
    <t xml:space="preserve">Grand Forks, ND-MN</t>
  </si>
  <si>
    <t xml:space="preserve">Fond du Lac, WI</t>
  </si>
  <si>
    <t xml:space="preserve">Sumter, SC</t>
  </si>
  <si>
    <t xml:space="preserve">SC</t>
  </si>
  <si>
    <t xml:space="preserve">Mankato, MN</t>
  </si>
  <si>
    <t xml:space="preserve">Ithaca, NY</t>
  </si>
  <si>
    <t xml:space="preserve">Kankakee, IL</t>
  </si>
  <si>
    <t xml:space="preserve">Gettysburg, PA</t>
  </si>
  <si>
    <t xml:space="preserve">Pinehurst–Southern Pines, NC</t>
  </si>
  <si>
    <t xml:space="preserve">Sebring, FL</t>
  </si>
  <si>
    <t xml:space="preserve">Beckley, WV</t>
  </si>
  <si>
    <t xml:space="preserve">Michigan City–La Porte, IN</t>
  </si>
  <si>
    <t xml:space="preserve">Muncie, IN</t>
  </si>
  <si>
    <t xml:space="preserve">Watertown–Fort Drum, NY</t>
  </si>
  <si>
    <t xml:space="preserve">Williamsport, PA</t>
  </si>
  <si>
    <t xml:space="preserve">Weirton–Steubenville, WV-OH</t>
  </si>
  <si>
    <t xml:space="preserve">Sandusky, OH</t>
  </si>
  <si>
    <t xml:space="preserve">Owensboro, KY</t>
  </si>
  <si>
    <t xml:space="preserve">Longview–Kelso, WA</t>
  </si>
  <si>
    <t xml:space="preserve">Lewiston–Auburn, ME</t>
  </si>
  <si>
    <t xml:space="preserve">ME</t>
  </si>
  <si>
    <t xml:space="preserve">Anniston–Oxford, AL</t>
  </si>
  <si>
    <t xml:space="preserve">Brunswick–St. Simons, GA</t>
  </si>
  <si>
    <t xml:space="preserve">Sheboygan, WI</t>
  </si>
  <si>
    <t xml:space="preserve">St. Joseph, MO-KS</t>
  </si>
  <si>
    <t xml:space="preserve">Altoona, PA</t>
  </si>
  <si>
    <t xml:space="preserve">Goldsboro, NC</t>
  </si>
  <si>
    <t xml:space="preserve">Farmington, NM</t>
  </si>
  <si>
    <t xml:space="preserve">San Angelo, TX</t>
  </si>
  <si>
    <t xml:space="preserve">Lawrence, KS</t>
  </si>
  <si>
    <t xml:space="preserve">KS</t>
  </si>
  <si>
    <t xml:space="preserve">Twin Falls, ID</t>
  </si>
  <si>
    <t xml:space="preserve">Mansfield, OH</t>
  </si>
  <si>
    <t xml:space="preserve">Glens Falls, NY</t>
  </si>
  <si>
    <t xml:space="preserve">Sierra Vista–Douglas, AZ</t>
  </si>
  <si>
    <t xml:space="preserve">Lawton, OK</t>
  </si>
  <si>
    <t xml:space="preserve">Morristown, TN</t>
  </si>
  <si>
    <t xml:space="preserve">Bozeman, MT</t>
  </si>
  <si>
    <t xml:space="preserve">Wenatchee–East Wenatchee, WA</t>
  </si>
  <si>
    <t xml:space="preserve">Missoula, MT</t>
  </si>
  <si>
    <t xml:space="preserve">Elizabethtown, KY</t>
  </si>
  <si>
    <t xml:space="preserve">Staunton–Stuarts Draft, VA</t>
  </si>
  <si>
    <t xml:space="preserve">Pittsfield, MA</t>
  </si>
  <si>
    <t xml:space="preserve">Ames, IA</t>
  </si>
  <si>
    <t xml:space="preserve">Johnstown, PA</t>
  </si>
  <si>
    <t xml:space="preserve">Salisbury, MD</t>
  </si>
  <si>
    <t xml:space="preserve">Cleveland, TN</t>
  </si>
  <si>
    <t xml:space="preserve">Albany, OR</t>
  </si>
  <si>
    <t xml:space="preserve">Napa, CA</t>
  </si>
  <si>
    <t xml:space="preserve">Mount Vernon–Anacortes, WA</t>
  </si>
  <si>
    <t xml:space="preserve">Battle Creek, MI</t>
  </si>
  <si>
    <t xml:space="preserve">Manhattan, KS</t>
  </si>
  <si>
    <t xml:space="preserve">Springfield, OH</t>
  </si>
  <si>
    <t xml:space="preserve">Wheeling, WV-OH</t>
  </si>
  <si>
    <t xml:space="preserve">Jonesboro, AR</t>
  </si>
  <si>
    <t xml:space="preserve">Harrisonburg, VA</t>
  </si>
  <si>
    <t xml:space="preserve">Wausau, WI</t>
  </si>
  <si>
    <t xml:space="preserve">Bismarck, ND</t>
  </si>
  <si>
    <t xml:space="preserve">Hammond, LA</t>
  </si>
  <si>
    <t xml:space="preserve">Morgantown, WV</t>
  </si>
  <si>
    <t xml:space="preserve">Flagstaff, AZ</t>
  </si>
  <si>
    <t xml:space="preserve">Lebanon, PA</t>
  </si>
  <si>
    <t xml:space="preserve">Albany, GA</t>
  </si>
  <si>
    <t xml:space="preserve">Texarkana, TX-AR</t>
  </si>
  <si>
    <t xml:space="preserve">Sioux City, IA-NE-SD</t>
  </si>
  <si>
    <t xml:space="preserve">Dalton, GA</t>
  </si>
  <si>
    <t xml:space="preserve">Rocky Mount, NC</t>
  </si>
  <si>
    <t xml:space="preserve">Alexandria, LA</t>
  </si>
  <si>
    <t xml:space="preserve">Winchester, VA-WV</t>
  </si>
  <si>
    <t xml:space="preserve">Wichita Falls, TX</t>
  </si>
  <si>
    <t xml:space="preserve">Sherman–Denison, TX</t>
  </si>
  <si>
    <t xml:space="preserve">Jefferson City, MO</t>
  </si>
  <si>
    <t xml:space="preserve">STATE CONSTRUCTION COST FACTORS — MODELED REFERENCE (not linked; Northern Virginia = 1.00)</t>
  </si>
  <si>
    <t xml:space="preserve">DE</t>
  </si>
  <si>
    <t xml:space="preserve">MS</t>
  </si>
  <si>
    <t xml:space="preserve">NH</t>
  </si>
  <si>
    <t xml:space="preserve">NJ</t>
  </si>
  <si>
    <t xml:space="preserve">SD</t>
  </si>
  <si>
    <t xml:space="preserve">VT</t>
  </si>
  <si>
    <t xml:space="preserve">VALUE ENGINEERING LOG</t>
  </si>
  <si>
    <t xml:space="preserve">VE proposals — pricing, status, and decision rationale. Items marked Accepted flow into the budget; Pending items are reviewed at the next milestone.</t>
  </si>
  <si>
    <t xml:space="preserve">Division</t>
  </si>
  <si>
    <t xml:space="preserve">Proposed Cost</t>
  </si>
  <si>
    <t xml:space="preserve">Savings ($)</t>
  </si>
  <si>
    <t xml:space="preserve">Savings (%)</t>
  </si>
  <si>
    <t xml:space="preserve">Schedule Impact</t>
  </si>
  <si>
    <t xml:space="preserve">Quality / Risk</t>
  </si>
  <si>
    <t xml:space="preserve">Decision Date</t>
  </si>
  <si>
    <t xml:space="preserve">Owner</t>
  </si>
  <si>
    <t xml:space="preserve">VE-001</t>
  </si>
  <si>
    <t xml:space="preserve">Tilt-up panels in lieu of CMU exterior wall</t>
  </si>
  <si>
    <t xml:space="preserve">Saves 2 weeks</t>
  </si>
  <si>
    <t xml:space="preserve">Low — proven tilt-up method for DC</t>
  </si>
  <si>
    <t xml:space="preserve">Accepted</t>
  </si>
  <si>
    <t xml:space="preserve">VE-002</t>
  </si>
  <si>
    <t xml:space="preserve">Reduce slab thickness in admin building</t>
  </si>
  <si>
    <t xml:space="preserve">Low — admin area only, not data halls</t>
  </si>
  <si>
    <t xml:space="preserve">VE-003</t>
  </si>
  <si>
    <t xml:space="preserve">Single-source steel package across campus</t>
  </si>
  <si>
    <t xml:space="preserve">Saves 3 weeks</t>
  </si>
  <si>
    <t xml:space="preserve">Med — single-source risk; bond required</t>
  </si>
  <si>
    <t xml:space="preserve">VE-004</t>
  </si>
  <si>
    <t xml:space="preserve">Defer landscaping to post-occupancy</t>
  </si>
  <si>
    <t xml:space="preserve">Low — deferred to post-CO, cosmetic only</t>
  </si>
  <si>
    <t xml:space="preserve">VE-005</t>
  </si>
  <si>
    <t xml:space="preserve">Standardize door hardware across all buildings</t>
  </si>
  <si>
    <t xml:space="preserve">Low — reduces procurement complexity</t>
  </si>
  <si>
    <t xml:space="preserve">VE-006</t>
  </si>
  <si>
    <t xml:space="preserve">Overhead busway in lieu of conduit + cable whips (data halls)</t>
  </si>
  <si>
    <t xml:space="preserve">Saves time</t>
  </si>
  <si>
    <t xml:space="preserve">Low risk</t>
  </si>
  <si>
    <t xml:space="preserve">VE-007</t>
  </si>
  <si>
    <t xml:space="preserve">Air-cooled chillers; eliminate cooling towers + CW treatment</t>
  </si>
  <si>
    <t xml:space="preserve">+0 days</t>
  </si>
  <si>
    <t xml:space="preserve">Med risk</t>
  </si>
  <si>
    <t xml:space="preserve">VE-008</t>
  </si>
  <si>
    <t xml:space="preserve">Prefabricated electrical skids (modular PDU / RPP)</t>
  </si>
  <si>
    <t xml:space="preserve">VE-009</t>
  </si>
  <si>
    <t xml:space="preserve">VRF for office / admin in lieu of chilled-water AHUs</t>
  </si>
  <si>
    <t xml:space="preserve">VE-010</t>
  </si>
  <si>
    <t xml:space="preserve">Consolidate IT MDA / IDA rooms (reduce cabling runs)</t>
  </si>
  <si>
    <t xml:space="preserve">VE-011</t>
  </si>
  <si>
    <t xml:space="preserve">Eliminate raised access floor; overhead power &amp; cooling distribution</t>
  </si>
  <si>
    <t xml:space="preserve">Saves 1 week</t>
  </si>
  <si>
    <t xml:space="preserve">Low — overhead distribution proven in DC</t>
  </si>
  <si>
    <t xml:space="preserve">VE-012</t>
  </si>
  <si>
    <t xml:space="preserve">Aluminum feeders &amp; busway in lieu of copper</t>
  </si>
  <si>
    <t xml:space="preserve">Med — Al terminations/derating per NEC</t>
  </si>
  <si>
    <t xml:space="preserve">VE-013</t>
  </si>
  <si>
    <t xml:space="preserve">Medium-voltage reticulation to data halls (reduce LV copper/gear)</t>
  </si>
  <si>
    <t xml:space="preserve">Med — MV switching/safety training</t>
  </si>
  <si>
    <t xml:space="preserve">VE-014</t>
  </si>
  <si>
    <t xml:space="preserve">Reduce UPS battery autonomy (10 → 5 min)</t>
  </si>
  <si>
    <t xml:space="preserve">High — resiliency: less UPS ride-through to generator start</t>
  </si>
  <si>
    <t xml:space="preserve">VE-015</t>
  </si>
  <si>
    <t xml:space="preserve">Reduce chilled-water plant redundancy (N+2 → N+1)</t>
  </si>
  <si>
    <t xml:space="preserve">High — resiliency: lower cooling redundancy (N+2 → N+1)</t>
  </si>
  <si>
    <t xml:space="preserve">VE-016</t>
  </si>
  <si>
    <t xml:space="preserve">Raise supply-air / CHW setpoints (ASHRAE A1→A3); downsize cooling</t>
  </si>
  <si>
    <t xml:space="preserve">Low — within ASHRAE TC9.9 envelope</t>
  </si>
  <si>
    <t xml:space="preserve">VE-017</t>
  </si>
  <si>
    <t xml:space="preserve">Right-size standby generation (N+1 vs 2N)</t>
  </si>
  <si>
    <t xml:space="preserve">High — resiliency: reduced power redundancy (N+1 vs 2N)</t>
  </si>
  <si>
    <t xml:space="preserve">VE-018</t>
  </si>
  <si>
    <t xml:space="preserve">Single-vendor standardized switchgear package</t>
  </si>
  <si>
    <t xml:space="preserve">Med — single-source; bond required</t>
  </si>
  <si>
    <t xml:space="preserve">VE-019</t>
  </si>
  <si>
    <t xml:space="preserve">Exposed structure; minimize data-hall finishes</t>
  </si>
  <si>
    <t xml:space="preserve">Low — cosmetic; back-of-house only</t>
  </si>
  <si>
    <t xml:space="preserve">VE-020</t>
  </si>
  <si>
    <t xml:space="preserve">Reduce on-site generator fuel storage (24h → 12h)</t>
  </si>
  <si>
    <t xml:space="preserve">High — resiliency: shorter on-site fuel autonomy (24h → 12h)</t>
  </si>
  <si>
    <t xml:space="preserve">TOTALS</t>
  </si>
  <si>
    <t xml:space="preserve">VE STATUS SUMMARY</t>
  </si>
  <si>
    <t xml:space="preserve">Count:</t>
  </si>
  <si>
    <t xml:space="preserve">Savings:</t>
  </si>
  <si>
    <t xml:space="preserve">Pending / Review</t>
  </si>
  <si>
    <t xml:space="preserve">Rejected</t>
  </si>
  <si>
    <t xml:space="preserve">VE-ADJUSTED ESTIMATE  (active VE scenario — see selector →)</t>
  </si>
  <si>
    <t xml:space="preserve">Base Estimate (live scenario):</t>
  </si>
  <si>
    <t xml:space="preserve">Less: VE Savings (active scenario):</t>
  </si>
  <si>
    <t xml:space="preserve">VE-Adjusted Total:</t>
  </si>
  <si>
    <t xml:space="preserve">VE-Adjusted Cost / MW:</t>
  </si>
  <si>
    <t xml:space="preserve">VE SCENARIO MODEL — ADOPTION SCENARIOS</t>
  </si>
  <si>
    <t xml:space="preserve">ACTIVE VE SCENARIO</t>
  </si>
  <si>
    <t xml:space="preserve">Toggle which VE items each scenario accepts: 1 (✓) = accept, 0 (–) = reject. Aggressive takes every cost lever that PRESERVES resiliency; Accept All additionally adopts the four High-risk resiliency reductions (UPS autonomy, cooling &amp; power redundancy, fuel storage).</t>
  </si>
  <si>
    <t xml:space="preserve">Selected scenario:</t>
  </si>
  <si>
    <t xml:space="preserve">Balanced</t>
  </si>
  <si>
    <t xml:space="preserve">Risk</t>
  </si>
  <si>
    <t xml:space="preserve">As-Designed</t>
  </si>
  <si>
    <t xml:space="preserve">Conservative</t>
  </si>
  <si>
    <t xml:space="preserve">Aggressive</t>
  </si>
  <si>
    <t xml:space="preserve">Accept All</t>
  </si>
  <si>
    <t xml:space="preserve">Items accepted:</t>
  </si>
  <si>
    <t xml:space="preserve">VE savings ($):</t>
  </si>
  <si>
    <t xml:space="preserve">VE-adjusted total:</t>
  </si>
  <si>
    <t xml:space="preserve">VE-adjusted $/MW:</t>
  </si>
  <si>
    <t xml:space="preserve">Reduction vs base:</t>
  </si>
  <si>
    <t xml:space="preserve">Med-risk items incl.:</t>
  </si>
  <si>
    <t xml:space="preserve">Resiliency cuts incl.:</t>
  </si>
  <si>
    <t xml:space="preserve">SCENARIO ROLL-UP</t>
  </si>
  <si>
    <t xml:space="preserve">Items accepted (count)</t>
  </si>
  <si>
    <t xml:space="preserve">Total VE savings ($)</t>
  </si>
  <si>
    <t xml:space="preserve">VE-adjusted total ($)</t>
  </si>
  <si>
    <t xml:space="preserve">VE-adjusted $ / MW</t>
  </si>
  <si>
    <t xml:space="preserve">Reduction vs base (%)</t>
  </si>
  <si>
    <t xml:space="preserve">Med-risk items included</t>
  </si>
  <si>
    <t xml:space="preserve">Resiliency cuts included (High)</t>
  </si>
  <si>
    <t xml:space="preserve">BASIS OF ESTIMATE (BOE)</t>
  </si>
  <si>
    <t xml:space="preserve">Project:</t>
  </si>
  <si>
    <t xml:space="preserve">Prepared By:</t>
  </si>
  <si>
    <t xml:space="preserve">Reviewed By:</t>
  </si>
  <si>
    <t xml:space="preserve">Cost Manager:</t>
  </si>
  <si>
    <t xml:space="preserve">1. DOCUMENTS REVIEWED</t>
  </si>
  <si>
    <t xml:space="preserve">Drawing Set:</t>
  </si>
  <si>
    <t xml:space="preserve">Architectural / Structural / Civil drawings dated April 18, 2026 (100% DD set)</t>
  </si>
  <si>
    <t xml:space="preserve">Specifications:</t>
  </si>
  <si>
    <t xml:space="preserve">Project Manual, Division 01–33 specifications (Rev. 3, April 2026)</t>
  </si>
  <si>
    <t xml:space="preserve">Geotechnical Report:</t>
  </si>
  <si>
    <t xml:space="preserve">Terracon Consultants, Inc., dated January 15, 2026</t>
  </si>
  <si>
    <t xml:space="preserve">Site Survey:</t>
  </si>
  <si>
    <t xml:space="preserve">Bowman Consulting Group, dated December 8, 2025</t>
  </si>
  <si>
    <t xml:space="preserve">RFP / Program Brief:</t>
  </si>
  <si>
    <t xml:space="preserve">Owner's program requirements v2.1, dated November 20, 2025</t>
  </si>
  <si>
    <t xml:space="preserve">BIM Models:</t>
  </si>
  <si>
    <t xml:space="preserve">Architectural and Structural Revit models, LOD 350</t>
  </si>
  <si>
    <t xml:space="preserve">2. KEY ASSUMPTIONS</t>
  </si>
  <si>
    <t xml:space="preserve">A.1</t>
  </si>
  <si>
    <t xml:space="preserve">Pricing reflects market conditions as of the estimate date. Escalation to the construction midpoint is applied at 3.5%/yr in the Construction Budget (cell H7); further market shifts tracked separately.</t>
  </si>
  <si>
    <t xml:space="preserve">A.2</t>
  </si>
  <si>
    <t xml:space="preserve">Construction sequencing assumes no major site access constraints or owner-imposed work hour restrictions.</t>
  </si>
  <si>
    <t xml:space="preserve">A.3</t>
  </si>
  <si>
    <t xml:space="preserve">Subcontractor market is assumed to be reasonably competitive (≥3 qualified bidders per major package).</t>
  </si>
  <si>
    <t xml:space="preserve">A.4</t>
  </si>
  <si>
    <t xml:space="preserve">Prevailing wage rates apply per project location; non-union labor where market permits.</t>
  </si>
  <si>
    <t xml:space="preserve">A.5</t>
  </si>
  <si>
    <t xml:space="preserve">Soils assumed suitable for standard spread footings per geotech report; no extensive soil remediation included.</t>
  </si>
  <si>
    <t xml:space="preserve">A.6</t>
  </si>
  <si>
    <t xml:space="preserve">Utilities (power, water, fiber) are available at the property line; service entrance work included.</t>
  </si>
  <si>
    <t xml:space="preserve">A.7</t>
  </si>
  <si>
    <t xml:space="preserve">Permits and AHJ approvals proceed on a normal review cycle; no expedited fees included.</t>
  </si>
  <si>
    <t xml:space="preserve">A.8</t>
  </si>
  <si>
    <t xml:space="preserve">Owner-furnished IT equipment (servers, network gear) is excluded; OFCI integration coordination included.</t>
  </si>
  <si>
    <t xml:space="preserve">A.9</t>
  </si>
  <si>
    <t xml:space="preserve">Single mobilization per building; phased delivery sequencing per program schedule.</t>
  </si>
  <si>
    <t xml:space="preserve">A.10</t>
  </si>
  <si>
    <t xml:space="preserve">Labor productivity reflects regional norms; no premium time included in base estimate.</t>
  </si>
  <si>
    <t xml:space="preserve">A.11</t>
  </si>
  <si>
    <t xml:space="preserve">A.12</t>
  </si>
  <si>
    <t xml:space="preserve">A.13</t>
  </si>
  <si>
    <t xml:space="preserve">3. INCLUSIONS</t>
  </si>
  <si>
    <t xml:space="preserve">I.1</t>
  </si>
  <si>
    <t xml:space="preserve">All civil work within property line: site clearing, mass excavation, structural fill, paving, fencing, security perimeter.</t>
  </si>
  <si>
    <t xml:space="preserve">I.2</t>
  </si>
  <si>
    <t xml:space="preserve">Building envelope: foundations, structural steel, slabs, exterior wall systems, roofing, openings.</t>
  </si>
  <si>
    <t xml:space="preserve">I.3</t>
  </si>
  <si>
    <t xml:space="preserve">MEP systems sized for stated IT load and Tier rating: utility service, generators, UPS, distribution, cooling, controls.</t>
  </si>
  <si>
    <t xml:space="preserve">I.4</t>
  </si>
  <si>
    <t xml:space="preserve">Fire / life safety: clean agent suppression in data halls, pre-action sprinklers, VESDA detection, fire alarm, mass notification.</t>
  </si>
  <si>
    <t xml:space="preserve">I.5</t>
  </si>
  <si>
    <t xml:space="preserve">Interior finishes: raised access flooring, gypsum partitions, painting, sealed concrete in support areas.</t>
  </si>
  <si>
    <t xml:space="preserve">I.6</t>
  </si>
  <si>
    <t xml:space="preserve">Commissioning Levels 1–5 per ASHRAE / Uptime guideline.</t>
  </si>
  <si>
    <t xml:space="preserve">I.7</t>
  </si>
  <si>
    <t xml:space="preserve">General conditions, contractor overhead and profit, and design contingency at the rate shown in Construction Budget cell C7.</t>
  </si>
  <si>
    <t xml:space="preserve">I.8</t>
  </si>
  <si>
    <t xml:space="preserve">Permits, fees, builder's risk insurance, performance and payment bonds.</t>
  </si>
  <si>
    <t xml:space="preserve">I.9</t>
  </si>
  <si>
    <t xml:space="preserve">Electronic security systems: access control, CCTV / video surveillance, intrusion detection, and visitor management across site perimeter, building, and data-hall white space.</t>
  </si>
  <si>
    <t xml:space="preserve">I.10</t>
  </si>
  <si>
    <t xml:space="preserve">Structured cabling backbone (OS2 fiber + Cat6A trunks to MDA / IDA) and integrated controls — BMS, DCIM, and electrical power monitoring (EPMS).</t>
  </si>
  <si>
    <t xml:space="preserve">3.1  GENERAL CONTRACTOR BASE SCOPE — TRADES (CSI DIVISIONS)</t>
  </si>
  <si>
    <t xml:space="preserve">CSI</t>
  </si>
  <si>
    <t xml:space="preserve">Trade / CSI Division — GC Base Scope</t>
  </si>
  <si>
    <t xml:space="preserve">Base Cost ($)</t>
  </si>
  <si>
    <t xml:space="preserve">General Conditions &amp; Project Requirements</t>
  </si>
  <si>
    <t xml:space="preserve">Included</t>
  </si>
  <si>
    <t xml:space="preserve">Commissioning &amp; Testing (Levels 1–5)</t>
  </si>
  <si>
    <t xml:space="preserve">Masonry</t>
  </si>
  <si>
    <t xml:space="preserve">Metals / Structural Steel</t>
  </si>
  <si>
    <t xml:space="preserve">Wood, Plastics &amp; Composites</t>
  </si>
  <si>
    <t xml:space="preserve">Thermal &amp; Moisture Protection</t>
  </si>
  <si>
    <t xml:space="preserve">Openings (Doors, Frames &amp; Glazing)</t>
  </si>
  <si>
    <t xml:space="preserve">Equipment</t>
  </si>
  <si>
    <t xml:space="preserve">Furnishings</t>
  </si>
  <si>
    <t xml:space="preserve">Conveying Equipment (Elevators)</t>
  </si>
  <si>
    <t xml:space="preserve">HVAC / Cooling Systems</t>
  </si>
  <si>
    <t xml:space="preserve">Integrated Automation (BMS / DCIM / EPMS)</t>
  </si>
  <si>
    <t xml:space="preserve">Communications / IT Infrastructure</t>
  </si>
  <si>
    <t xml:space="preserve">Electronic Safety &amp; Security</t>
  </si>
  <si>
    <t xml:space="preserve">Earthwork</t>
  </si>
  <si>
    <t xml:space="preserve">Exterior Improvements</t>
  </si>
  <si>
    <t xml:space="preserve">Utilities</t>
  </si>
  <si>
    <t xml:space="preserve">GC BASE CONSTRUCTION COST  (Div 01–33, incl. Commissioning)</t>
  </si>
  <si>
    <t xml:space="preserve">All trades carried by the General Contractor are linked live to division subtotals on the Construction Budget. CSI divisions with no discrete scope on this greenfield project — Div 02 Existing Conditions and Div 13 Special Construction (containment carried within Specialties) — are captured within adjacent divisions. Soft costs, owner's contingency and OFCI IT equipment are excluded (see Exclusions).</t>
  </si>
  <si>
    <t xml:space="preserve">4. EXCLUSIONS</t>
  </si>
  <si>
    <t xml:space="preserve">E.1</t>
  </si>
  <si>
    <t xml:space="preserve">Land acquisition, due diligence, environmental remediation of pre-existing contamination.</t>
  </si>
  <si>
    <t xml:space="preserve">E.2</t>
  </si>
  <si>
    <t xml:space="preserve">Off-site utility extensions beyond the property line (utility company scope).</t>
  </si>
  <si>
    <t xml:space="preserve">E.3</t>
  </si>
  <si>
    <t xml:space="preserve">IT equipment: servers, switches, racks (when OFCI), structured cabling end-of-row terminations beyond Cat6A trunks.</t>
  </si>
  <si>
    <t xml:space="preserve">E.4</t>
  </si>
  <si>
    <t xml:space="preserve">Owner's project management staff, owner's representative, legal fees.</t>
  </si>
  <si>
    <t xml:space="preserve">E.5</t>
  </si>
  <si>
    <t xml:space="preserve">Move-in / commissioning of owner-furnished equipment.</t>
  </si>
  <si>
    <t xml:space="preserve">E.6</t>
  </si>
  <si>
    <t xml:space="preserve">Operational costs, spare parts inventory, post-occupancy maintenance.</t>
  </si>
  <si>
    <t xml:space="preserve">E.7</t>
  </si>
  <si>
    <t xml:space="preserve">Sales tax (assumed exempt or capitalized separately per owner accounting).</t>
  </si>
  <si>
    <t xml:space="preserve">E.8</t>
  </si>
  <si>
    <t xml:space="preserve">Market escalation beyond the 3.5%/yr already applied to the construction midpoint (additional inflation or supply-chain shocks carried at owner level).</t>
  </si>
  <si>
    <t xml:space="preserve">E.9</t>
  </si>
  <si>
    <t xml:space="preserve">Owner's contingency (carried at owner level, not in this estimate).</t>
  </si>
  <si>
    <t xml:space="preserve">E.10</t>
  </si>
  <si>
    <t xml:space="preserve">Force majeure events; abnormal weather; pandemic-related labor or supply chain shocks.</t>
  </si>
  <si>
    <t xml:space="preserve">E.11</t>
  </si>
  <si>
    <t xml:space="preserve">Construction financing and interest during construction (IDC); carried at owner level on the Total Development Cost tab.</t>
  </si>
  <si>
    <t xml:space="preserve">E.12</t>
  </si>
  <si>
    <t xml:space="preserve">Utility capacity / demand charges, standby and interconnection fees, and utility-imposed substation contributions beyond the service entrance.</t>
  </si>
  <si>
    <t xml:space="preserve">5. RISKS &amp; SENSITIVITIES</t>
  </si>
  <si>
    <t xml:space="preserve">Risk Description</t>
  </si>
  <si>
    <t xml:space="preserve">Likelihood</t>
  </si>
  <si>
    <t xml:space="preserve">Impact ($)</t>
  </si>
  <si>
    <t xml:space="preserve">Mitigation</t>
  </si>
  <si>
    <t xml:space="preserve">R-01</t>
  </si>
  <si>
    <t xml:space="preserve">Switchgear lead times exceed schedule float</t>
  </si>
  <si>
    <t xml:space="preserve">Schedule slip + premium</t>
  </si>
  <si>
    <t xml:space="preserve">Early procurement; alternate manufacturer pre-qualification</t>
  </si>
  <si>
    <t xml:space="preserve">PM/Procurement</t>
  </si>
  <si>
    <t xml:space="preserve">R-02</t>
  </si>
  <si>
    <t xml:space="preserve">Generator supply constraint due to global demand</t>
  </si>
  <si>
    <t xml:space="preserve">$2M–$5M premium</t>
  </si>
  <si>
    <t xml:space="preserve">Lock pricing 12+ months ahead; reserve mfg slots</t>
  </si>
  <si>
    <t xml:space="preserve">Procurement</t>
  </si>
  <si>
    <t xml:space="preserve">R-03</t>
  </si>
  <si>
    <t xml:space="preserve">Soil conditions worse than geotech indicates</t>
  </si>
  <si>
    <t xml:space="preserve">Med</t>
  </si>
  <si>
    <t xml:space="preserve">$500K–$2M</t>
  </si>
  <si>
    <t xml:space="preserve">Allowance carried; over-excavation contingency</t>
  </si>
  <si>
    <t xml:space="preserve">Civil/Estimating</t>
  </si>
  <si>
    <t xml:space="preserve">R-04</t>
  </si>
  <si>
    <t xml:space="preserve">Concrete material price escalation</t>
  </si>
  <si>
    <t xml:space="preserve">±5–10% on Div 03</t>
  </si>
  <si>
    <t xml:space="preserve">Lock pricing at GMP; monitor PPI</t>
  </si>
  <si>
    <t xml:space="preserve">Estimating</t>
  </si>
  <si>
    <t xml:space="preserve">R-05</t>
  </si>
  <si>
    <t xml:space="preserve">Labor availability in selected market</t>
  </si>
  <si>
    <t xml:space="preserve">Schedule + premium time</t>
  </si>
  <si>
    <t xml:space="preserve">Pre-qualify multiple GCs; out-of-area labor plan</t>
  </si>
  <si>
    <t xml:space="preserve">PM</t>
  </si>
  <si>
    <t xml:space="preserve">R-06</t>
  </si>
  <si>
    <t xml:space="preserve">Permit / AHJ delays</t>
  </si>
  <si>
    <t xml:space="preserve">Low–Med</t>
  </si>
  <si>
    <t xml:space="preserve">Schedule slip</t>
  </si>
  <si>
    <t xml:space="preserve">Early entitlement engagement; expediter on retainer</t>
  </si>
  <si>
    <t xml:space="preserve">R-07</t>
  </si>
  <si>
    <t xml:space="preserve">Design changes during DD/CD</t>
  </si>
  <si>
    <t xml:space="preserve">±3–7% per change cycle</t>
  </si>
  <si>
    <t xml:space="preserve">Tight change-control process; gated milestone reviews</t>
  </si>
  <si>
    <t xml:space="preserve">Design Mgr</t>
  </si>
  <si>
    <t xml:space="preserve">R-08</t>
  </si>
  <si>
    <t xml:space="preserve">Tariffs / trade policy on imported equipment</t>
  </si>
  <si>
    <t xml:space="preserve">±2–5% on MEP</t>
  </si>
  <si>
    <t xml:space="preserve">Domestic-source alternate priced; sensitivity tracked</t>
  </si>
  <si>
    <t xml:space="preserve">R-09</t>
  </si>
  <si>
    <t xml:space="preserve">Utility power interconnection capacity / energization timing</t>
  </si>
  <si>
    <t xml:space="preserve">Schedule-critical; multi-month slip</t>
  </si>
  <si>
    <t xml:space="preserve">Early utility engagement; reserve capacity; on-site generation bridging plan</t>
  </si>
  <si>
    <t xml:space="preserve">Owner / PM</t>
  </si>
  <si>
    <t xml:space="preserve">R-10</t>
  </si>
  <si>
    <t xml:space="preserve">Liquid-cooling (DLC) supply chain &amp; technology maturity</t>
  </si>
  <si>
    <t xml:space="preserve">±3–6% on Div 23; schedule</t>
  </si>
  <si>
    <t xml:space="preserve">Pre-qualify CDU / coolant vendors; retain air+liquid hybrid flexibility</t>
  </si>
  <si>
    <t xml:space="preserve">MEP / Procurement</t>
  </si>
  <si>
    <t xml:space="preserve">6. SIGN-OFF</t>
  </si>
  <si>
    <t xml:space="preserve">Role</t>
  </si>
  <si>
    <t xml:space="preserve">Name</t>
  </si>
  <si>
    <t xml:space="preserve">Signature</t>
  </si>
  <si>
    <t xml:space="preserve">Date</t>
  </si>
  <si>
    <t xml:space="preserve">Project Director</t>
  </si>
  <si>
    <t xml:space="preserve">Client Acceptance</t>
  </si>
  <si>
    <t xml:space="preserve">SCENARIO CONTROLS &amp; VALUE ENGINEERING</t>
  </si>
  <si>
    <t xml:space="preserve">Pricing Tier (Low/Mid/High) and Cooling Technology are driven from the 'Scenario &amp; Presets' tab; defaults (Mid / Hybrid As-Designed) reproduce this estimate.</t>
  </si>
  <si>
    <t xml:space="preserve">Cooling presets scale Division 23 air / chilled-water / liquid scope; Tier, Redundancy and Rack Density are documented configuration with an expected $/MW band by archetype.</t>
  </si>
  <si>
    <t xml:space="preserve">Value-engineering options are logged on the 'Value Engineering' tab; items marked Accepted flow into the VE-Adjusted Total. VE and presets are illustrative pending MEP design confirmation.</t>
  </si>
  <si>
    <t xml:space="preserve">Cooling topology (O-1, resolved): committed to an air + liquid hybrid via 'Scenario &amp; Presets' → Cooling = Liquid-Cooled (DLC). In-Row air cooling now scales by the air-side factor (40%) and direct-liquid infrastructure + CDUs are engaged, replacing the prior stacked full-air + full-liquid scope. Division 23 −$33M; project total $1,122.7M → $1,088.3M. Revert by setting Cooling = Chilled Water (Air-Cooled).</t>
  </si>
  <si>
    <t xml:space="preserve">MEP cost mix (O-2, resolved): Division 26 (Electrical, $248M) reviewed line-by-line — coherent critical-power scope (UPS, generators, PDU, busway, switchgear), no double-counts. The elevated MEP weight was driven by In-Row air cooling, not electrical; after the hybrid rationalization Electrical + HVAC ≈ 44% of cost, within the 45–55% norm.</t>
  </si>
  <si>
    <t xml:space="preserve">Anchor each new estimate against this library. Filter by Tier, region, and vintage. Apply location and time-value adjustments before comparison.</t>
  </si>
  <si>
    <t xml:space="preserve">Filter by Tier:</t>
  </si>
  <si>
    <t xml:space="preserve">Filtered Median $/MW:</t>
  </si>
  <si>
    <t xml:space="preserve">Filtered Count:</t>
  </si>
  <si>
    <t xml:space="preserve">Project</t>
  </si>
  <si>
    <t xml:space="preserve">Vintage</t>
  </si>
  <si>
    <t xml:space="preserve">Buildings</t>
  </si>
  <si>
    <t xml:space="preserve">CSA $/MW</t>
  </si>
  <si>
    <t xml:space="preserve">Total $/SF</t>
  </si>
  <si>
    <t xml:space="preserve">Total $/MW</t>
  </si>
  <si>
    <t xml:space="preserve">Total $/W</t>
  </si>
  <si>
    <t xml:space="preserve">Hyperscale Campus — NoVA Phase 2</t>
  </si>
  <si>
    <t xml:space="preserve">Greenfield, water-cooled chillers</t>
  </si>
  <si>
    <t xml:space="preserve">Edge Campus — Hillsboro</t>
  </si>
  <si>
    <t xml:space="preserve">Hillsboro, OR</t>
  </si>
  <si>
    <t xml:space="preserve">Indirect evap cooling, lithium UPS</t>
  </si>
  <si>
    <t xml:space="preserve">Build-to-Suit — Phoenix</t>
  </si>
  <si>
    <t xml:space="preserve">Phoenix, AZ</t>
  </si>
  <si>
    <t xml:space="preserve">Adiabatic; high ambient design</t>
  </si>
  <si>
    <t xml:space="preserve">Hyperscale — Quincy</t>
  </si>
  <si>
    <t xml:space="preserve">Quincy, WA</t>
  </si>
  <si>
    <t xml:space="preserve">Direct outside air economization</t>
  </si>
  <si>
    <t xml:space="preserve">Colocation Expansion — Ashburn</t>
  </si>
  <si>
    <t xml:space="preserve">Ashburn, VA</t>
  </si>
  <si>
    <t xml:space="preserve">Brownfield, 2N redundant</t>
  </si>
  <si>
    <t xml:space="preserve">Hyperscale Campus — Dallas</t>
  </si>
  <si>
    <t xml:space="preserve">Dallas-Fort Worth, TX</t>
  </si>
  <si>
    <t xml:space="preserve">Liquid-cooling-ready</t>
  </si>
  <si>
    <t xml:space="preserve">Build-to-Suit — Council Bluffs</t>
  </si>
  <si>
    <t xml:space="preserve">Council Bluffs, IA</t>
  </si>
  <si>
    <t xml:space="preserve">Air-cooled chillers, low-cost market</t>
  </si>
  <si>
    <t xml:space="preserve">Hyperscale — Santa Clara</t>
  </si>
  <si>
    <t xml:space="preserve">Santa Clara, CA</t>
  </si>
  <si>
    <t xml:space="preserve">Seismic + high cost market</t>
  </si>
  <si>
    <t xml:space="preserve">Edge Campus — Atlanta</t>
  </si>
  <si>
    <t xml:space="preserve">Atlanta, GA</t>
  </si>
  <si>
    <t xml:space="preserve">Standard scope</t>
  </si>
  <si>
    <t xml:space="preserve">Hyperscale — Reno</t>
  </si>
  <si>
    <t xml:space="preserve">Reno-Sparks, NV</t>
  </si>
  <si>
    <t xml:space="preserve">DLC-ready, GPU buildout</t>
  </si>
  <si>
    <t xml:space="preserve">BENCHMARK STATISTICS (across all projects above)</t>
  </si>
  <si>
    <t xml:space="preserve">Statistic</t>
  </si>
  <si>
    <t xml:space="preserve">Min</t>
  </si>
  <si>
    <t xml:space="preserve">Median</t>
  </si>
  <si>
    <t xml:space="preserve">Mean</t>
  </si>
  <si>
    <t xml:space="preserve">Max</t>
  </si>
  <si>
    <t xml:space="preserve">CURRENT ESTIMATE vs BENCHMARK MEDIAN</t>
  </si>
  <si>
    <t xml:space="preserve">Current Estimate</t>
  </si>
  <si>
    <t xml:space="preserve">Benchmark Median</t>
  </si>
  <si>
    <t xml:space="preserve">Δ vs Median</t>
  </si>
  <si>
    <t xml:space="preserve">Δ %</t>
  </si>
  <si>
    <t xml:space="preserve">STAKEHOLDER BENCHMARKS — RETURNS, CAPITAL EFFICIENCY &amp; CREDIT</t>
  </si>
  <si>
    <t xml:space="preserve">Typical institutional ranges for Tier III hyperscale / wholesale data centers; current figures link live from the model (TDC, Pro Forma, Capital Stack). Illustrative — calibrate Low/Median/High to deal-specific quotes.</t>
  </si>
  <si>
    <t xml:space="preserve">Metric</t>
  </si>
  <si>
    <t xml:space="preserve">Market Low</t>
  </si>
  <si>
    <t xml:space="preserve">Current Project</t>
  </si>
  <si>
    <t xml:space="preserve">Position vs Market</t>
  </si>
  <si>
    <t xml:space="preserve">◆  DEVELOPER — COST &amp; DELIVERY</t>
  </si>
  <si>
    <t xml:space="preserve">All-in development cost ($/MW)</t>
  </si>
  <si>
    <t xml:space="preserve">Construction (hard) cost ($/MW)</t>
  </si>
  <si>
    <t xml:space="preserve">Hard cost (% of all-in TDC)</t>
  </si>
  <si>
    <t xml:space="preserve">Design PUE</t>
  </si>
  <si>
    <t xml:space="preserve">Schedule to energization (months)</t>
  </si>
  <si>
    <t xml:space="preserve">◆  CFO — CAPITAL EFFICIENCY</t>
  </si>
  <si>
    <t xml:space="preserve">Soft + financing + contingency (% of TDC)</t>
  </si>
  <si>
    <t xml:space="preserve">Owner's contingency (%)</t>
  </si>
  <si>
    <t xml:space="preserve">Interest during construction (% of TDC)</t>
  </si>
  <si>
    <t xml:space="preserve">All-in cost ($/SF)</t>
  </si>
  <si>
    <t xml:space="preserve">◆  INVESTOR — RETURNS</t>
  </si>
  <si>
    <t xml:space="preserve">Stabilized yield-on-cost</t>
  </si>
  <si>
    <t xml:space="preserve">Going-in yield (Yr-1 NOI ÷ TDC)</t>
  </si>
  <si>
    <t xml:space="preserve">Exit / terminal cap rate</t>
  </si>
  <si>
    <t xml:space="preserve">Lease rate ($/kW IT / month)</t>
  </si>
  <si>
    <t xml:space="preserve">Unlevered IRR (8-yr hold)</t>
  </si>
  <si>
    <t xml:space="preserve">Levered equity IRR</t>
  </si>
  <si>
    <t xml:space="preserve">Levered equity multiple (8-yr)</t>
  </si>
  <si>
    <t xml:space="preserve">Development margin (% of cost)</t>
  </si>
  <si>
    <t xml:space="preserve">◆  LENDER — CREDIT &amp; FINANCEABILITY</t>
  </si>
  <si>
    <t xml:space="preserve">Loan-to-cost (LTC)</t>
  </si>
  <si>
    <t xml:space="preserve">Stabilized DSCR</t>
  </si>
  <si>
    <t xml:space="preserve">Debt yield (stabilized)</t>
  </si>
  <si>
    <t xml:space="preserve">All-in permanent loan rate</t>
  </si>
  <si>
    <t xml:space="preserve">Sponsor equity (% of cost)</t>
  </si>
  <si>
    <t xml:space="preserve">STAKEHOLDER POSITIONING SUMMARY</t>
  </si>
  <si>
    <t xml:space="preserve">Stakeholder</t>
  </si>
  <si>
    <t xml:space="preserve">In Range</t>
  </si>
  <si>
    <t xml:space="preserve">Above Mkt</t>
  </si>
  <si>
    <t xml:space="preserve">Below Mkt</t>
  </si>
  <si>
    <t xml:space="preserve">Metrics</t>
  </si>
  <si>
    <t xml:space="preserve">Read</t>
  </si>
  <si>
    <t xml:space="preserve">Developer — Cost &amp; Delivery</t>
  </si>
  <si>
    <t xml:space="preserve">CFO — Capital Efficiency</t>
  </si>
  <si>
    <t xml:space="preserve">Investor — Returns</t>
  </si>
  <si>
    <t xml:space="preserve">Lender — Credit &amp; Financeability</t>
  </si>
  <si>
    <t xml:space="preserve">POWER &amp; SPACE CAPACITY MODEL</t>
  </si>
  <si>
    <t xml:space="preserve">Ties cost to engineering: IT load → electrical / cooling / space sizing, the binding constraint, and stranded capacity. Yellow cells are inputs.</t>
  </si>
  <si>
    <t xml:space="preserve">1 · DESIGN INPUTS &amp; REFERENCES</t>
  </si>
  <si>
    <t xml:space="preserve">IT load (design)</t>
  </si>
  <si>
    <t xml:space="preserve">MW — from Campus Rollup</t>
  </si>
  <si>
    <t xml:space="preserve">Gross building area (GBA)</t>
  </si>
  <si>
    <t xml:space="preserve">SF — from Campus Rollup</t>
  </si>
  <si>
    <t xml:space="preserve">PUE (design)</t>
  </si>
  <si>
    <t xml:space="preserve">facility kW per IT kW</t>
  </si>
  <si>
    <t xml:space="preserve">Average utilisation</t>
  </si>
  <si>
    <t xml:space="preserve">of IT capacity, annualised</t>
  </si>
  <si>
    <t xml:space="preserve">Rack power density</t>
  </si>
  <si>
    <t xml:space="preserve">kW per rack</t>
  </si>
  <si>
    <t xml:space="preserve">Area per rack (incl. aisles)</t>
  </si>
  <si>
    <t xml:space="preserve">SF per rack</t>
  </si>
  <si>
    <t xml:space="preserve">Redundancy (from preset)</t>
  </si>
  <si>
    <t xml:space="preserve">N / N+1 / 2N / 2N+1</t>
  </si>
  <si>
    <t xml:space="preserve">Redundancy de-rate factor</t>
  </si>
  <si>
    <t xml:space="preserve">usable = provisioned ÷ factor</t>
  </si>
  <si>
    <t xml:space="preserve">Facility load</t>
  </si>
  <si>
    <t xml:space="preserve">MW = IT × PUE</t>
  </si>
  <si>
    <t xml:space="preserve">2 · CAPACITY BALANCE  (provisioned → supportable IT)</t>
  </si>
  <si>
    <t xml:space="preserve">Subsystem</t>
  </si>
  <si>
    <t xml:space="preserve">Provisioned</t>
  </si>
  <si>
    <t xml:space="preserve">Supportable IT (MW)</t>
  </si>
  <si>
    <t xml:space="preserve">Stranded (MW)</t>
  </si>
  <si>
    <t xml:space="preserve">UPS / critical power</t>
  </si>
  <si>
    <t xml:space="preserve">Standby generation</t>
  </si>
  <si>
    <t xml:space="preserve">Cooling plant</t>
  </si>
  <si>
    <t xml:space="preserve">tons</t>
  </si>
  <si>
    <t xml:space="preserve">Utility / transformers</t>
  </si>
  <si>
    <t xml:space="preserve">Design IT load (target):</t>
  </si>
  <si>
    <t xml:space="preserve">Usable IT (binding subsystem):</t>
  </si>
  <si>
    <t xml:space="preserve">Binding constraint:</t>
  </si>
  <si>
    <t xml:space="preserve">Capacity adequacy:</t>
  </si>
  <si>
    <t xml:space="preserve">3 · SPACE PROGRAM</t>
  </si>
  <si>
    <t xml:space="preserve">Rack count (capacity)</t>
  </si>
  <si>
    <t xml:space="preserve">racks = IT kW ÷ density</t>
  </si>
  <si>
    <t xml:space="preserve">White-space area</t>
  </si>
  <si>
    <t xml:space="preserve">SF = racks × area/rack</t>
  </si>
  <si>
    <t xml:space="preserve">White space per MW</t>
  </si>
  <si>
    <t xml:space="preserve">SF / MW</t>
  </si>
  <si>
    <t xml:space="preserve">White space as % of GBA</t>
  </si>
  <si>
    <t xml:space="preserve">of gross building area</t>
  </si>
  <si>
    <t xml:space="preserve">Support / MEP / admin balance</t>
  </si>
  <si>
    <t xml:space="preserve">SF (GBA − white space)</t>
  </si>
  <si>
    <t xml:space="preserve">4 · UNIT COST METRICS  (from the live estimate)</t>
  </si>
  <si>
    <t xml:space="preserve">Cost per MW (IT)</t>
  </si>
  <si>
    <t xml:space="preserve">per IT MW</t>
  </si>
  <si>
    <t xml:space="preserve">Cost per MW (facility)</t>
  </si>
  <si>
    <t xml:space="preserve">per facility MW</t>
  </si>
  <si>
    <t xml:space="preserve">Cost per rack</t>
  </si>
  <si>
    <t xml:space="preserve">per rack position</t>
  </si>
  <si>
    <t xml:space="preserve">Cost per cooling ton</t>
  </si>
  <si>
    <t xml:space="preserve">per installed ton</t>
  </si>
  <si>
    <t xml:space="preserve">Cost per SF</t>
  </si>
  <si>
    <t xml:space="preserve">per gross SF</t>
  </si>
  <si>
    <t xml:space="preserve">Cost per IT watt</t>
  </si>
  <si>
    <t xml:space="preserve">per IT watt</t>
  </si>
  <si>
    <t xml:space="preserve">(lookup — do not edit)</t>
  </si>
  <si>
    <t xml:space="preserve">5 · STAKEHOLDER VIEW — CAPACITY TRANSLATED FOR CAPITAL PARTNERS</t>
  </si>
  <si>
    <t xml:space="preserve">Translates the engineering capacity above into the metric each capital partner underwrites. Links live to the estimate, TDC, and Pro Forma lease rate.</t>
  </si>
  <si>
    <t xml:space="preserve">◆  DEVELOPER — DELIVERABLE CAPACITY</t>
  </si>
  <si>
    <t xml:space="preserve">Usable IT capacity (binding)</t>
  </si>
  <si>
    <t xml:space="preserve">Capacity adequacy vs design</t>
  </si>
  <si>
    <t xml:space="preserve">usable ÷ design IT target</t>
  </si>
  <si>
    <t xml:space="preserve">Stranded provisioned capacity</t>
  </si>
  <si>
    <t xml:space="preserve">MW provisioned beyond binding (relievable)</t>
  </si>
  <si>
    <t xml:space="preserve">All-in cost per usable MW</t>
  </si>
  <si>
    <t xml:space="preserve">TDC ÷ usable IT MW</t>
  </si>
  <si>
    <t xml:space="preserve">Construction cost per usable MW</t>
  </si>
  <si>
    <t xml:space="preserve">hard construction ÷ usable IT MW</t>
  </si>
  <si>
    <t xml:space="preserve">Capacity efficiency</t>
  </si>
  <si>
    <t xml:space="preserve">usable ÷ design (capital utilisation)</t>
  </si>
  <si>
    <t xml:space="preserve">◆  INVESTOR — REVENUE CAPACITY</t>
  </si>
  <si>
    <t xml:space="preserve">Leasable IT capacity</t>
  </si>
  <si>
    <t xml:space="preserve">revenue-generating IT (usable)</t>
  </si>
  <si>
    <t xml:space="preserve">Gross revenue capacity @ lease rate</t>
  </si>
  <si>
    <t xml:space="preserve">Revenue at risk — binding shortfall</t>
  </si>
  <si>
    <t xml:space="preserve">$/yr forgone vs design IT</t>
  </si>
  <si>
    <t xml:space="preserve">◆  LENDER — CAPACITY SECURITY</t>
  </si>
  <si>
    <t xml:space="preserve">Redundancy level</t>
  </si>
  <si>
    <t xml:space="preserve">N / N+1 / 2N resiliency tier</t>
  </si>
  <si>
    <t xml:space="preserve">Capacity adequacy</t>
  </si>
  <si>
    <t xml:space="preserve">provisioned vs design IT load</t>
  </si>
  <si>
    <t xml:space="preserve">Design utilisation (load factor)</t>
  </si>
  <si>
    <t xml:space="preserve">SEALED BID</t>
  </si>
  <si>
    <t xml:space="preserve">DO NOT OPEN UNTIL PUBLIC BID OPENING</t>
  </si>
  <si>
    <t xml:space="preserve">SOLICITATION</t>
  </si>
  <si>
    <t xml:space="preserve">Solicitation / RFP No.:</t>
  </si>
  <si>
    <t xml:space="preserve">Bid Due Date &amp; Time:</t>
  </si>
  <si>
    <t xml:space="preserve">Delivery Method:</t>
  </si>
  <si>
    <t xml:space="preserve">SUBMIT TO</t>
  </si>
  <si>
    <t xml:space="preserve">Owner / Procurement:</t>
  </si>
  <si>
    <t xml:space="preserve">Owner Program Management Office  (edit)</t>
  </si>
  <si>
    <t xml:space="preserve">Attention:</t>
  </si>
  <si>
    <t xml:space="preserve">Attn: Procurement &amp; Contracts</t>
  </si>
  <si>
    <t xml:space="preserve">Address:</t>
  </si>
  <si>
    <t xml:space="preserve">[ Insert delivery address, room / desk ]</t>
  </si>
  <si>
    <t xml:space="preserve">FROM (BIDDER)</t>
  </si>
  <si>
    <t xml:space="preserve">Company:</t>
  </si>
  <si>
    <t xml:space="preserve">Contact / Phone:</t>
  </si>
  <si>
    <t xml:space="preserve">SEALING &amp; LABELING INSTRUCTIONS</t>
  </si>
  <si>
    <t xml:space="preserve">1.  Enclose the completed, signed Bid Form and all required attachments in a sealed, opaque envelope or package.</t>
  </si>
  <si>
    <t xml:space="preserve">2.  Affix this cover sheet to the outside of the sealed package.</t>
  </si>
  <si>
    <t xml:space="preserve">3.  Mark the package “SEALED BID — DO NOT OPEN” and deliver to the Submit-To address before the Bid Due Date &amp; Time.</t>
  </si>
  <si>
    <t xml:space="preserve">4.  Late submissions will not be accepted. Faxed or emailed bids are not accepted unless expressly permitted in the solicitation.</t>
  </si>
  <si>
    <t xml:space="preserve">Do not write the bid amount anywhere on this cover. The Owner is not responsible for premature opening of bids not properly sealed and labeled.</t>
  </si>
  <si>
    <t xml:space="preserve">REQUIRED DOCUMENTS — CONFIRM ENCLOSED</t>
  </si>
  <si>
    <t xml:space="preserve">☐  Completed &amp; signed Bid Form (every division priced or excluded)</t>
  </si>
  <si>
    <t xml:space="preserve">☐  Bid bond / bid security (amount per solicitation)</t>
  </si>
  <si>
    <t xml:space="preserve">☐  Certificate of Insurance meeting Owner requirements</t>
  </si>
  <si>
    <t xml:space="preserve">☐  Contractor's license &amp; statement of qualifications</t>
  </si>
  <si>
    <t xml:space="preserve">☐  Proposed project schedule (to Substantial Completion)</t>
  </si>
  <si>
    <t xml:space="preserve">☐  List of major subcontractors by division</t>
  </si>
  <si>
    <t xml:space="preserve">☐  Audited financial statement / surety bonding letter</t>
  </si>
  <si>
    <t xml:space="preserve">☐  Signed acknowledgement of all addenda</t>
  </si>
  <si>
    <t xml:space="preserve">☐  Safety record (EMR) &amp; three comparable project references</t>
  </si>
  <si>
    <t xml:space="preserve">GENERAL CONTRACTOR BID FORM</t>
  </si>
  <si>
    <t xml:space="preserve">CONFIDENTIAL — Submit a sealed, signed bid by the Bid Due Date stated below. All amounts in US$.</t>
  </si>
  <si>
    <t xml:space="preserve">1 · PROJECT &amp; SOLICITATION</t>
  </si>
  <si>
    <t xml:space="preserve">CM-at-Risk / Guaranteed Maximum Price (GMP)</t>
  </si>
  <si>
    <t xml:space="preserve">RFP / Solicitation No.:</t>
  </si>
  <si>
    <t xml:space="preserve">Bid Due Date:</t>
  </si>
  <si>
    <t xml:space="preserve">Target NTP (ref):</t>
  </si>
  <si>
    <t xml:space="preserve">Target Completion (ref):</t>
  </si>
  <si>
    <t xml:space="preserve">2 · BIDDER INFORMATION</t>
  </si>
  <si>
    <t xml:space="preserve">Company Name:</t>
  </si>
  <si>
    <t xml:space="preserve">Primary Contact / Title:</t>
  </si>
  <si>
    <t xml:space="preserve">Phone / Email:</t>
  </si>
  <si>
    <t xml:space="preserve">Contractor License No.:</t>
  </si>
  <si>
    <t xml:space="preserve">Bonding Capacity / Surety:</t>
  </si>
  <si>
    <t xml:space="preserve">Date Submitted:</t>
  </si>
  <si>
    <t xml:space="preserve">3 · BASE BID BY TRADE / DIVISION (CSI)</t>
  </si>
  <si>
    <t xml:space="preserve">Enter a lump-sum base bid for each division below. Leave blank only if excluding a division — note all exclusions in §7.</t>
  </si>
  <si>
    <t xml:space="preserve">Trade / Division (CSI)</t>
  </si>
  <si>
    <t xml:space="preserve">Base Bid (US$)</t>
  </si>
  <si>
    <t xml:space="preserve">Notes / Clarifications</t>
  </si>
  <si>
    <t xml:space="preserve">TOTAL BASE BID  (sum of all divisions)</t>
  </si>
  <si>
    <t xml:space="preserve">4 · ALTERNATES (ADD / DEDUCT)</t>
  </si>
  <si>
    <t xml:space="preserve">Alternate Description</t>
  </si>
  <si>
    <t xml:space="preserve">Add / (Deduct) $</t>
  </si>
  <si>
    <t xml:space="preserve">Upgrade to N+2 redundancy on critical cooling</t>
  </si>
  <si>
    <t xml:space="preserve">Add 10 MW incremental UPS capacity</t>
  </si>
  <si>
    <t xml:space="preserve">Premium to accelerate Substantial Completion by 2 months</t>
  </si>
  <si>
    <t xml:space="preserve">Substitute air-cooled chillers for water-cooled plant</t>
  </si>
  <si>
    <t xml:space="preserve">Bidder-proposed alternate (describe):</t>
  </si>
  <si>
    <t xml:space="preserve">5 · UNIT PRICES (FOR CHANGES IN SCOPE)</t>
  </si>
  <si>
    <t xml:space="preserve">Item</t>
  </si>
  <si>
    <t xml:space="preserve">Unit Price (US$)</t>
  </si>
  <si>
    <t xml:space="preserve">Structural concrete — placed &amp; finished</t>
  </si>
  <si>
    <t xml:space="preserve">Reinforcing steel — installed</t>
  </si>
  <si>
    <t xml:space="preserve">Mass excavation</t>
  </si>
  <si>
    <t xml:space="preserve">Select structural fill — imported &amp; compacted</t>
  </si>
  <si>
    <t xml:space="preserve">Branch conduit &amp; wire (typical run)</t>
  </si>
  <si>
    <t xml:space="preserve">6 · SCHEDULE COMMITMENT</t>
  </si>
  <si>
    <t xml:space="preserve">Proposed mobilization (days from NTP):</t>
  </si>
  <si>
    <t xml:space="preserve">Proposed Substantial Completion date:</t>
  </si>
  <si>
    <t xml:space="preserve">Total duration (calendar months):</t>
  </si>
  <si>
    <t xml:space="preserve">Can you meet the Owner's Target Completion? (Y/N):</t>
  </si>
  <si>
    <t xml:space="preserve">Schedule comments:</t>
  </si>
  <si>
    <t xml:space="preserve">7 · QUALIFICATIONS, ASSUMPTIONS &amp; EXCLUSIONS</t>
  </si>
  <si>
    <t xml:space="preserve">List all qualifications, assumptions, and scope exclusions below. Any division left blank in §3 must be noted here as excluded. Attach additional sheets as needed.</t>
  </si>
  <si>
    <t xml:space="preserve">8 · ACKNOWLEDGEMENTS</t>
  </si>
  <si>
    <t xml:space="preserve">Addenda received (list numbers):</t>
  </si>
  <si>
    <t xml:space="preserve">Bid bond / security attached (Y/N):</t>
  </si>
  <si>
    <t xml:space="preserve">Bid valid for (calendar days):</t>
  </si>
  <si>
    <t xml:space="preserve">Insurance meets Owner requirements (Y/N):</t>
  </si>
  <si>
    <t xml:space="preserve">9 · CERTIFICATION &amp; SIGNATURE</t>
  </si>
  <si>
    <t xml:space="preserve">The undersigned certifies this bid is genuine, made without collusion, complies with the solicitation and all addenda, and that the signer is authorized to bind the bidder.</t>
  </si>
  <si>
    <t xml:space="preserve">Authorized Signature:</t>
  </si>
  <si>
    <t xml:space="preserve">Printed Name / Title:</t>
  </si>
  <si>
    <t xml:space="preserve">Date:</t>
  </si>
  <si>
    <t xml:space="preserve">Company Seal:</t>
  </si>
  <si>
    <t xml:space="preserve">BID LEVELING — GENERAL CONTRACTOR ANALYSIS</t>
  </si>
  <si>
    <t xml:space="preserve">Trade-by-trade comparison of general contractor bids vs. the engineer's estimate. Baseline = Construction Budget. Enter GC bids in the blue input cells.</t>
  </si>
  <si>
    <t xml:space="preserve">EXECUTIVE SUMMARY</t>
  </si>
  <si>
    <t xml:space="preserve">RECOMMENDED GC</t>
  </si>
  <si>
    <t xml:space="preserve">AWARD VALUE</t>
  </si>
  <si>
    <t xml:space="preserve">SAVINGS vs EE</t>
  </si>
  <si>
    <t xml:space="preserve">ENGINEER'S ESTIMATE</t>
  </si>
  <si>
    <t xml:space="preserve">GC BIDS RECEIVED</t>
  </si>
  <si>
    <t xml:space="preserve">TRADE-BY-TRADE GC BID COMPARISON</t>
  </si>
  <si>
    <t xml:space="preserve">Engineer's Estimate</t>
  </si>
  <si>
    <t xml:space="preserve">National Build Group</t>
  </si>
  <si>
    <t xml:space="preserve">Western Constructors</t>
  </si>
  <si>
    <t xml:space="preserve">Metro Mission Critical</t>
  </si>
  <si>
    <t xml:space="preserve">Pinnacle CM (DC specialist)</t>
  </si>
  <si>
    <t xml:space="preserve">Low Bid</t>
  </si>
  <si>
    <t xml:space="preserve">Δ Low vs EE</t>
  </si>
  <si>
    <t xml:space="preserve">General Conditions &amp; Requirements</t>
  </si>
  <si>
    <t xml:space="preserve">Commissioning &amp; Testing</t>
  </si>
  <si>
    <t xml:space="preserve">Div 03 — Concrete</t>
  </si>
  <si>
    <t xml:space="preserve">Div 04 — Masonry</t>
  </si>
  <si>
    <t xml:space="preserve">Div 05 — Metals / Structural Steel</t>
  </si>
  <si>
    <t xml:space="preserve">Div 06 — Wood, Plastics &amp; Composites</t>
  </si>
  <si>
    <t xml:space="preserve">Div 07 — Thermal &amp; Moisture Protection</t>
  </si>
  <si>
    <t xml:space="preserve">Div 08 — Openings</t>
  </si>
  <si>
    <t xml:space="preserve">Div 09 — Finishes</t>
  </si>
  <si>
    <t xml:space="preserve">Div 10 — Specialties</t>
  </si>
  <si>
    <t xml:space="preserve">Div 11 — Equipment</t>
  </si>
  <si>
    <t xml:space="preserve">Div 12 — Furnishings</t>
  </si>
  <si>
    <t xml:space="preserve">Div 14 — Conveying Equipment</t>
  </si>
  <si>
    <t xml:space="preserve">Div 21 — Fire Suppression</t>
  </si>
  <si>
    <t xml:space="preserve">Div 22 — Plumbing</t>
  </si>
  <si>
    <t xml:space="preserve">Div 23 — HVAC / Cooling Systems</t>
  </si>
  <si>
    <t xml:space="preserve">Div 25 — Integrated Automation</t>
  </si>
  <si>
    <t xml:space="preserve">Div 26 — Electrical / Critical Power</t>
  </si>
  <si>
    <t xml:space="preserve">Div 27 — Communications / IT Infrastructure</t>
  </si>
  <si>
    <t xml:space="preserve">Div 28 — Electronic Safety &amp; Security</t>
  </si>
  <si>
    <t xml:space="preserve">Div 31 — Earthwork</t>
  </si>
  <si>
    <t xml:space="preserve">Div 32 — Exterior Improvements</t>
  </si>
  <si>
    <t xml:space="preserve">Div 33 — Utilities</t>
  </si>
  <si>
    <t xml:space="preserve">Soft Costs / Pre-Construction</t>
  </si>
  <si>
    <t xml:space="preserve">TOTAL — ALL TRADES</t>
  </si>
  <si>
    <t xml:space="preserve">GC BID SUMMARY &amp; RECOMMENDATION</t>
  </si>
  <si>
    <t xml:space="preserve">Workflow: select the bidder on the GC Bid Form, enter their division prices, then Copy → Paste-Values that column here to retain it before processing the next bidder.</t>
  </si>
  <si>
    <t xml:space="preserve">Total Bid</t>
  </si>
  <si>
    <t xml:space="preserve">Δ vs EE ($)</t>
  </si>
  <si>
    <t xml:space="preserve">Δ vs EE (%)</t>
  </si>
  <si>
    <t xml:space="preserve">Rank</t>
  </si>
  <si>
    <t xml:space="preserve">Status / Qualification</t>
  </si>
  <si>
    <t xml:space="preserve">RECOMMENDATION</t>
  </si>
  <si>
    <t xml:space="preserve">BID EVALUATION — WEIGHTED SCORING</t>
  </si>
  <si>
    <t xml:space="preserve">CMAR / GMP selection. Yellow = inputs (weights, GMP, qualitative scores 1–10). Price score is auto-normalised (lowest bid = 10). Complements the price-only Bid Leveling tab.</t>
  </si>
  <si>
    <t xml:space="preserve">Package:</t>
  </si>
  <si>
    <t xml:space="preserve">General Contractor / CMAR — Data Center Template, NoVA</t>
  </si>
  <si>
    <t xml:space="preserve">1 · EVALUATION CRITERIA &amp; WEIGHTS</t>
  </si>
  <si>
    <t xml:space="preserve">Criterion →</t>
  </si>
  <si>
    <t xml:space="preserve">Price</t>
  </si>
  <si>
    <t xml:space="preserve">Schedule</t>
  </si>
  <si>
    <t xml:space="preserve">Technical</t>
  </si>
  <si>
    <t xml:space="preserve">Experience</t>
  </si>
  <si>
    <t xml:space="preserve">Safety (EMR)</t>
  </si>
  <si>
    <t xml:space="preserve">Financial</t>
  </si>
  <si>
    <t xml:space="preserve">Weights (must total 100%):</t>
  </si>
  <si>
    <t xml:space="preserve">2 · BIDDER SCORING  (qualitative scores 1–10)</t>
  </si>
  <si>
    <t xml:space="preserve">WEIGHTED CONTRIBUTION BY CRITERION</t>
  </si>
  <si>
    <t xml:space="preserve">Bidder (CM)</t>
  </si>
  <si>
    <t xml:space="preserve">GMP Bid</t>
  </si>
  <si>
    <t xml:space="preserve">Price
Score</t>
  </si>
  <si>
    <t xml:space="preserve">Sched.</t>
  </si>
  <si>
    <t xml:space="preserve">Tech.</t>
  </si>
  <si>
    <t xml:space="preserve">Exp.</t>
  </si>
  <si>
    <t xml:space="preserve">Safety</t>
  </si>
  <si>
    <t xml:space="preserve">Fin.</t>
  </si>
  <si>
    <t xml:space="preserve">Weighted
Score</t>
  </si>
  <si>
    <t xml:space="preserve">Bidder</t>
  </si>
  <si>
    <t xml:space="preserve">3 · RECOMMENDATION</t>
  </si>
  <si>
    <t xml:space="preserve">Recommended award:</t>
  </si>
  <si>
    <t xml:space="preserve">Winning weighted score:</t>
  </si>
  <si>
    <t xml:space="preserve">Their GMP vs low bid:</t>
  </si>
  <si>
    <t xml:space="preserve">4 · GMP VARIANCE ANALYSIS</t>
  </si>
  <si>
    <t xml:space="preserve">General Contractor</t>
  </si>
  <si>
    <t xml:space="preserve">Leveled Constr. (Bid Leveling)</t>
  </si>
  <si>
    <t xml:space="preserve">Implied GC Fee / Soft</t>
  </si>
  <si>
    <t xml:space="preserve">vs Low GMP ($)</t>
  </si>
  <si>
    <t xml:space="preserve">vs Low GMP (%)</t>
  </si>
  <si>
    <t xml:space="preserve">vs Avg GMP (%)</t>
  </si>
  <si>
    <t xml:space="preserve">vs Trades EE (%)</t>
  </si>
  <si>
    <t xml:space="preserve">Price Rank</t>
  </si>
  <si>
    <t xml:space="preserve">Low GMP</t>
  </si>
  <si>
    <t xml:space="preserve">Average GMP</t>
  </si>
  <si>
    <t xml:space="preserve">High GMP</t>
  </si>
  <si>
    <t xml:space="preserve">Spread (High − Low)</t>
  </si>
  <si>
    <t xml:space="preserve">Engineer's Estimate (Trades, excl. Soft Costs)</t>
  </si>
  <si>
    <t xml:space="preserve">Leveled Constr. and Implied GC Fee populate from Bid Leveling once GC trade bids are entered. 'vs Trades EE' compares each GMP to the construction-trades estimate (excl. owner soft costs, $975M).</t>
  </si>
  <si>
    <t xml:space="preserve">5 · TRADE-BY-TRADE BID DETAIL — GC-BID TRADES (EXCL. SOFT COSTS)</t>
  </si>
  <si>
    <t xml:space="preserve">Trade / Division</t>
  </si>
  <si>
    <t xml:space="preserve">Eng. Estimate</t>
  </si>
  <si>
    <t xml:space="preserve">Δ vs EE</t>
  </si>
  <si>
    <t xml:space="preserve">TOTAL — GC-BID TRADES (EXCL. SOFT COSTS)</t>
  </si>
  <si>
    <t xml:space="preserve">6 · GENERAL CONTRACTOR QUALIFICATIONS &amp; DUE DILIGENCE</t>
  </si>
  <si>
    <t xml:space="preserve">Firm qualifications captured per bidding GC — complete during due diligence. Any "Fail" on a mandatory gate (bottom row) disqualifies regardless of weighted score.</t>
  </si>
  <si>
    <t xml:space="preserve">Qualification / Attribute</t>
  </si>
  <si>
    <t xml:space="preserve">Min Requirement</t>
  </si>
  <si>
    <t xml:space="preserve">Firm HQ / local office presence</t>
  </si>
  <si>
    <t xml:space="preserve">Years in business</t>
  </si>
  <si>
    <t xml:space="preserve">Annual revenue ($M)</t>
  </si>
  <si>
    <t xml:space="preserve">Bonding capacity — aggregate ($M)</t>
  </si>
  <si>
    <t xml:space="preserve">Surety &amp; bond rating</t>
  </si>
  <si>
    <t xml:space="preserve">Current backlog ($M)</t>
  </si>
  <si>
    <t xml:space="preserve">Data-center projects completed (#)</t>
  </si>
  <si>
    <t xml:space="preserve">DC capacity delivered (MW)</t>
  </si>
  <si>
    <t xml:space="preserve">Self-perform capability (% of work)</t>
  </si>
  <si>
    <t xml:space="preserve">Safety EMR (3-yr avg)</t>
  </si>
  <si>
    <t xml:space="preserve">Key project executive / PM assigned</t>
  </si>
  <si>
    <t xml:space="preserve">Mandatory gate — insurance, licensing &amp; bonding</t>
  </si>
  <si>
    <t xml:space="preserve">PROCUREMENT &amp; LONG-LEAD TRACKER</t>
  </si>
  <si>
    <t xml:space="preserve">Order-By = Required-On-Site − (lead + buffer). Long leads on transformers, gear and generators mean several packages must be ordered before mobilization.</t>
  </si>
  <si>
    <t xml:space="preserve">1 · STATUS PARAMETERS</t>
  </si>
  <si>
    <t xml:space="preserve">Data Date:</t>
  </si>
  <si>
    <t xml:space="preserve">Project Start (ref):</t>
  </si>
  <si>
    <t xml:space="preserve">Annual escalation (ref):</t>
  </si>
  <si>
    <t xml:space="preserve">2 · LONG-LEAD EQUIPMENT REGISTER</t>
  </si>
  <si>
    <t xml:space="preserve">Equipment Package</t>
  </si>
  <si>
    <t xml:space="preserve">Div</t>
  </si>
  <si>
    <t xml:space="preserve">Supply Responsibility</t>
  </si>
  <si>
    <t xml:space="preserve">Budget</t>
  </si>
  <si>
    <t xml:space="preserve">Lead
(wks)</t>
  </si>
  <si>
    <t xml:space="preserve">Buffer
(wks)</t>
  </si>
  <si>
    <t xml:space="preserve">Required On-Site</t>
  </si>
  <si>
    <t xml:space="preserve">Order-By Date</t>
  </si>
  <si>
    <t xml:space="preserve">Days to Order-By</t>
  </si>
  <si>
    <t xml:space="preserve">Escal. Exposure</t>
  </si>
  <si>
    <t xml:space="preserve">Procurement Flag</t>
  </si>
  <si>
    <t xml:space="preserve">Typical OEM / Vendor Pool</t>
  </si>
  <si>
    <t xml:space="preserve">Installed By</t>
  </si>
  <si>
    <t xml:space="preserve">Deposit %</t>
  </si>
  <si>
    <t xml:space="preserve">Deposit Due</t>
  </si>
  <si>
    <t xml:space="preserve">Supply-Chain Risk</t>
  </si>
  <si>
    <t xml:space="preserve">GC-Supplied</t>
  </si>
  <si>
    <t xml:space="preserve">PO Released</t>
  </si>
  <si>
    <t xml:space="preserve">Mill + AISC fabricator (bid)</t>
  </si>
  <si>
    <t xml:space="preserve">GC self-perform / steel erector</t>
  </si>
  <si>
    <t xml:space="preserve">Med — mill rolling + fab capacity</t>
  </si>
  <si>
    <t xml:space="preserve">Raised Access Floor &amp; Aisle Containment</t>
  </si>
  <si>
    <t xml:space="preserve">Not Started</t>
  </si>
  <si>
    <t xml:space="preserve">Tate / ASM / Polargy / Subzero</t>
  </si>
  <si>
    <t xml:space="preserve">GC self-perform — floor &amp; containment</t>
  </si>
  <si>
    <t xml:space="preserve">Low — stock product</t>
  </si>
  <si>
    <t xml:space="preserve">Clean-Agent / Pre-Action Fire Suppression</t>
  </si>
  <si>
    <t xml:space="preserve">Owner (OFCI)</t>
  </si>
  <si>
    <t xml:space="preserve">Fike / Kidde / Victaulic / Viking</t>
  </si>
  <si>
    <t xml:space="preserve">Fire-protection sub — pipe, cylinders, detection</t>
  </si>
  <si>
    <t xml:space="preserve">Low — domestic supply</t>
  </si>
  <si>
    <t xml:space="preserve">CRAH / In-Row Cooling Units</t>
  </si>
  <si>
    <t xml:space="preserve">Vertiv / Stulz / Schneider / Trane</t>
  </si>
  <si>
    <t xml:space="preserve">Mechanical sub — floor set &amp; pipe</t>
  </si>
  <si>
    <t xml:space="preserve">Med — coil + EC fan supply</t>
  </si>
  <si>
    <t xml:space="preserve">Centrifugal Chillers</t>
  </si>
  <si>
    <t xml:space="preserve">Trane / Carrier / JCI / Daikin</t>
  </si>
  <si>
    <t xml:space="preserve">Mechanical sub — rig &amp; pipe; OEM startup</t>
  </si>
  <si>
    <t xml:space="preserve">High — compressor + 45-wk lead</t>
  </si>
  <si>
    <t xml:space="preserve">Direct Liquid Cooling / CDUs</t>
  </si>
  <si>
    <t xml:space="preserve">Vertiv / CoolIT / Motivair / Boyd</t>
  </si>
  <si>
    <t xml:space="preserve">Mechanical/IT sub — manifold &amp; CDU</t>
  </si>
  <si>
    <t xml:space="preserve">High — emerging supply, few OEMs</t>
  </si>
  <si>
    <t xml:space="preserve">DN Tanks / CB&amp;I / Trane TES</t>
  </si>
  <si>
    <t xml:space="preserve">Civil/Mech sub — tank &amp; glycol fill</t>
  </si>
  <si>
    <t xml:space="preserve">Med — site-built tank schedule</t>
  </si>
  <si>
    <t xml:space="preserve">Air-Cooled Chillers (N+1 backup)</t>
  </si>
  <si>
    <t xml:space="preserve">Trane / Carrier / Daikin / JCI</t>
  </si>
  <si>
    <t xml:space="preserve">Mechanical sub — yard rig &amp; pipe</t>
  </si>
  <si>
    <t xml:space="preserve">High — compressor + 40-wk lead</t>
  </si>
  <si>
    <t xml:space="preserve">Air-Side Economizers / Evaporative Units</t>
  </si>
  <si>
    <t xml:space="preserve">Munters / Nortek / Stulz</t>
  </si>
  <si>
    <t xml:space="preserve">Mechanical sub — roof rig &amp; duct</t>
  </si>
  <si>
    <t xml:space="preserve">Med — engineered units</t>
  </si>
  <si>
    <t xml:space="preserve">Air Handling Units (AHUs)</t>
  </si>
  <si>
    <t xml:space="preserve">Daikin / Trane / Nailor / Temtrol</t>
  </si>
  <si>
    <t xml:space="preserve">Mechanical sub — rig, duct &amp; pipe</t>
  </si>
  <si>
    <t xml:space="preserve">Med — coil &amp; fan lead</t>
  </si>
  <si>
    <t xml:space="preserve">Chilled-Water &amp; Condenser Pumps / Skids</t>
  </si>
  <si>
    <t xml:space="preserve">Bell &amp; Gossett / Armstrong / Grundfos</t>
  </si>
  <si>
    <t xml:space="preserve">Mechanical sub — skid set &amp; align</t>
  </si>
  <si>
    <t xml:space="preserve">Med — motor &amp; VFD supply</t>
  </si>
  <si>
    <t xml:space="preserve">Cooling Towers</t>
  </si>
  <si>
    <t xml:space="preserve">BAC / Evapco / SPX</t>
  </si>
  <si>
    <t xml:space="preserve">Mechanical sub — roof/yard rig &amp; pipe</t>
  </si>
  <si>
    <t xml:space="preserve">Med — fabrication slot</t>
  </si>
  <si>
    <t xml:space="preserve">Bulk Fuel Oil Storage Farm</t>
  </si>
  <si>
    <t xml:space="preserve">Highland / Modern Welding / Pryco</t>
  </si>
  <si>
    <t xml:space="preserve">Civil/Mech sub — tank, pumps &amp; piping</t>
  </si>
  <si>
    <t xml:space="preserve">Med — containment + AHJ</t>
  </si>
  <si>
    <t xml:space="preserve">Generator Fuel &amp; Day Tanks</t>
  </si>
  <si>
    <t xml:space="preserve">Pryco / Highland Tank / Modern Welding</t>
  </si>
  <si>
    <t xml:space="preserve">Mechanical sub — set &amp; pipe to gens</t>
  </si>
  <si>
    <t xml:space="preserve">Low — domestic fab</t>
  </si>
  <si>
    <t xml:space="preserve">EPMS / DCIM / BMS Controls</t>
  </si>
  <si>
    <t xml:space="preserve">Schneider EcoStruxure / ABB / Honeywell</t>
  </si>
  <si>
    <t xml:space="preserve">Controls/LV sub — field devices &amp; head-end</t>
  </si>
  <si>
    <t xml:space="preserve">Med — chip content; integration</t>
  </si>
  <si>
    <t xml:space="preserve">Diesel Generators (2.5 MW units)</t>
  </si>
  <si>
    <t xml:space="preserve">Caterpillar / Cummins / MTU / Kohler</t>
  </si>
  <si>
    <t xml:space="preserve">Mechanical sub — pad set, fuel/exhaust; OEM startup</t>
  </si>
  <si>
    <t xml:space="preserve">High — engine allocation; Tier 4</t>
  </si>
  <si>
    <t xml:space="preserve">Medium-Voltage Transformers (utility + unit subs)</t>
  </si>
  <si>
    <t xml:space="preserve">RFQ Issued</t>
  </si>
  <si>
    <t xml:space="preserve">ABB / Siemens / Eaton / Virginia Trans.</t>
  </si>
  <si>
    <t xml:space="preserve">Electrical sub — crane set on pad; OEM commissions</t>
  </si>
  <si>
    <t xml:space="preserve">High — 78-wk lead; core/coil shortage</t>
  </si>
  <si>
    <t xml:space="preserve">UPS Systems</t>
  </si>
  <si>
    <t xml:space="preserve">Vertiv / Schneider / ABB / Eaton</t>
  </si>
  <si>
    <t xml:space="preserve">Electrical sub — set; OEM commissions</t>
  </si>
  <si>
    <t xml:space="preserve">Med — module + battery lead</t>
  </si>
  <si>
    <t xml:space="preserve">Medium-Voltage Switchgear</t>
  </si>
  <si>
    <t xml:space="preserve">Eaton / Schneider / Siemens / Powell</t>
  </si>
  <si>
    <t xml:space="preserve">Electrical sub — set, bus &amp; terminate</t>
  </si>
  <si>
    <t xml:space="preserve">High — gear lead 50-60 wk</t>
  </si>
  <si>
    <t xml:space="preserve">PDUs / Remote Power Panels</t>
  </si>
  <si>
    <t xml:space="preserve">Vertiv / Schneider / Server Technology</t>
  </si>
  <si>
    <t xml:space="preserve">Electrical sub — floor set &amp; whip</t>
  </si>
  <si>
    <t xml:space="preserve">Med — copper + breaker supply</t>
  </si>
  <si>
    <t xml:space="preserve">Tesla / Fluence / Eaton / Saft</t>
  </si>
  <si>
    <t xml:space="preserve">Electrical sub — pad set; OEM commissions</t>
  </si>
  <si>
    <t xml:space="preserve">High — Li-ion cell allocation; AHJ</t>
  </si>
  <si>
    <t xml:space="preserve">ASCO / Russelectric / Cummins</t>
  </si>
  <si>
    <t xml:space="preserve">Electrical sub — integrate w/ gen plant</t>
  </si>
  <si>
    <t xml:space="preserve">High — engineered-to-order controls</t>
  </si>
  <si>
    <t xml:space="preserve">Busway Distribution</t>
  </si>
  <si>
    <t xml:space="preserve">Starline / Universal Electric / Eaton</t>
  </si>
  <si>
    <t xml:space="preserve">Electrical sub — overhead hang &amp; section</t>
  </si>
  <si>
    <t xml:space="preserve">Med — copper price volatility</t>
  </si>
  <si>
    <t xml:space="preserve">Static Transfer Switches / ATS</t>
  </si>
  <si>
    <t xml:space="preserve">ASCO / Cummins / Russelectric / Vertiv</t>
  </si>
  <si>
    <t xml:space="preserve">Electrical sub — set &amp; terminate</t>
  </si>
  <si>
    <t xml:space="preserve">Med — semiconductor content</t>
  </si>
  <si>
    <t xml:space="preserve">Low-Voltage Switchboards &amp; Panelboards</t>
  </si>
  <si>
    <t xml:space="preserve">Eaton / Schneider / Siemens / ABB</t>
  </si>
  <si>
    <t xml:space="preserve">Electrical sub — set &amp; feeder terminate</t>
  </si>
  <si>
    <t xml:space="preserve">Med — panel/breaker backlog</t>
  </si>
  <si>
    <t xml:space="preserve">Medium-Voltage Cable &amp; Terminations</t>
  </si>
  <si>
    <t xml:space="preserve">Southwire / Prysmian / Okonite</t>
  </si>
  <si>
    <t xml:space="preserve">Electrical sub — pull, splice &amp; terminate</t>
  </si>
  <si>
    <t xml:space="preserve">Med — copper + reel lead</t>
  </si>
  <si>
    <t xml:space="preserve">IT Server Racks &amp; Cabinets</t>
  </si>
  <si>
    <t xml:space="preserve">Vertiv / Eaton / Rittal / APC</t>
  </si>
  <si>
    <t xml:space="preserve">Owner IT vendor; GC sets &amp; levels</t>
  </si>
  <si>
    <t xml:space="preserve">Med — volume + tariff exposure</t>
  </si>
  <si>
    <t xml:space="preserve">Structured Cabling / Network Backbone</t>
  </si>
  <si>
    <t xml:space="preserve">CommScope / Corning / Panduit / Belden</t>
  </si>
  <si>
    <t xml:space="preserve">Low-voltage/cabling sub — pathway &amp; terminations</t>
  </si>
  <si>
    <t xml:space="preserve">Low — domestic distribution</t>
  </si>
  <si>
    <t xml:space="preserve">Security System (Access Control &amp; CCTV)</t>
  </si>
  <si>
    <t xml:space="preserve">Genetec / Lenel / Avigilon / Axis</t>
  </si>
  <si>
    <t xml:space="preserve">Low-voltage/security sub — devices &amp; head-end</t>
  </si>
  <si>
    <t xml:space="preserve">Low — broad supplier base</t>
  </si>
  <si>
    <t xml:space="preserve">TOTAL — tracked long-lead value</t>
  </si>
  <si>
    <t xml:space="preserve">3 · PROCUREMENT SUMMARY</t>
  </si>
  <si>
    <t xml:space="preserve">Tracked long-lead value</t>
  </si>
  <si>
    <t xml:space="preserve">Packages past Order-By (LATE)</t>
  </si>
  <si>
    <t xml:space="preserve">Packages to order within 30 days</t>
  </si>
  <si>
    <t xml:space="preserve">Total escalation exposure</t>
  </si>
  <si>
    <t xml:space="preserve">Earliest Order-By date</t>
  </si>
  <si>
    <t xml:space="preserve">Owner-Supplied (OFCI) value</t>
  </si>
  <si>
    <t xml:space="preserve">Owner-Supplied packages</t>
  </si>
  <si>
    <t xml:space="preserve">Owner-Supplied escalation exposure</t>
  </si>
  <si>
    <t xml:space="preserve">GC-Supplied value</t>
  </si>
  <si>
    <t xml:space="preserve">Deposit cash due at PO (all)</t>
  </si>
  <si>
    <t xml:space="preserve">  — OFCI deposit cash due</t>
  </si>
  <si>
    <t xml:space="preserve">  — GC-Supplied deposit cash due</t>
  </si>
  <si>
    <t xml:space="preserve">High supply-chain-risk packages</t>
  </si>
  <si>
    <t xml:space="preserve">CONSTRUCTION SCHEDULE — CRADLE TO GRAVE (Site Selection → Site Opening)</t>
  </si>
  <si>
    <t xml:space="preserve">MS-Project-style master schedule with CPM logic &amp; procurement-driven delivery→install constraints. Durations (blue) are inputs; installs start at the LATER of their sequence predecessor or equipment delivery. Construction NTP is tied to Construction Budget!F3.</t>
  </si>
  <si>
    <t xml:space="preserve">Site Selection Start:</t>
  </si>
  <si>
    <t xml:space="preserve">Phase</t>
  </si>
  <si>
    <t xml:space="preserve">Critical task</t>
  </si>
  <si>
    <t xml:space="preserve">Task (float)</t>
  </si>
  <si>
    <t xml:space="preserve">Milestone</t>
  </si>
  <si>
    <t xml:space="preserve">Equip delivery</t>
  </si>
  <si>
    <t xml:space="preserve">Construction Start (NTP):</t>
  </si>
  <si>
    <t xml:space="preserve">Sched. NTP / Mobilize:</t>
  </si>
  <si>
    <t xml:space="preserve">Tie?</t>
  </si>
  <si>
    <t xml:space="preserve">Scheduled Go-Live:</t>
  </si>
  <si>
    <t xml:space="preserve">Go-Live vs Target:</t>
  </si>
  <si>
    <t xml:space="preserve">WBS</t>
  </si>
  <si>
    <t xml:space="preserve">Task / Activity</t>
  </si>
  <si>
    <t xml:space="preserve">Trade / Crew</t>
  </si>
  <si>
    <t xml:space="preserve">Dur
(days)</t>
  </si>
  <si>
    <t xml:space="preserve">Start</t>
  </si>
  <si>
    <t xml:space="preserve">Finish</t>
  </si>
  <si>
    <t xml:space="preserve">Baseline
Finish</t>
  </si>
  <si>
    <t xml:space="preserve">Var
(d)</t>
  </si>
  <si>
    <t xml:space="preserve">Pred</t>
  </si>
  <si>
    <t xml:space="preserve">Float
(d)</t>
  </si>
  <si>
    <t xml:space="preserve">Critical?</t>
  </si>
  <si>
    <t xml:space="preserve">% Comp</t>
  </si>
  <si>
    <t xml:space="preserve">Site Selection &amp; Feasibility</t>
  </si>
  <si>
    <t xml:space="preserve">Developer</t>
  </si>
  <si>
    <t xml:space="preserve">   Market &amp; power availability study</t>
  </si>
  <si>
    <t xml:space="preserve">Site selection</t>
  </si>
  <si>
    <t xml:space="preserve">   Site identification &amp; shortlisting</t>
  </si>
  <si>
    <t xml:space="preserve">   Geotechnical &amp; environmental due diligence</t>
  </si>
  <si>
    <t xml:space="preserve">Consultants</t>
  </si>
  <si>
    <t xml:space="preserve">   Fatal-flaw &amp; constructability review</t>
  </si>
  <si>
    <t xml:space="preserve">CM / A-E</t>
  </si>
  <si>
    <t xml:space="preserve">Owner / CM</t>
  </si>
  <si>
    <t xml:space="preserve">1.6</t>
  </si>
  <si>
    <t xml:space="preserve">   Preliminary ALTA survey &amp; title review</t>
  </si>
  <si>
    <t xml:space="preserve">Survey</t>
  </si>
  <si>
    <t xml:space="preserve">1.2</t>
  </si>
  <si>
    <t xml:space="preserve">Owner / Legal</t>
  </si>
  <si>
    <t xml:space="preserve">1.7</t>
  </si>
  <si>
    <t xml:space="preserve">   Economic incentives &amp; tax abatement negotiation</t>
  </si>
  <si>
    <t xml:space="preserve">1.1</t>
  </si>
  <si>
    <t xml:space="preserve">1.8</t>
  </si>
  <si>
    <t xml:space="preserve">   Preliminary power interconnection study</t>
  </si>
  <si>
    <t xml:space="preserve">Utility eng.</t>
  </si>
  <si>
    <t xml:space="preserve">Owner / Utility</t>
  </si>
  <si>
    <t xml:space="preserve">   ◆ Site selection decision</t>
  </si>
  <si>
    <t xml:space="preserve">Acquisition &amp; Entitlements</t>
  </si>
  <si>
    <t xml:space="preserve">   Purchase &amp; Sale negotiation</t>
  </si>
  <si>
    <t xml:space="preserve">Legal</t>
  </si>
  <si>
    <t xml:space="preserve">   ◆ Land acquisition / closing</t>
  </si>
  <si>
    <t xml:space="preserve">   Zoning &amp; land-use approvals</t>
  </si>
  <si>
    <t xml:space="preserve">Land-use</t>
  </si>
  <si>
    <t xml:space="preserve">   Environmental permits (wetlands, air, NPDES)</t>
  </si>
  <si>
    <t xml:space="preserve">Env. consultant</t>
  </si>
  <si>
    <t xml:space="preserve">   Utility &amp; power capacity agreements</t>
  </si>
  <si>
    <t xml:space="preserve">Utility</t>
  </si>
  <si>
    <t xml:space="preserve">   Site plan &amp; civil permitting</t>
  </si>
  <si>
    <t xml:space="preserve">Civil eng.</t>
  </si>
  <si>
    <t xml:space="preserve">Owner / Civil</t>
  </si>
  <si>
    <t xml:space="preserve">   Building permit application &amp; review</t>
  </si>
  <si>
    <t xml:space="preserve">A-E / AHJ</t>
  </si>
  <si>
    <t xml:space="preserve">Architect</t>
  </si>
  <si>
    <t xml:space="preserve">2.9</t>
  </si>
  <si>
    <t xml:space="preserve">   Traffic impact study &amp; VDOT approvals</t>
  </si>
  <si>
    <t xml:space="preserve">2.3</t>
  </si>
  <si>
    <t xml:space="preserve">2.10</t>
  </si>
  <si>
    <t xml:space="preserve">   Stormwater management plan approval</t>
  </si>
  <si>
    <t xml:space="preserve">2.11</t>
  </si>
  <si>
    <t xml:space="preserve">   Design-phase geotechnical borings</t>
  </si>
  <si>
    <t xml:space="preserve">Geotech</t>
  </si>
  <si>
    <t xml:space="preserve">2.1</t>
  </si>
  <si>
    <t xml:space="preserve">   ◆ Building permit issuance</t>
  </si>
  <si>
    <t xml:space="preserve">AHJ</t>
  </si>
  <si>
    <t xml:space="preserve">Design &amp; Engineering</t>
  </si>
  <si>
    <t xml:space="preserve">Architect / Engineer</t>
  </si>
  <si>
    <t xml:space="preserve">   Programming &amp; design criteria (OPR)</t>
  </si>
  <si>
    <t xml:space="preserve">Owner / A-E</t>
  </si>
  <si>
    <t xml:space="preserve">   Schematic Design (SD)</t>
  </si>
  <si>
    <t xml:space="preserve">Architect / Eng</t>
  </si>
  <si>
    <t xml:space="preserve">   Design Development (DD)</t>
  </si>
  <si>
    <t xml:space="preserve">   Construction Documents (CD)</t>
  </si>
  <si>
    <t xml:space="preserve">   MEP &amp; structural coordination / BIM</t>
  </si>
  <si>
    <t xml:space="preserve">MEP eng.</t>
  </si>
  <si>
    <t xml:space="preserve">Engineers</t>
  </si>
  <si>
    <t xml:space="preserve">3.7</t>
  </si>
  <si>
    <t xml:space="preserve">   Energy modeling &amp; LEED / sustainability design</t>
  </si>
  <si>
    <t xml:space="preserve">Sustainability</t>
  </si>
  <si>
    <t xml:space="preserve">3.3</t>
  </si>
  <si>
    <t xml:space="preserve">3.8</t>
  </si>
  <si>
    <t xml:space="preserve">   Commissioning design &amp; Cx specifications</t>
  </si>
  <si>
    <t xml:space="preserve">CxA</t>
  </si>
  <si>
    <t xml:space="preserve">3.4</t>
  </si>
  <si>
    <t xml:space="preserve">3.9</t>
  </si>
  <si>
    <t xml:space="preserve">   Constructability &amp; value-engineering review</t>
  </si>
  <si>
    <t xml:space="preserve">CM</t>
  </si>
  <si>
    <t xml:space="preserve">CM / GC</t>
  </si>
  <si>
    <t xml:space="preserve">   ◆ Design complete / Issued-for-Construction</t>
  </si>
  <si>
    <t xml:space="preserve">Procurement &amp; Long-Lead</t>
  </si>
  <si>
    <t xml:space="preserve">   GC / CM selection &amp; GMP</t>
  </si>
  <si>
    <t xml:space="preserve">   Trade subcontractor buyout</t>
  </si>
  <si>
    <t xml:space="preserve">   ◆ Long-lead equipment release (PO)</t>
  </si>
  <si>
    <t xml:space="preserve">   MV transformers — fab &amp; deliver</t>
  </si>
  <si>
    <t xml:space="preserve">Vendors / CM</t>
  </si>
  <si>
    <t xml:space="preserve">   MV switchgear — fab &amp; deliver</t>
  </si>
  <si>
    <t xml:space="preserve">   LV switchboards/panelboards — fab &amp; deliver</t>
  </si>
  <si>
    <t xml:space="preserve">   Generators — fab &amp; deliver</t>
  </si>
  <si>
    <t xml:space="preserve">   Gen paralleling switchgear — fab &amp; deliver</t>
  </si>
  <si>
    <t xml:space="preserve">   UPS &amp; batteries — fab &amp; deliver</t>
  </si>
  <si>
    <t xml:space="preserve">   BESS — fab &amp; deliver</t>
  </si>
  <si>
    <t xml:space="preserve">   Busway &amp; PDUs — fab &amp; deliver</t>
  </si>
  <si>
    <t xml:space="preserve">   Chillers (centrifugal + air-cooled) — deliver</t>
  </si>
  <si>
    <t xml:space="preserve">   Cooling towers — fab &amp; deliver</t>
  </si>
  <si>
    <t xml:space="preserve">   CRAH / in-row units — deliver</t>
  </si>
  <si>
    <t xml:space="preserve">   CDUs / direct liquid cooling — deliver</t>
  </si>
  <si>
    <t xml:space="preserve">   AHUs &amp; air-side economizers — deliver</t>
  </si>
  <si>
    <t xml:space="preserve">   Fuel system (tanks &amp; pumps) — deliver</t>
  </si>
  <si>
    <t xml:space="preserve">   IT racks, cabling &amp; network gear — deliver</t>
  </si>
  <si>
    <t xml:space="preserve">Owner IT vendor</t>
  </si>
  <si>
    <t xml:space="preserve">4.20</t>
  </si>
  <si>
    <t xml:space="preserve">   Structural steel — fab &amp; deliver</t>
  </si>
  <si>
    <t xml:space="preserve">4.3</t>
  </si>
  <si>
    <t xml:space="preserve">4.21</t>
  </si>
  <si>
    <t xml:space="preserve">   Submittal &amp; shop-drawing review</t>
  </si>
  <si>
    <t xml:space="preserve">A-E / CM</t>
  </si>
  <si>
    <t xml:space="preserve">4.2</t>
  </si>
  <si>
    <t xml:space="preserve">4.22</t>
  </si>
  <si>
    <t xml:space="preserve">   Owner-furnished equipment coordination</t>
  </si>
  <si>
    <t xml:space="preserve">   ◆ All major equipment on site</t>
  </si>
  <si>
    <t xml:space="preserve">4.10 / 4.4</t>
  </si>
  <si>
    <t xml:space="preserve">Pre-Construction &amp; Mobilization</t>
  </si>
  <si>
    <t xml:space="preserve">   Site mobilization &amp; temp facilities</t>
  </si>
  <si>
    <t xml:space="preserve">   Erosion control &amp; SWPPP</t>
  </si>
  <si>
    <t xml:space="preserve">Civil crew</t>
  </si>
  <si>
    <t xml:space="preserve">   Survey, staking &amp; layout</t>
  </si>
  <si>
    <t xml:space="preserve">   Construction power &amp; water</t>
  </si>
  <si>
    <t xml:space="preserve">Electricians</t>
  </si>
  <si>
    <t xml:space="preserve">5.5</t>
  </si>
  <si>
    <t xml:space="preserve">   Construction fencing &amp; access control / badging</t>
  </si>
  <si>
    <t xml:space="preserve">5.1</t>
  </si>
  <si>
    <t xml:space="preserve">5.6</t>
  </si>
  <si>
    <t xml:space="preserve">   Material laydown &amp; crane / logistics plan</t>
  </si>
  <si>
    <t xml:space="preserve">5.7</t>
  </si>
  <si>
    <t xml:space="preserve">   Pre-construction safety &amp; QA/QC program setup</t>
  </si>
  <si>
    <t xml:space="preserve">GC / Safety</t>
  </si>
  <si>
    <t xml:space="preserve">Site Work &amp; Civil</t>
  </si>
  <si>
    <t xml:space="preserve">Civil / GC</t>
  </si>
  <si>
    <t xml:space="preserve">   Clearing &amp; demolition</t>
  </si>
  <si>
    <t xml:space="preserve">Civil sub</t>
  </si>
  <si>
    <t xml:space="preserve">   Mass grading &amp; earthwork</t>
  </si>
  <si>
    <t xml:space="preserve">   Mass excavation</t>
  </si>
  <si>
    <t xml:space="preserve">   Underground utilities (storm/san/water)</t>
  </si>
  <si>
    <t xml:space="preserve">   Underground electrical duct banks</t>
  </si>
  <si>
    <t xml:space="preserve">Electrical sub</t>
  </si>
  <si>
    <t xml:space="preserve">6.8</t>
  </si>
  <si>
    <t xml:space="preserve">   Erosion &amp; sediment control / SWPPP</t>
  </si>
  <si>
    <t xml:space="preserve">6.9</t>
  </si>
  <si>
    <t xml:space="preserve">   Site security fencing &amp; gates</t>
  </si>
  <si>
    <t xml:space="preserve">Fencing</t>
  </si>
  <si>
    <t xml:space="preserve">Site security</t>
  </si>
  <si>
    <t xml:space="preserve">6.10</t>
  </si>
  <si>
    <t xml:space="preserve">   Stormwater detention basin</t>
  </si>
  <si>
    <t xml:space="preserve">   Site paving &amp; access roads</t>
  </si>
  <si>
    <t xml:space="preserve">Paving crew</t>
  </si>
  <si>
    <t xml:space="preserve">   Landscaping &amp; site finishes</t>
  </si>
  <si>
    <t xml:space="preserve">Landscape</t>
  </si>
  <si>
    <t xml:space="preserve">Foundations &amp; Structure</t>
  </si>
  <si>
    <t xml:space="preserve">GC / Structural</t>
  </si>
  <si>
    <t xml:space="preserve">   Deep foundations / piles</t>
  </si>
  <si>
    <t xml:space="preserve">Pile crew</t>
  </si>
  <si>
    <t xml:space="preserve">Concrete sub</t>
  </si>
  <si>
    <t xml:space="preserve">   Foundations &amp; grade beams</t>
  </si>
  <si>
    <t xml:space="preserve">   Slab-on-grade</t>
  </si>
  <si>
    <t xml:space="preserve">   Structural steel erection</t>
  </si>
  <si>
    <t xml:space="preserve">Iron workers</t>
  </si>
  <si>
    <t xml:space="preserve">Steel erector</t>
  </si>
  <si>
    <t xml:space="preserve">   Metal deck &amp; concrete fill</t>
  </si>
  <si>
    <t xml:space="preserve">   Roof structure &amp; framing</t>
  </si>
  <si>
    <t xml:space="preserve">7.8</t>
  </si>
  <si>
    <t xml:space="preserve">   Anchor bolts, embeds &amp; baseplates</t>
  </si>
  <si>
    <t xml:space="preserve">7.9</t>
  </si>
  <si>
    <t xml:space="preserve">   Under-slab waterproofing &amp; vapor barrier</t>
  </si>
  <si>
    <t xml:space="preserve">Waterproofing</t>
  </si>
  <si>
    <t xml:space="preserve">Waterproofing sub</t>
  </si>
  <si>
    <t xml:space="preserve">7.10</t>
  </si>
  <si>
    <t xml:space="preserve">   Fireproofing of structural steel</t>
  </si>
  <si>
    <t xml:space="preserve">Fireproofing</t>
  </si>
  <si>
    <t xml:space="preserve">Fireproofing sub</t>
  </si>
  <si>
    <t xml:space="preserve">   ◆ Building dried-in</t>
  </si>
  <si>
    <t xml:space="preserve">Envelope sub</t>
  </si>
  <si>
    <t xml:space="preserve">   Exterior wall framing / cladding</t>
  </si>
  <si>
    <t xml:space="preserve">Envelope crew</t>
  </si>
  <si>
    <t xml:space="preserve">   Insulation &amp; vapor barrier</t>
  </si>
  <si>
    <t xml:space="preserve">   Roofing &amp; waterproofing</t>
  </si>
  <si>
    <t xml:space="preserve">Roofers</t>
  </si>
  <si>
    <t xml:space="preserve">Roofing sub</t>
  </si>
  <si>
    <t xml:space="preserve">   Doors, windows &amp; louvers</t>
  </si>
  <si>
    <t xml:space="preserve">Glaziers</t>
  </si>
  <si>
    <t xml:space="preserve">Glazing sub</t>
  </si>
  <si>
    <t xml:space="preserve">8.6</t>
  </si>
  <si>
    <t xml:space="preserve">   Air &amp; vapor barrier inspection &amp; testing</t>
  </si>
  <si>
    <t xml:space="preserve">8.7</t>
  </si>
  <si>
    <t xml:space="preserve">   Firestopping &amp; exterior sealants</t>
  </si>
  <si>
    <t xml:space="preserve">Caulkers</t>
  </si>
  <si>
    <t xml:space="preserve">8.8</t>
  </si>
  <si>
    <t xml:space="preserve">   Louvers &amp; penetration weatherproofing</t>
  </si>
  <si>
    <t xml:space="preserve">   ◆ Building weather-tight</t>
  </si>
  <si>
    <t xml:space="preserve">Electrical / Power Infrastructure</t>
  </si>
  <si>
    <t xml:space="preserve">   Utility substation &amp; switchgear install</t>
  </si>
  <si>
    <t xml:space="preserve">7.7 / 4.4</t>
  </si>
  <si>
    <t xml:space="preserve">   Main switchgear install</t>
  </si>
  <si>
    <t xml:space="preserve">9.1 / 4.5</t>
  </si>
  <si>
    <t xml:space="preserve">   LV switchboards &amp; panelboards install</t>
  </si>
  <si>
    <t xml:space="preserve">9.2 / 4.6</t>
  </si>
  <si>
    <t xml:space="preserve">   Generator plant install &amp; fuel system</t>
  </si>
  <si>
    <t xml:space="preserve">7.7 / 4.7</t>
  </si>
  <si>
    <t xml:space="preserve">   Generator paralleling switchgear install</t>
  </si>
  <si>
    <t xml:space="preserve">9.4 / 4.8</t>
  </si>
  <si>
    <t xml:space="preserve">   UPS systems &amp; battery install</t>
  </si>
  <si>
    <t xml:space="preserve">9.2 / 4.9</t>
  </si>
  <si>
    <t xml:space="preserve">   BESS install</t>
  </si>
  <si>
    <t xml:space="preserve">9.2 / 4.10</t>
  </si>
  <si>
    <t xml:space="preserve">   MV/LV distribution &amp; busway install</t>
  </si>
  <si>
    <t xml:space="preserve">9.2 / 4.11</t>
  </si>
  <si>
    <t xml:space="preserve">   PDUs &amp; remote power panels install</t>
  </si>
  <si>
    <t xml:space="preserve">9.8 / 4.11</t>
  </si>
  <si>
    <t xml:space="preserve">   Grounding &amp; lightning protection</t>
  </si>
  <si>
    <t xml:space="preserve">9.12</t>
  </si>
  <si>
    <t xml:space="preserve">   Cable tray, conduit &amp; raceway infrastructure</t>
  </si>
  <si>
    <t xml:space="preserve">9.13</t>
  </si>
  <si>
    <t xml:space="preserve">   MV cable terminations &amp; hi-pot testing</t>
  </si>
  <si>
    <t xml:space="preserve">9.14</t>
  </si>
  <si>
    <t xml:space="preserve">   Arc-flash study &amp; relay coordination</t>
  </si>
  <si>
    <t xml:space="preserve">Power engineer</t>
  </si>
  <si>
    <t xml:space="preserve">Commissioning agent</t>
  </si>
  <si>
    <t xml:space="preserve">   ◆ Power-on / energization</t>
  </si>
  <si>
    <t xml:space="preserve">9.9 / 9.6</t>
  </si>
  <si>
    <t xml:space="preserve">Electrical / Utility</t>
  </si>
  <si>
    <t xml:space="preserve">Mechanical / Cooling</t>
  </si>
  <si>
    <t xml:space="preserve">Mechanical sub</t>
  </si>
  <si>
    <t xml:space="preserve">   Central plant — chillers install</t>
  </si>
  <si>
    <t xml:space="preserve">Pipefitters</t>
  </si>
  <si>
    <t xml:space="preserve">7.7 / 4.12</t>
  </si>
  <si>
    <t xml:space="preserve">   Cooling towers / heat rejection install</t>
  </si>
  <si>
    <t xml:space="preserve">10.1 / 4.13</t>
  </si>
  <si>
    <t xml:space="preserve">   Chilled-water piping distribution</t>
  </si>
  <si>
    <t xml:space="preserve">   CRAH / in-row cooling install</t>
  </si>
  <si>
    <t xml:space="preserve">10.3 / 4.14</t>
  </si>
  <si>
    <t xml:space="preserve">   CDU / direct liquid cooling install</t>
  </si>
  <si>
    <t xml:space="preserve">10.3 / 4.15</t>
  </si>
  <si>
    <t xml:space="preserve">   AHUs &amp; air-side economizers install</t>
  </si>
  <si>
    <t xml:space="preserve">10.1 / 4.16</t>
  </si>
  <si>
    <t xml:space="preserve">   Pumps &amp; thermal storage install</t>
  </si>
  <si>
    <t xml:space="preserve">   Condenser / heat-rejection water piping</t>
  </si>
  <si>
    <t xml:space="preserve">   Refrigerant &amp; glycol charging / pressure test</t>
  </si>
  <si>
    <t xml:space="preserve">   Leak detection &amp; containment monitoring</t>
  </si>
  <si>
    <t xml:space="preserve">Controls tech</t>
  </si>
  <si>
    <t xml:space="preserve">Controls sub</t>
  </si>
  <si>
    <t xml:space="preserve">   BMS / controls integration</t>
  </si>
  <si>
    <t xml:space="preserve">   ◆ Mechanical water-on</t>
  </si>
  <si>
    <t xml:space="preserve">Mechanical</t>
  </si>
  <si>
    <t xml:space="preserve">Interior Fit-Out / White Space</t>
  </si>
  <si>
    <t xml:space="preserve">GC / Trades</t>
  </si>
  <si>
    <t xml:space="preserve">   Interior partitions &amp; framing</t>
  </si>
  <si>
    <t xml:space="preserve">Drywall</t>
  </si>
  <si>
    <t xml:space="preserve">GC / Drywall</t>
  </si>
  <si>
    <t xml:space="preserve">   Raised access floor</t>
  </si>
  <si>
    <t xml:space="preserve">Floor crew</t>
  </si>
  <si>
    <t xml:space="preserve">Fit-out sub</t>
  </si>
  <si>
    <t xml:space="preserve">   Hot/cold aisle containment</t>
  </si>
  <si>
    <t xml:space="preserve">Fit-out crew</t>
  </si>
  <si>
    <t xml:space="preserve">   Fire protection (pre-action/clean agent)</t>
  </si>
  <si>
    <t xml:space="preserve">Sprinkler</t>
  </si>
  <si>
    <t xml:space="preserve">Fire-protection sub</t>
  </si>
  <si>
    <t xml:space="preserve">   Interior finishes (paint, ceilings)</t>
  </si>
  <si>
    <t xml:space="preserve">Finishers</t>
  </si>
  <si>
    <t xml:space="preserve">   Overhead cable pathway &amp; ladder rack</t>
  </si>
  <si>
    <t xml:space="preserve">   Under-floor leak detection</t>
  </si>
  <si>
    <t xml:space="preserve">   White-space signage, labeling &amp; asset tagging</t>
  </si>
  <si>
    <t xml:space="preserve">   Data-hall power (PDU, busway, whips)</t>
  </si>
  <si>
    <t xml:space="preserve">11.2 / 9.8</t>
  </si>
  <si>
    <t xml:space="preserve">IT &amp; Network Integration</t>
  </si>
  <si>
    <t xml:space="preserve">IT / Owner vendor</t>
  </si>
  <si>
    <t xml:space="preserve">   Structured cabling backbone</t>
  </si>
  <si>
    <t xml:space="preserve">Cabling crew</t>
  </si>
  <si>
    <t xml:space="preserve">11.2 / 4.18</t>
  </si>
  <si>
    <t xml:space="preserve">Cabling sub</t>
  </si>
  <si>
    <t xml:space="preserve">   Server racks &amp; cabinets install</t>
  </si>
  <si>
    <t xml:space="preserve">IT vendor</t>
  </si>
  <si>
    <t xml:space="preserve">12.1 / 4.18</t>
  </si>
  <si>
    <t xml:space="preserve">   Network equipment &amp; fiber</t>
  </si>
  <si>
    <t xml:space="preserve">12.2 / 4.18</t>
  </si>
  <si>
    <t xml:space="preserve">   DCIM / EPMS integration</t>
  </si>
  <si>
    <t xml:space="preserve">   Fiber backbone splicing &amp; OTDR testing</t>
  </si>
  <si>
    <t xml:space="preserve">   Server burn-in &amp; validation</t>
  </si>
  <si>
    <t xml:space="preserve">   Network config &amp; VLAN/routing</t>
  </si>
  <si>
    <t xml:space="preserve">   Security (access control &amp; CCTV)</t>
  </si>
  <si>
    <t xml:space="preserve">Security tech</t>
  </si>
  <si>
    <t xml:space="preserve">Security sub</t>
  </si>
  <si>
    <t xml:space="preserve">Commissioning (Cx)</t>
  </si>
  <si>
    <t xml:space="preserve">Commissioning Agent</t>
  </si>
  <si>
    <t xml:space="preserve">   Cx plan &amp; submittals review</t>
  </si>
  <si>
    <t xml:space="preserve">   Lvl 1-2 factory &amp; component testing</t>
  </si>
  <si>
    <t xml:space="preserve">   Lvl 3 functional performance testing</t>
  </si>
  <si>
    <t xml:space="preserve">13.2 / 10.9</t>
  </si>
  <si>
    <t xml:space="preserve">   Lvl 4 integrated systems test (IST)</t>
  </si>
  <si>
    <t xml:space="preserve">13.3 / 12.4</t>
  </si>
  <si>
    <t xml:space="preserve">   Lvl 5 pull-the-plug / sustained test</t>
  </si>
  <si>
    <t xml:space="preserve">   BMS/DCIM points verification &amp; trending</t>
  </si>
  <si>
    <t xml:space="preserve">   Owner witness &amp; functional sign-off</t>
  </si>
  <si>
    <t xml:space="preserve">Owner / CxA</t>
  </si>
  <si>
    <t xml:space="preserve">   Cx documentation &amp; systems manual</t>
  </si>
  <si>
    <t xml:space="preserve">   ◆ Cx complete / systems accepted</t>
  </si>
  <si>
    <t xml:space="preserve">Closeout &amp; Handover</t>
  </si>
  <si>
    <t xml:space="preserve">GC / Owner</t>
  </si>
  <si>
    <t xml:space="preserve">   Punch list &amp; substantial completion</t>
  </si>
  <si>
    <t xml:space="preserve">   Final inspections &amp; Cert. of Occupancy</t>
  </si>
  <si>
    <t xml:space="preserve">AHJ / GC</t>
  </si>
  <si>
    <t xml:space="preserve">   As-builts &amp; O&amp;M documentation</t>
  </si>
  <si>
    <t xml:space="preserve">   Owner training</t>
  </si>
  <si>
    <t xml:space="preserve">CxA / GC</t>
  </si>
  <si>
    <t xml:space="preserve">   Final cleaning &amp; demobilization</t>
  </si>
  <si>
    <t xml:space="preserve">   Warranty docs &amp; spare-parts turnover</t>
  </si>
  <si>
    <t xml:space="preserve">   Operations &amp; security staff onboarding</t>
  </si>
  <si>
    <t xml:space="preserve">   Final site &amp; landscape acceptance walk</t>
  </si>
  <si>
    <t xml:space="preserve">   ◆ Site Opening / Go-Live</t>
  </si>
  <si>
    <t xml:space="preserve">SCHEDULE ACCELERATION ANALYSIS — RECOVERING TO Q3 2028</t>
  </si>
  <si>
    <t xml:space="preserve">Scenario layered on the realistic master schedule. Day-savings and cost premiums are planning inputs (blue) — the Construction Schedule itself is unchanged. Toggle Include? to model recovery.</t>
  </si>
  <si>
    <t xml:space="preserve">Realistic go-live (current master schedule):</t>
  </si>
  <si>
    <t xml:space="preserve">Target completion (end of Q3 2028):</t>
  </si>
  <si>
    <t xml:space="preserve">Recovery required to hit target:</t>
  </si>
  <si>
    <t xml:space="preserve">Days recovered (selected levers):</t>
  </si>
  <si>
    <t xml:space="preserve">Accelerated go-live (scenario):</t>
  </si>
  <si>
    <t xml:space="preserve">Gap after acceleration:</t>
  </si>
  <si>
    <t xml:space="preserve">Total acceleration cost premium:</t>
  </si>
  <si>
    <t xml:space="preserve">Cost per day recovered:</t>
  </si>
  <si>
    <t xml:space="preserve">Target met?</t>
  </si>
  <si>
    <t xml:space="preserve">Acceleration Lever</t>
  </si>
  <si>
    <t xml:space="preserve">Mechanism / Activities Affected</t>
  </si>
  <si>
    <t xml:space="preserve">Days Saved</t>
  </si>
  <si>
    <t xml:space="preserve">Include?</t>
  </si>
  <si>
    <t xml:space="preserve">Days Applied</t>
  </si>
  <si>
    <t xml:space="preserve">Cost Premium</t>
  </si>
  <si>
    <t xml:space="preserve">Cost Applied</t>
  </si>
  <si>
    <t xml:space="preserve">Schedule Risk</t>
  </si>
  <si>
    <t xml:space="preserve">Rec.</t>
  </si>
  <si>
    <t xml:space="preserve">Early long-lead PO release at ~60% DD (owner-funded, at risk)</t>
  </si>
  <si>
    <t xml:space="preserve">Release transformers / gensets / BESS before GMP so deliveries stop gating installs</t>
  </si>
  <si>
    <t xml:space="preserve">Y</t>
  </si>
  <si>
    <t xml:space="preserve">✓</t>
  </si>
  <si>
    <t xml:space="preserve">Overlap commissioning (Cx Lvl 1–3) with installation</t>
  </si>
  <si>
    <t xml:space="preserve">Component/factory &amp; functional testing concurrent with MEP install</t>
  </si>
  <si>
    <t xml:space="preserve">Fast-track electrical &amp; mechanical (2nd shift / parallel crews)</t>
  </si>
  <si>
    <t xml:space="preserve">Crash power &amp; cooling install (9.x, 10.x) with added crews + OT</t>
  </si>
  <si>
    <t xml:space="preserve">Prefab / modular electrical rooms &amp; cooling skids</t>
  </si>
  <si>
    <t xml:space="preserve">Offsite assembly of e-houses, UPS &amp; pump skids</t>
  </si>
  <si>
    <t xml:space="preserve">Low-Med</t>
  </si>
  <si>
    <t xml:space="preserve">Early sitework under grading / foundation permit</t>
  </si>
  <si>
    <t xml:space="preserve">Begin civil &amp; foundations before full building permit issues</t>
  </si>
  <si>
    <t xml:space="preserve">Steel erection acceleration (extra cranes / crew)</t>
  </si>
  <si>
    <t xml:space="preserve">Add erection crews &amp; cranes on structural steel (7.4)</t>
  </si>
  <si>
    <t xml:space="preserve">Two-shift interior fit-out &amp; containment</t>
  </si>
  <si>
    <t xml:space="preserve">Overtime on white-space build-out (11.x)</t>
  </si>
  <si>
    <t xml:space="preserve">TOTAL</t>
  </si>
  <si>
    <t xml:space="preserve">The 6 selected levers recover 147 days for a ~$17.8M premium (~$121K/day), pulling go-live to Sep 30 2028 — meeting the Q3 2028 target.</t>
  </si>
  <si>
    <t xml:space="preserve">Do first (best value, lowest risk): #1 early long-lead release + #2 Cx overlap recover 75 days for $4.5M.</t>
  </si>
  <si>
    <t xml:space="preserve">#4 prefab/modular (20d, $3.5M) and #5 early sitework (15d, $0.75M) are low-risk follow-ons.</t>
  </si>
  <si>
    <t xml:space="preserve">#3 fast-track MEP is the costliest lever ($7.0M / 25d) — include only if the lower-cost levers fall short.</t>
  </si>
  <si>
    <t xml:space="preserve">#6 steel acceleration excluded — limited net critical-path benefit while foundations gate erection.</t>
  </si>
  <si>
    <t xml:space="preserve">Caveat: day-savings are critical-path estimates and not perfectly additive; validate on a resource-loaded CPM before committing premiums or at-risk POs.</t>
  </si>
  <si>
    <t xml:space="preserve">DATA CENTER — ESTIMATE vs. SUBCONTRACTOR VARIANCE TRACKER</t>
  </si>
  <si>
    <t xml:space="preserve">Compare engineer's estimate against subcontractor pricing. Plug Sub Bid in column D; status updates automatically.</t>
  </si>
  <si>
    <t xml:space="preserve">Budget Estimate</t>
  </si>
  <si>
    <t xml:space="preserve">Sub Bid</t>
  </si>
  <si>
    <t xml:space="preserve">Variance ($)</t>
  </si>
  <si>
    <t xml:space="preserve">Variance (%)</t>
  </si>
  <si>
    <t xml:space="preserve">Metals / Structural</t>
  </si>
  <si>
    <t xml:space="preserve">Thermal &amp; Moisture</t>
  </si>
  <si>
    <t xml:space="preserve">CX</t>
  </si>
  <si>
    <t xml:space="preserve">Soft Costs / Pre-Con</t>
  </si>
  <si>
    <t xml:space="preserve">Conveying Equipment</t>
  </si>
  <si>
    <t xml:space="preserve">Integrated Automation</t>
  </si>
  <si>
    <t xml:space="preserve">MILESTONE ESTIMATE TRACKER</t>
  </si>
  <si>
    <t xml:space="preserve">Tracks the estimate at each design milestone. Use to demonstrate cost evolution to client and explain deltas between gates.</t>
  </si>
  <si>
    <t xml:space="preserve">MILESTONE</t>
  </si>
  <si>
    <t xml:space="preserve">Class</t>
  </si>
  <si>
    <t xml:space="preserve">Accuracy</t>
  </si>
  <si>
    <t xml:space="preserve">CSA Estimate</t>
  </si>
  <si>
    <t xml:space="preserve">MEP Estimate</t>
  </si>
  <si>
    <t xml:space="preserve">Other</t>
  </si>
  <si>
    <t xml:space="preserve">Δ vs Prior</t>
  </si>
  <si>
    <t xml:space="preserve">Drivers / Notes</t>
  </si>
  <si>
    <t xml:space="preserve">Concept / Order of Magnitude</t>
  </si>
  <si>
    <t xml:space="preserve">Class 5</t>
  </si>
  <si>
    <t xml:space="preserve">−50% / +100%</t>
  </si>
  <si>
    <t xml:space="preserve">Order-of-magnitude; $/MW benchmark + program brief</t>
  </si>
  <si>
    <t xml:space="preserve">Schematic Design (SD)</t>
  </si>
  <si>
    <t xml:space="preserve">Class 4</t>
  </si>
  <si>
    <t xml:space="preserve">−30% / +50%</t>
  </si>
  <si>
    <t xml:space="preserve">Major systems sized; SD set; refined site/MEP loads</t>
  </si>
  <si>
    <t xml:space="preserve">Design Development (DD)</t>
  </si>
  <si>
    <t xml:space="preserve">Class 3</t>
  </si>
  <si>
    <t xml:space="preserve">−20% / +30%</t>
  </si>
  <si>
    <t xml:space="preserve">Equipment selections firmed; envelope + redundancy set</t>
  </si>
  <si>
    <t xml:space="preserve">Construction Documents (CD)</t>
  </si>
  <si>
    <t xml:space="preserve">Class 2</t>
  </si>
  <si>
    <t xml:space="preserve">−10% / +20%</t>
  </si>
  <si>
    <t xml:space="preserve">Current estimate — full CD set; all systems detailed</t>
  </si>
  <si>
    <t xml:space="preserve">GMP / Tender</t>
  </si>
  <si>
    <t xml:space="preserve">Class 1</t>
  </si>
  <si>
    <t xml:space="preserve">−5% / +10%</t>
  </si>
  <si>
    <t xml:space="preserve">GC GMP at tender; minor scope adds, escalation locked</t>
  </si>
  <si>
    <t xml:space="preserve">Awarded Contract Value</t>
  </si>
  <si>
    <t xml:space="preserve">Final</t>
  </si>
  <si>
    <t xml:space="preserve">Definitive</t>
  </si>
  <si>
    <t xml:space="preserve">Pending GMP acceptance / contract execution</t>
  </si>
  <si>
    <t xml:space="preserve">MILESTONE PROGRESSION VS BENCHMARKS</t>
  </si>
  <si>
    <t xml:space="preserve">Total Δ Concept→Latest:</t>
  </si>
  <si>
    <t xml:space="preserve">Total Δ % Concept→Latest:</t>
  </si>
  <si>
    <t xml:space="preserve">Live Estimate (CD link):</t>
  </si>
  <si>
    <t xml:space="preserve">CD (live → Campus Rollup)</t>
  </si>
  <si>
    <t xml:space="preserve">Latest CD Estimate:</t>
  </si>
  <si>
    <t xml:space="preserve">• Update each row as design milestones are reached. The Δ vs Prior column flags scope creep, market shifts, and design changes between gates.</t>
  </si>
  <si>
    <t xml:space="preserve">• CD row is auto-linked to Campus Rollup totals. Override with hardcode if you need to capture the snapshot at a moment in time.</t>
  </si>
  <si>
    <t xml:space="preserve">PROJECT MILESTONE TRACKER — KEY GATES (OWNER / CM / GC)</t>
  </si>
  <si>
    <t xml:space="preserve">Schedule gates linked live to the Construction Schedule (single source of truth). Tracks Owner vs CM/GC responsibility, baseline vs forecast dates, float &amp; status. Enter an Actual date as each gate is achieved.</t>
  </si>
  <si>
    <t xml:space="preserve">Milestone / Gate</t>
  </si>
  <si>
    <t xml:space="preserve">Responsible</t>
  </si>
  <si>
    <t xml:space="preserve">Baseline</t>
  </si>
  <si>
    <t xml:space="preserve">Forecast</t>
  </si>
  <si>
    <t xml:space="preserve">Actual</t>
  </si>
  <si>
    <t xml:space="preserve">Var (d)</t>
  </si>
  <si>
    <t xml:space="preserve">Float (d)</t>
  </si>
  <si>
    <t xml:space="preserve">Owner / CM Action &amp; Notes</t>
  </si>
  <si>
    <t xml:space="preserve">Site Selection Decision</t>
  </si>
  <si>
    <t xml:space="preserve">1 · Site Selection</t>
  </si>
  <si>
    <t xml:space="preserve">Go/no-go; secures power &amp; land basis</t>
  </si>
  <si>
    <t xml:space="preserve">Land Acquisition / Closing</t>
  </si>
  <si>
    <t xml:space="preserve">2 · Acquisition</t>
  </si>
  <si>
    <t xml:space="preserve">Title transfer; unlocks site access</t>
  </si>
  <si>
    <t xml:space="preserve">Building Permit Issuance</t>
  </si>
  <si>
    <t xml:space="preserve">2 · Entitlements</t>
  </si>
  <si>
    <t xml:space="preserve">Owner / AHJ</t>
  </si>
  <si>
    <t xml:space="preserve">Permit in hand; precondition to NTP</t>
  </si>
  <si>
    <t xml:space="preserve">Design Complete / IFC</t>
  </si>
  <si>
    <t xml:space="preserve">3 · Design</t>
  </si>
  <si>
    <t xml:space="preserve">IFC set released; basis of construction</t>
  </si>
  <si>
    <t xml:space="preserve">Long-Lead Equipment Release (PO)</t>
  </si>
  <si>
    <t xml:space="preserve">4 · Procurement</t>
  </si>
  <si>
    <t xml:space="preserve">CM / Owner</t>
  </si>
  <si>
    <t xml:space="preserve">POs placed; protects gear lead times</t>
  </si>
  <si>
    <t xml:space="preserve">Construction Start (NTP)</t>
  </si>
  <si>
    <t xml:space="preserve">5 · Pre-Con</t>
  </si>
  <si>
    <t xml:space="preserve">Owner → CM</t>
  </si>
  <si>
    <t xml:space="preserve">Owner issues NTP; CM mobilizes</t>
  </si>
  <si>
    <t xml:space="preserve">All Major Equipment On Site</t>
  </si>
  <si>
    <t xml:space="preserve">Transformers, gensets, chillers delivered</t>
  </si>
  <si>
    <t xml:space="preserve">Building Dried-In</t>
  </si>
  <si>
    <t xml:space="preserve">7 · Structure</t>
  </si>
  <si>
    <t xml:space="preserve">Roof/deck done; interiors can start</t>
  </si>
  <si>
    <t xml:space="preserve">Building Weather-Tight</t>
  </si>
  <si>
    <t xml:space="preserve">8 · Envelope</t>
  </si>
  <si>
    <t xml:space="preserve">Envelope sealed; enables MEP &amp; fit-out</t>
  </si>
  <si>
    <t xml:space="preserve">Power-On / Energization</t>
  </si>
  <si>
    <t xml:space="preserve">9 · Electrical</t>
  </si>
  <si>
    <t xml:space="preserve">CM / Utility</t>
  </si>
  <si>
    <t xml:space="preserve">Permanent power live; supports Cx</t>
  </si>
  <si>
    <t xml:space="preserve">Mechanical Water-On</t>
  </si>
  <si>
    <t xml:space="preserve">10 · Mechanical</t>
  </si>
  <si>
    <t xml:space="preserve">Cooling plant operational</t>
  </si>
  <si>
    <t xml:space="preserve">Commissioning Complete (Cx Accepted)</t>
  </si>
  <si>
    <t xml:space="preserve">13 · Commissioning</t>
  </si>
  <si>
    <t xml:space="preserve">CxA / Owner</t>
  </si>
  <si>
    <t xml:space="preserve">Lvl 1-5 done; systems accepted</t>
  </si>
  <si>
    <t xml:space="preserve">Substantial Completion</t>
  </si>
  <si>
    <t xml:space="preserve">14 · Closeout</t>
  </si>
  <si>
    <t xml:space="preserve">Punch list; beneficial occupancy</t>
  </si>
  <si>
    <t xml:space="preserve">Certificate of Occupancy</t>
  </si>
  <si>
    <t xml:space="preserve">Legal occupancy granted</t>
  </si>
  <si>
    <t xml:space="preserve">Site Opening / Go-Live</t>
  </si>
  <si>
    <t xml:space="preserve">Facility operational; IT load on</t>
  </si>
  <si>
    <t xml:space="preserve">MILESTONE SUMMARY — STATUS ROLLUP</t>
  </si>
  <si>
    <t xml:space="preserve">Total key gates:</t>
  </si>
  <si>
    <t xml:space="preserve">Owner-involved gates:</t>
  </si>
  <si>
    <t xml:space="preserve">On critical path:</t>
  </si>
  <si>
    <t xml:space="preserve">CM / GC-involved gates:</t>
  </si>
  <si>
    <t xml:space="preserve">Reached — log actuals:</t>
  </si>
  <si>
    <t xml:space="preserve">Next gate due:</t>
  </si>
  <si>
    <t xml:space="preserve">Upcoming ≤ 90 days:</t>
  </si>
  <si>
    <t xml:space="preserve">   …forecast date:</t>
  </si>
  <si>
    <t xml:space="preserve">RISK REGISTER &amp; MONTE-CARLO CONTINGENCY</t>
  </si>
  <si>
    <t xml:space="preserve">Probability and three-point cost impacts (yellow) feed a live EMV roll-up and a Monte-Carlo contingency. P-values are compared to the flat contingency carried in the estimate.</t>
  </si>
  <si>
    <t xml:space="preserve">1 · RISK REGISTER  (probability × three-point cost impact)</t>
  </si>
  <si>
    <t xml:space="preserve">Risk ID</t>
  </si>
  <si>
    <t xml:space="preserve">Risk Event</t>
  </si>
  <si>
    <t xml:space="preserve">Prob.</t>
  </si>
  <si>
    <t xml:space="preserve">Cost Min</t>
  </si>
  <si>
    <t xml:space="preserve">Cost Likely</t>
  </si>
  <si>
    <t xml:space="preserve">Cost Max</t>
  </si>
  <si>
    <t xml:space="preserve">EMV</t>
  </si>
  <si>
    <t xml:space="preserve">Response Strategy</t>
  </si>
  <si>
    <t xml:space="preserve">Long-lead equipment escalation (transformers / MV gear)</t>
  </si>
  <si>
    <t xml:space="preserve">Supply Chain</t>
  </si>
  <si>
    <t xml:space="preserve">Early procurement; price lock</t>
  </si>
  <si>
    <t xml:space="preserve">Mitigating</t>
  </si>
  <si>
    <t xml:space="preserve">Generator / switchgear delivery delay → expedite premium</t>
  </si>
  <si>
    <t xml:space="preserve">Reserve factory slots</t>
  </si>
  <si>
    <t xml:space="preserve">Skilled-labor shortage / wage escalation</t>
  </si>
  <si>
    <t xml:space="preserve">Labor</t>
  </si>
  <si>
    <t xml:space="preserve">Early trade buy-out</t>
  </si>
  <si>
    <t xml:space="preserve">Open</t>
  </si>
  <si>
    <t xml:space="preserve">Utility interconnection delay → temporary power</t>
  </si>
  <si>
    <t xml:space="preserve">Early utility agreement</t>
  </si>
  <si>
    <t xml:space="preserve">Permitting / AHJ approval delays</t>
  </si>
  <si>
    <t xml:space="preserve">Regulatory</t>
  </si>
  <si>
    <t xml:space="preserve">Pre-application reviews</t>
  </si>
  <si>
    <t xml:space="preserve">Unforeseen geotechnical / site conditions</t>
  </si>
  <si>
    <t xml:space="preserve">Site</t>
  </si>
  <si>
    <t xml:space="preserve">Additional borings</t>
  </si>
  <si>
    <t xml:space="preserve">Design development growth (DD → CD)</t>
  </si>
  <si>
    <t xml:space="preserve">Design</t>
  </si>
  <si>
    <t xml:space="preserve">Design-to-budget; freeze</t>
  </si>
  <si>
    <t xml:space="preserve">Cooling technology change (liquid retrofit)</t>
  </si>
  <si>
    <t xml:space="preserve">Confirm topology early</t>
  </si>
  <si>
    <t xml:space="preserve">Commissioning failures / integrated-test rework</t>
  </si>
  <si>
    <t xml:space="preserve">Robust Cx plan / L5</t>
  </si>
  <si>
    <t xml:space="preserve">Severe weather / force majeure</t>
  </si>
  <si>
    <t xml:space="preserve">External</t>
  </si>
  <si>
    <t xml:space="preserve">Schedule float; insurance</t>
  </si>
  <si>
    <t xml:space="preserve">R-11</t>
  </si>
  <si>
    <t xml:space="preserve">MEP scope gaps / integration coordination</t>
  </si>
  <si>
    <t xml:space="preserve">MSI; coordination BIM</t>
  </si>
  <si>
    <t xml:space="preserve">R-12</t>
  </si>
  <si>
    <t xml:space="preserve">Commodity price volatility (steel / copper)</t>
  </si>
  <si>
    <t xml:space="preserve">Escalation clauses; hedge</t>
  </si>
  <si>
    <t xml:space="preserve">R-13</t>
  </si>
  <si>
    <t xml:space="preserve">Tier / code requirement change</t>
  </si>
  <si>
    <t xml:space="preserve">Owner alignment; alternates</t>
  </si>
  <si>
    <t xml:space="preserve">R-14</t>
  </si>
  <si>
    <t xml:space="preserve">Subcontractor default / re-procurement</t>
  </si>
  <si>
    <t xml:space="preserve">Commercial</t>
  </si>
  <si>
    <t xml:space="preserve">Prequalification; bonds</t>
  </si>
  <si>
    <t xml:space="preserve">TOTAL EXPECTED (ΣEMV)</t>
  </si>
  <si>
    <t xml:space="preserve">2 · ANALYTICAL ROLL-UP  (live — assumes risk independence, normal-sum approx.)</t>
  </si>
  <si>
    <t xml:space="preserve">Expected risk cost (ΣEMV) — P50≈</t>
  </si>
  <si>
    <t xml:space="preserve">Std deviation (√Σσ²)</t>
  </si>
  <si>
    <t xml:space="preserve">P50 — Expected</t>
  </si>
  <si>
    <t xml:space="preserve">P80 contingency</t>
  </si>
  <si>
    <t xml:space="preserve">P90 contingency</t>
  </si>
  <si>
    <t xml:space="preserve">P95 contingency</t>
  </si>
  <si>
    <t xml:space="preserve">3 · CONTINGENCY COMPARISON  vs the estimate's flat allowance</t>
  </si>
  <si>
    <t xml:space="preserve">Base estimate (incl. 10% line contingency)</t>
  </si>
  <si>
    <t xml:space="preserve">Contingency embedded at 10% line-level</t>
  </si>
  <si>
    <t xml:space="preserve">Risk-based contingency (P80)</t>
  </si>
  <si>
    <t xml:space="preserve">P80 as % of de-escalated base</t>
  </si>
  <si>
    <t xml:space="preserve">Assessment</t>
  </si>
  <si>
    <t xml:space="preserve">4 · MONTE-CARLO SIMULATION  (10,000 iterations — snapshot of current register)</t>
  </si>
  <si>
    <t xml:space="preserve">Triangular cost impact × Bernoulli occurrence, summed across risks. Snapshot — re-run after editing the register; validates the live analytical P-values in Section 2.</t>
  </si>
  <si>
    <t xml:space="preserve">Simulated Mean</t>
  </si>
  <si>
    <t xml:space="preserve">Contingency ($M)</t>
  </si>
  <si>
    <t xml:space="preserve">Frequency</t>
  </si>
  <si>
    <t xml:space="preserve">Simulated P10</t>
  </si>
  <si>
    <t xml:space="preserve">Simulated P50</t>
  </si>
  <si>
    <t xml:space="preserve">Simulated P80</t>
  </si>
  <si>
    <t xml:space="preserve">Simulated P90</t>
  </si>
  <si>
    <t xml:space="preserve">Simulated P95</t>
  </si>
  <si>
    <t xml:space="preserve">CHANGE ORDER &amp; CONTINGENCY DRAWDOWN LOG</t>
  </si>
  <si>
    <t xml:space="preserve">Tracks change orders against the carried contingency. The running balance falls only for COs that are Approved AND funded from Contingency. Yellow = inputs.</t>
  </si>
  <si>
    <t xml:space="preserve">Contingency budget (carried 10%):</t>
  </si>
  <si>
    <t xml:space="preserve">1 · CHANGE ORDER LOG</t>
  </si>
  <si>
    <t xml:space="preserve">CO #</t>
  </si>
  <si>
    <t xml:space="preserve">Type</t>
  </si>
  <si>
    <t xml:space="preserve">Amount</t>
  </si>
  <si>
    <t xml:space="preserve">Funding</t>
  </si>
  <si>
    <t xml:space="preserve">Cont. Balance</t>
  </si>
  <si>
    <t xml:space="preserve">CO-001</t>
  </si>
  <si>
    <t xml:space="preserve">Liquid-cooling provision — B2 data halls</t>
  </si>
  <si>
    <t xml:space="preserve">Owner-directed</t>
  </si>
  <si>
    <t xml:space="preserve">Approved</t>
  </si>
  <si>
    <t xml:space="preserve">CO-002</t>
  </si>
  <si>
    <t xml:space="preserve">Rock excavation — unforeseen subsurface</t>
  </si>
  <si>
    <t xml:space="preserve">Unforeseen</t>
  </si>
  <si>
    <t xml:space="preserve">CO-003</t>
  </si>
  <si>
    <t xml:space="preserve">MV switchgear lineup reconfiguration</t>
  </si>
  <si>
    <t xml:space="preserve">Design development</t>
  </si>
  <si>
    <t xml:space="preserve">CO-004</t>
  </si>
  <si>
    <t xml:space="preserve">Ductwork / conduit clash rework (L2)</t>
  </si>
  <si>
    <t xml:space="preserve">Errors &amp; omissions</t>
  </si>
  <si>
    <t xml:space="preserve">CO-005</t>
  </si>
  <si>
    <t xml:space="preserve">Expanded perimeter security scope</t>
  </si>
  <si>
    <t xml:space="preserve">Owner add</t>
  </si>
  <si>
    <t xml:space="preserve">CO-006</t>
  </si>
  <si>
    <t xml:space="preserve">Utility feeder re-routing per AHJ</t>
  </si>
  <si>
    <t xml:space="preserve">CO-007</t>
  </si>
  <si>
    <t xml:space="preserve">Fire protection — pre-action upgrade</t>
  </si>
  <si>
    <t xml:space="preserve">CO-008</t>
  </si>
  <si>
    <t xml:space="preserve">PV-ready roof structural reinforcement</t>
  </si>
  <si>
    <t xml:space="preserve">CO-009</t>
  </si>
  <si>
    <t xml:space="preserve">Dewatering — high water table</t>
  </si>
  <si>
    <t xml:space="preserve">CO-010</t>
  </si>
  <si>
    <t xml:space="preserve">BMS / DCIM points expansion</t>
  </si>
  <si>
    <t xml:space="preserve">2 · CONTINGENCY HEALTH</t>
  </si>
  <si>
    <t xml:space="preserve">Total change orders submitted</t>
  </si>
  <si>
    <t xml:space="preserve">Approved change orders</t>
  </si>
  <si>
    <t xml:space="preserve">Pending change orders</t>
  </si>
  <si>
    <t xml:space="preserve">Contingency drawn (approved)</t>
  </si>
  <si>
    <t xml:space="preserve">Contingency remaining</t>
  </si>
  <si>
    <t xml:space="preserve">Contingency drawn (%)</t>
  </si>
  <si>
    <t xml:space="preserve">Pending draw on contingency</t>
  </si>
  <si>
    <t xml:space="preserve">Status:</t>
  </si>
  <si>
    <t xml:space="preserve">DRAWDOWN CHART SOURCE</t>
  </si>
  <si>
    <t xml:space="preserve">Point</t>
  </si>
  <si>
    <t xml:space="preserve">Remaining</t>
  </si>
  <si>
    <t xml:space="preserve">Monitor (50%)</t>
  </si>
  <si>
    <t xml:space="preserve">Critical (20%)</t>
  </si>
  <si>
    <t xml:space="preserve">TOTAL DEVELOPMENT COST  —  OWNER PROJECT BUDGET</t>
  </si>
  <si>
    <t xml:space="preserve">Wraps the construction estimate with the owner-level capital the construction budget explicitly excludes (land, off-site utility, owner PM, financing, owner's contingency — see Basis of Estimate exclusions E.1-E.9). Yellow = input.</t>
  </si>
  <si>
    <t xml:space="preserve">1 · HARD COSTS  (construction — live from the estimate)</t>
  </si>
  <si>
    <t xml:space="preserve">Component</t>
  </si>
  <si>
    <t xml:space="preserve">Basis / source</t>
  </si>
  <si>
    <t xml:space="preserve">Construction — CSA (civil/structural/architectural)</t>
  </si>
  <si>
    <t xml:space="preserve">Campus Rollup</t>
  </si>
  <si>
    <t xml:space="preserve">Construction — MEP / critical systems</t>
  </si>
  <si>
    <t xml:space="preserve">Construction — Cx / GC / soft (in GMP)</t>
  </si>
  <si>
    <t xml:space="preserve">Subtotal — Construction (ties to Campus Rollup)</t>
  </si>
  <si>
    <t xml:space="preserve">Ties to Campus Rollup total</t>
  </si>
  <si>
    <t xml:space="preserve">2 · OWNER SOFT COSTS &amp; OTHER CAPITAL  (owner-level adds)</t>
  </si>
  <si>
    <t xml:space="preserve">Basis</t>
  </si>
  <si>
    <t xml:space="preserve">Land acquisition &amp; assemblage</t>
  </si>
  <si>
    <t xml:space="preserve">~110 ac NoVA campus parcel</t>
  </si>
  <si>
    <t xml:space="preserve">Off-site power / utility interconnection &amp; substation</t>
  </si>
  <si>
    <t xml:space="preserve">90 MW interconnect; BOE excl. E.2</t>
  </si>
  <si>
    <t xml:space="preserve">Owner's project management / owner's rep</t>
  </si>
  <si>
    <t xml:space="preserve">staff, controls, owner CM</t>
  </si>
  <si>
    <t xml:space="preserve">Owner consultants (CxA, geotech, survey, 3rd-party)</t>
  </si>
  <si>
    <t xml:space="preserve">independent of GMP scope</t>
  </si>
  <si>
    <t xml:space="preserve">Entitlements, permits &amp; jurisdictional fees (owner)</t>
  </si>
  <si>
    <t xml:space="preserve">proffers / impact fees</t>
  </si>
  <si>
    <t xml:space="preserve">FF&amp;E &amp; owner-furnished equipment</t>
  </si>
  <si>
    <t xml:space="preserve">NOC, spares, tooling</t>
  </si>
  <si>
    <t xml:space="preserve">IT fit-out / OFCI (servers, network, racks)</t>
  </si>
  <si>
    <t xml:space="preserve">tenant / separate IT capex</t>
  </si>
  <si>
    <t xml:space="preserve">Legal, title, closing &amp; financing fees</t>
  </si>
  <si>
    <t xml:space="preserve">lender, counsel, closing</t>
  </si>
  <si>
    <t xml:space="preserve">Subtotal A — Hard + owner soft costs</t>
  </si>
  <si>
    <t xml:space="preserve">3 · FINANCING  —  INTEREST DURING CONSTRUCTION (IDC)</t>
  </si>
  <si>
    <t xml:space="preserve">Loan-to-cost (construction loan)</t>
  </si>
  <si>
    <t xml:space="preserve">share of Subtotal A financed</t>
  </si>
  <si>
    <t xml:space="preserve">Construction loan interest rate (annual)</t>
  </si>
  <si>
    <t xml:space="preserve">Construction duration (months)</t>
  </si>
  <si>
    <t xml:space="preserve">Average draw factor (avg outstanding)</t>
  </si>
  <si>
    <t xml:space="preserve">Interest During Construction (IDC)</t>
  </si>
  <si>
    <t xml:space="preserve">Subtotal A × LTC × rate × (mo/12) × avg draw</t>
  </si>
  <si>
    <t xml:space="preserve">Subtotal B — incl. financing</t>
  </si>
  <si>
    <t xml:space="preserve">4 · OWNER CONTINGENCY &amp; TOTAL</t>
  </si>
  <si>
    <t xml:space="preserve">Owner's contingency (on Subtotal B)</t>
  </si>
  <si>
    <t xml:space="preserve">carried at owner level (BOE E.9)</t>
  </si>
  <si>
    <t xml:space="preserve">TOTAL DEVELOPMENT COST (TDC)</t>
  </si>
  <si>
    <t xml:space="preserve">5 · OWNER CAPITAL METRICS</t>
  </si>
  <si>
    <t xml:space="preserve">Total Development Cost — $/MW</t>
  </si>
  <si>
    <t xml:space="preserve">Total Development Cost — $/SF</t>
  </si>
  <si>
    <t xml:space="preserve">Total Development Cost — $/W (IT)</t>
  </si>
  <si>
    <t xml:space="preserve">Construction as % of TDC</t>
  </si>
  <si>
    <t xml:space="preserve">Owner soft + financing + contingency as % of TDC</t>
  </si>
  <si>
    <t xml:space="preserve">TDC premium over construction only</t>
  </si>
  <si>
    <t xml:space="preserve">6 · COST STRUCTURE &amp; FINANCEABILITY  (CFO · investor · lender view)</t>
  </si>
  <si>
    <t xml:space="preserve">Cost bucket</t>
  </si>
  <si>
    <t xml:space="preserve">% of TDC</t>
  </si>
  <si>
    <t xml:space="preserve">Hard construction cost</t>
  </si>
  <si>
    <t xml:space="preserve">Owner soft costs</t>
  </si>
  <si>
    <t xml:space="preserve">Financing — interest during construction</t>
  </si>
  <si>
    <t xml:space="preserve">Owner's contingency</t>
  </si>
  <si>
    <t xml:space="preserve">TOTAL DEVELOPMENT COST</t>
  </si>
  <si>
    <t xml:space="preserve">Financeability metric</t>
  </si>
  <si>
    <t xml:space="preserve">Value</t>
  </si>
  <si>
    <t xml:space="preserve">Permanent senior loan (take-out)</t>
  </si>
  <si>
    <t xml:space="preserve">60% LTC — Capital Stack</t>
  </si>
  <si>
    <t xml:space="preserve">Sponsor equity required</t>
  </si>
  <si>
    <t xml:space="preserve">TDC − senior loan</t>
  </si>
  <si>
    <t xml:space="preserve">Equity as % of total cost</t>
  </si>
  <si>
    <t xml:space="preserve">Hard cost as % of TDC (financeable)</t>
  </si>
  <si>
    <t xml:space="preserve">lenders often cap soft-cost financing</t>
  </si>
  <si>
    <t xml:space="preserve">Owner's contingency as % of hard cost</t>
  </si>
  <si>
    <t xml:space="preserve">contingency adequacy check</t>
  </si>
  <si>
    <t xml:space="preserve">QA — INTERNAL TIE CHECKS</t>
  </si>
  <si>
    <t xml:space="preserve">Construction line ties to Campus Rollup total</t>
  </si>
  <si>
    <t xml:space="preserve">TDC = Subtotal B + owner contingency</t>
  </si>
  <si>
    <t xml:space="preserve">Hard construction</t>
  </si>
  <si>
    <t xml:space="preserve">Financing (IDC)</t>
  </si>
  <si>
    <t xml:space="preserve">SOURCES &amp; USES OF FUNDS</t>
  </si>
  <si>
    <t xml:space="preserve">Reconciles the capital required (Uses = Total Development Cost) against how it is funded (Sources = senior debt + equity). Uses link to the TDC tab; debt links to the Capital Stack tab; equity is the balancing plug.</t>
  </si>
  <si>
    <t xml:space="preserve">DEAL AT A GLANCE</t>
  </si>
  <si>
    <t xml:space="preserve">Total development cost</t>
  </si>
  <si>
    <t xml:space="preserve">Levered IRR (active scenario)</t>
  </si>
  <si>
    <t xml:space="preserve">IT capacity — design</t>
  </si>
  <si>
    <t xml:space="preserve">Equity multiple</t>
  </si>
  <si>
    <t xml:space="preserve">All-in cost / kW (IT)</t>
  </si>
  <si>
    <t xml:space="preserve">Loan-to-cost</t>
  </si>
  <si>
    <t xml:space="preserve">Senior debt</t>
  </si>
  <si>
    <t xml:space="preserve">Sponsor equity</t>
  </si>
  <si>
    <t xml:space="preserve">USES OF FUNDS</t>
  </si>
  <si>
    <t xml:space="preserve">% of total</t>
  </si>
  <si>
    <t xml:space="preserve">Source</t>
  </si>
  <si>
    <t xml:space="preserve">Construction (hard cost)</t>
  </si>
  <si>
    <t xml:space="preserve">Campus Rollup estimate</t>
  </si>
  <si>
    <t xml:space="preserve">TDC owner soft costs</t>
  </si>
  <si>
    <t xml:space="preserve">Utility interconnection &amp; off-site</t>
  </si>
  <si>
    <t xml:space="preserve">Owner PM, consultants, FF&amp;E, legal</t>
  </si>
  <si>
    <t xml:space="preserve">TDC financing</t>
  </si>
  <si>
    <t xml:space="preserve">TDC contingency</t>
  </si>
  <si>
    <t xml:space="preserve">TOTAL USES (= Total Development Cost)</t>
  </si>
  <si>
    <t xml:space="preserve">SOURCES OF FUNDS</t>
  </si>
  <si>
    <t xml:space="preserve">Senior debt (permanent loan)</t>
  </si>
  <si>
    <t xml:space="preserve">sized in Capital Stack (MIN covenant)</t>
  </si>
  <si>
    <t xml:space="preserve">Mezzanine / other debt</t>
  </si>
  <si>
    <t xml:space="preserve">optional — input</t>
  </si>
  <si>
    <t xml:space="preserve">Sponsor equity (balancing)</t>
  </si>
  <si>
    <t xml:space="preserve">plug = Uses − debt</t>
  </si>
  <si>
    <t xml:space="preserve">TOTAL SOURCES</t>
  </si>
  <si>
    <t xml:space="preserve">CAPITAL STRUCTURE</t>
  </si>
  <si>
    <t xml:space="preserve">Debt (senior + mezz) share</t>
  </si>
  <si>
    <t xml:space="preserve">Equity share</t>
  </si>
  <si>
    <t xml:space="preserve">Loan-to-cost (achieved)</t>
  </si>
  <si>
    <t xml:space="preserve">Stabilized DSCR / debt yield</t>
  </si>
  <si>
    <t xml:space="preserve">Sources = Uses</t>
  </si>
  <si>
    <t xml:space="preserve">Total Uses = Total Development Cost</t>
  </si>
  <si>
    <t xml:space="preserve">Equity = Capital Stack equity</t>
  </si>
  <si>
    <t xml:space="preserve">KEY COST METRICS — NORMALIZED  (all-in development cost)</t>
  </si>
  <si>
    <t xml:space="preserve">IT capacity — design (MW)</t>
  </si>
  <si>
    <t xml:space="preserve">Design IT load — Power &amp; Space Capacity</t>
  </si>
  <si>
    <t xml:space="preserve">Gross building area (SF)</t>
  </si>
  <si>
    <t xml:space="preserve">GBA — Power &amp; Space Capacity</t>
  </si>
  <si>
    <t xml:space="preserve">Rack positions (capacity)</t>
  </si>
  <si>
    <t xml:space="preserve">Power &amp; Space Capacity</t>
  </si>
  <si>
    <t xml:space="preserve">All-in cost per MW (IT)</t>
  </si>
  <si>
    <t xml:space="preserve">Total Uses ÷ IT MW</t>
  </si>
  <si>
    <t xml:space="preserve">All-in cost per kW (IT)</t>
  </si>
  <si>
    <t xml:space="preserve">Total Uses ÷ IT kW</t>
  </si>
  <si>
    <t xml:space="preserve">All-in cost per gross SF</t>
  </si>
  <si>
    <t xml:space="preserve">Total Uses ÷ GBA</t>
  </si>
  <si>
    <t xml:space="preserve">All-in cost per rack position</t>
  </si>
  <si>
    <t xml:space="preserve">Total Uses ÷ racks</t>
  </si>
  <si>
    <t xml:space="preserve">FINANCING TERMS &amp; COST OF CAPITAL</t>
  </si>
  <si>
    <t xml:space="preserve">Permanent loan rate (all-in)</t>
  </si>
  <si>
    <t xml:space="preserve">Active scenario — Capital Stack</t>
  </si>
  <si>
    <t xml:space="preserve">Loan-to-value (stabilized)</t>
  </si>
  <si>
    <t xml:space="preserve">Senior loan ÷ stabilized value</t>
  </si>
  <si>
    <t xml:space="preserve">Stabilized asset value</t>
  </si>
  <si>
    <t xml:space="preserve">Stabilized NOI ÷ exit cap — Capital Stack</t>
  </si>
  <si>
    <t xml:space="preserve">Cost of equity (levered)</t>
  </si>
  <si>
    <t xml:space="preserve">Blended cost of capital</t>
  </si>
  <si>
    <t xml:space="preserve">Debt% × rate + Equity% × Ke</t>
  </si>
  <si>
    <t xml:space="preserve">Owner's contingency (% of hard cost)</t>
  </si>
  <si>
    <t xml:space="preserve">Contingency ÷ construction hard cost</t>
  </si>
  <si>
    <t xml:space="preserve">Land &amp; assemblage</t>
  </si>
  <si>
    <t xml:space="preserve">Utility &amp; off-site</t>
  </si>
  <si>
    <t xml:space="preserve">CAPITAL STACK &amp; LEVERED RETURNS</t>
  </si>
  <si>
    <t xml:space="preserve">Sizes permanent debt to the binding covenant (LTC / LTV / DSCR / debt yield), then computes levered equity returns from the Pro Forma NOI and exit. Shows leverage accretion vs. the unlevered case. Yellow = input.</t>
  </si>
  <si>
    <t xml:space="preserve">1 · FINANCING ASSUMPTIONS  (yellow = input)</t>
  </si>
  <si>
    <t xml:space="preserve">Total Development Cost</t>
  </si>
  <si>
    <t xml:space="preserve">DEAL SNAPSHOT</t>
  </si>
  <si>
    <t xml:space="preserve">Stabilized NOI ($/yr)</t>
  </si>
  <si>
    <t xml:space="preserve">Levered IRR</t>
  </si>
  <si>
    <t xml:space="preserve">Unlevered IRR</t>
  </si>
  <si>
    <t xml:space="preserve">Leverage accretion</t>
  </si>
  <si>
    <t xml:space="preserve">Max loan-to-cost (LTC)</t>
  </si>
  <si>
    <t xml:space="preserve">Equity check ($mm)</t>
  </si>
  <si>
    <t xml:space="preserve">Senior loan ($mm)</t>
  </si>
  <si>
    <t xml:space="preserve">Max loan-to-value (LTV, stabilized)</t>
  </si>
  <si>
    <t xml:space="preserve">Binding covenant</t>
  </si>
  <si>
    <t xml:space="preserve">Achieved LTC</t>
  </si>
  <si>
    <t xml:space="preserve">Min DSCR (stabilized)</t>
  </si>
  <si>
    <t xml:space="preserve">Debt yield</t>
  </si>
  <si>
    <t xml:space="preserve">Min debt yield</t>
  </si>
  <si>
    <t xml:space="preserve">Yield on cost</t>
  </si>
  <si>
    <t xml:space="preserve">Going-in cap (Yr1)</t>
  </si>
  <si>
    <t xml:space="preserve">Exit value ($mm)</t>
  </si>
  <si>
    <t xml:space="preserve">Dev. profit ($mm)</t>
  </si>
  <si>
    <t xml:space="preserve">Amortization (years)</t>
  </si>
  <si>
    <t xml:space="preserve">NPV @ Ke ($mm)</t>
  </si>
  <si>
    <t xml:space="preserve">Verdict</t>
  </si>
  <si>
    <t xml:space="preserve">Hold period (years)</t>
  </si>
  <si>
    <t xml:space="preserve">Cost of equity (levered discount)</t>
  </si>
  <si>
    <t xml:space="preserve">2 · DEBT SIZING — supportable loan = MIN of constraints</t>
  </si>
  <si>
    <t xml:space="preserve">Mortgage constant (annual, K)</t>
  </si>
  <si>
    <t xml:space="preserve">SCENARIO MANAGER  (financing environment)</t>
  </si>
  <si>
    <t xml:space="preserve">Loan by LTC cap</t>
  </si>
  <si>
    <t xml:space="preserve">Active scenario ▸</t>
  </si>
  <si>
    <t xml:space="preserve">Base</t>
  </si>
  <si>
    <t xml:space="preserve">▸ active scenario now drives LTC · rate · Ke · DSCR</t>
  </si>
  <si>
    <t xml:space="preserve">Loan by LTV cap</t>
  </si>
  <si>
    <t xml:space="preserve">Driver</t>
  </si>
  <si>
    <t xml:space="preserve">Downside</t>
  </si>
  <si>
    <t xml:space="preserve">Upside</t>
  </si>
  <si>
    <t xml:space="preserve">Custom</t>
  </si>
  <si>
    <t xml:space="preserve">Loan by DSCR</t>
  </si>
  <si>
    <t xml:space="preserve">Max LTC</t>
  </si>
  <si>
    <t xml:space="preserve">Loan by debt yield</t>
  </si>
  <si>
    <t xml:space="preserve">Loan rate</t>
  </si>
  <si>
    <t xml:space="preserve">Supportable senior loan (MIN)</t>
  </si>
  <si>
    <t xml:space="preserve">Cost of equity</t>
  </si>
  <si>
    <t xml:space="preserve">Binding constraint</t>
  </si>
  <si>
    <t xml:space="preserve">Min DSCR</t>
  </si>
  <si>
    <t xml:space="preserve">Annual debt service</t>
  </si>
  <si>
    <t xml:space="preserve">OUTCOMES  (live)</t>
  </si>
  <si>
    <t xml:space="preserve">Achieved LTC / LTV</t>
  </si>
  <si>
    <t xml:space="preserve">(LTC / LTV)</t>
  </si>
  <si>
    <t xml:space="preserve">Equity ($mm)</t>
  </si>
  <si>
    <t xml:space="preserve">Stab. DSCR</t>
  </si>
  <si>
    <t xml:space="preserve">3 · LEVERED CASH FLOW TO EQUITY  ($)</t>
  </si>
  <si>
    <t xml:space="preserve">Line item</t>
  </si>
  <si>
    <t xml:space="preserve">Year 0</t>
  </si>
  <si>
    <t xml:space="preserve">Net operating income (NOI)</t>
  </si>
  <si>
    <t xml:space="preserve">Debt service</t>
  </si>
  <si>
    <t xml:space="preserve">Loan balance (end of year)</t>
  </si>
  <si>
    <t xml:space="preserve">Net sale proceeds (exit, yr 8)</t>
  </si>
  <si>
    <t xml:space="preserve">Loan repayment at exit</t>
  </si>
  <si>
    <t xml:space="preserve">Levered cash flow to equity</t>
  </si>
  <si>
    <t xml:space="preserve">Cumulative equity cash flow</t>
  </si>
  <si>
    <t xml:space="preserve">DSCR (NOI ÷ debt service)</t>
  </si>
  <si>
    <t xml:space="preserve">Cash-on-cash (pre-tax)</t>
  </si>
  <si>
    <t xml:space="preserve">4 · LEVERED RETURN METRICS</t>
  </si>
  <si>
    <t xml:space="preserve">Equity multiple (levered)</t>
  </si>
  <si>
    <t xml:space="preserve">Average cash-on-cash (yrs 1-8)</t>
  </si>
  <si>
    <t xml:space="preserve">Levered NPV @ cost of equity</t>
  </si>
  <si>
    <t xml:space="preserve">Equity profit at exit</t>
  </si>
  <si>
    <t xml:space="preserve">Unlevered IRR (for comparison)</t>
  </si>
  <si>
    <t xml:space="preserve">Leverage accretion (levered − unlevered)</t>
  </si>
  <si>
    <t xml:space="preserve">Equity verdict</t>
  </si>
  <si>
    <t xml:space="preserve">5 · SENSITIVITY — LEVERED EQUITY IRR  (exit cap × LTC)</t>
  </si>
  <si>
    <t xml:space="preserve">Exit cap ↓  /  LTC →</t>
  </si>
  <si>
    <t xml:space="preserve">Senior loan + equity = TDC</t>
  </si>
  <si>
    <t xml:space="preserve">Year-0 outflow = − sponsor equity</t>
  </si>
  <si>
    <t xml:space="preserve">Unlevered link matches Pro Forma</t>
  </si>
  <si>
    <t xml:space="preserve">Center grid = base levered IRR</t>
  </si>
  <si>
    <t xml:space="preserve">SENSITIVITY ENGINE — do not edit  (levered equity CF per exit-cap × LTC combo)</t>
  </si>
  <si>
    <t xml:space="preserve">C1/L1</t>
  </si>
  <si>
    <t xml:space="preserve">C1/L2</t>
  </si>
  <si>
    <t xml:space="preserve">C1/L3</t>
  </si>
  <si>
    <t xml:space="preserve">C1/L4</t>
  </si>
  <si>
    <t xml:space="preserve">C1/L5</t>
  </si>
  <si>
    <t xml:space="preserve">C2/L1</t>
  </si>
  <si>
    <t xml:space="preserve">C2/L2</t>
  </si>
  <si>
    <t xml:space="preserve">C2/L3</t>
  </si>
  <si>
    <t xml:space="preserve">C2/L4</t>
  </si>
  <si>
    <t xml:space="preserve">C2/L5</t>
  </si>
  <si>
    <t xml:space="preserve">C3/L1</t>
  </si>
  <si>
    <t xml:space="preserve">C3/L2</t>
  </si>
  <si>
    <t xml:space="preserve">C3/L3</t>
  </si>
  <si>
    <t xml:space="preserve">C3/L4</t>
  </si>
  <si>
    <t xml:space="preserve">C3/L5</t>
  </si>
  <si>
    <t xml:space="preserve">C4/L1</t>
  </si>
  <si>
    <t xml:space="preserve">C4/L2</t>
  </si>
  <si>
    <t xml:space="preserve">C4/L3</t>
  </si>
  <si>
    <t xml:space="preserve">C4/L4</t>
  </si>
  <si>
    <t xml:space="preserve">C4/L5</t>
  </si>
  <si>
    <t xml:space="preserve">C5/L1</t>
  </si>
  <si>
    <t xml:space="preserve">C5/L2</t>
  </si>
  <si>
    <t xml:space="preserve">C5/L3</t>
  </si>
  <si>
    <t xml:space="preserve">C5/L4</t>
  </si>
  <si>
    <t xml:space="preserve">C5/L5</t>
  </si>
  <si>
    <t xml:space="preserve">SCENARIO ENGINE — do not edit (recomputes each scenario's levered equity return)</t>
  </si>
  <si>
    <t xml:space="preserve">6 · EQUITY DISTRIBUTION WATERFALL  (LP / GP)</t>
  </si>
  <si>
    <t xml:space="preserve">LP equity share</t>
  </si>
  <si>
    <t xml:space="preserve">GP equity share</t>
  </si>
  <si>
    <t xml:space="preserve">Preferred return (hurdle, compounded)</t>
  </si>
  <si>
    <t xml:space="preserve">GP promote (carried interest above pref)</t>
  </si>
  <si>
    <t xml:space="preserve">LP equity invested ($)</t>
  </si>
  <si>
    <t xml:space="preserve">GP equity invested ($)</t>
  </si>
  <si>
    <t xml:space="preserve">Annual distribution waterfall ($)</t>
  </si>
  <si>
    <t xml:space="preserve">Total equity cash flow</t>
  </si>
  <si>
    <t xml:space="preserve">Hurdle balance (capital + pref, EoY)</t>
  </si>
  <si>
    <t xml:space="preserve">Preferred accrued</t>
  </si>
  <si>
    <t xml:space="preserve">Tier 1 — return of capital + pref</t>
  </si>
  <si>
    <t xml:space="preserve">Tier 2 — residual profit (above pref)</t>
  </si>
  <si>
    <t xml:space="preserve">LP cash flow</t>
  </si>
  <si>
    <t xml:space="preserve">GP cash flow</t>
  </si>
  <si>
    <t xml:space="preserve">Check: LP + GP − total (= 0)</t>
  </si>
  <si>
    <t xml:space="preserve">RETURN BY EQUITY CLASS</t>
  </si>
  <si>
    <t xml:space="preserve">LP</t>
  </si>
  <si>
    <t xml:space="preserve">GP</t>
  </si>
  <si>
    <t xml:space="preserve">IRR</t>
  </si>
  <si>
    <t xml:space="preserve">Capital invested ($)</t>
  </si>
  <si>
    <t xml:space="preserve">Total distributions ($)</t>
  </si>
  <si>
    <t xml:space="preserve">Net profit ($)</t>
  </si>
  <si>
    <t xml:space="preserve">GP carried interest (promote on profit above pref)</t>
  </si>
  <si>
    <t xml:space="preserve">Deal-level equity IRR (ties to §4 levered IRR)</t>
  </si>
  <si>
    <t xml:space="preserve">INVESTMENT PRO FORMA  —  CAPITAL BUDGETING</t>
  </si>
  <si>
    <t xml:space="preserve">Turns the cost estimate into an owner investment case: triple-net (NNN) wholesale lease revenue vs. total development cost, with unlevered IRR / NPV / yield-on-cost and a lease-rate x exit-cap sensitivity. Capex basis links to Total Development Cost; OpEx links to TCO 8-Year (reimbursed per NNN recovery). Yellow = input.</t>
  </si>
  <si>
    <t xml:space="preserve">— chart data —</t>
  </si>
  <si>
    <t xml:space="preserve">1 · INVESTMENT ASSUMPTIONS  (yellow = input)</t>
  </si>
  <si>
    <t xml:space="preserve">Yr 1</t>
  </si>
  <si>
    <t xml:space="preserve">Total Development Cost (capex basis)</t>
  </si>
  <si>
    <t xml:space="preserve">Yr 2</t>
  </si>
  <si>
    <t xml:space="preserve">IT capacity — leasable (MW)</t>
  </si>
  <si>
    <t xml:space="preserve">Yr 3</t>
  </si>
  <si>
    <t xml:space="preserve">Yr 4</t>
  </si>
  <si>
    <t xml:space="preserve">Annual rent escalation</t>
  </si>
  <si>
    <t xml:space="preserve">Yr 5</t>
  </si>
  <si>
    <t xml:space="preserve">Yr 6</t>
  </si>
  <si>
    <t xml:space="preserve">Disposition cost (% of sale)</t>
  </si>
  <si>
    <t xml:space="preserve">Yr 7</t>
  </si>
  <si>
    <t xml:space="preserve">Unlevered discount rate (hurdle)</t>
  </si>
  <si>
    <t xml:space="preserve">Yr 8</t>
  </si>
  <si>
    <t xml:space="preserve">Stabilized occupancy (for yield-on-cost)</t>
  </si>
  <si>
    <t xml:space="preserve">OpEx recovery (% passed to tenant, NNN)</t>
  </si>
  <si>
    <t xml:space="preserve">2 · LEASE-UP / OCCUPANCY RAMP  (yellow = input)</t>
  </si>
  <si>
    <t xml:space="preserve">Operating year →</t>
  </si>
  <si>
    <t xml:space="preserve">Occupancy (% of IT capacity leased)</t>
  </si>
  <si>
    <t xml:space="preserve">3 · OPERATING CASH FLOW &amp; RETURNS  ($)</t>
  </si>
  <si>
    <t xml:space="preserve">8-Yr Total</t>
  </si>
  <si>
    <t xml:space="preserve">Leased IT capacity (kW)</t>
  </si>
  <si>
    <t xml:space="preserve">Effective lease rate ($/kW/mo)</t>
  </si>
  <si>
    <t xml:space="preserve">Base rent (net, NNN)</t>
  </si>
  <si>
    <t xml:space="preserve">Owner OpEx (maint + staff + tax/ins)</t>
  </si>
  <si>
    <t xml:space="preserve">OpEx recovery (tenant reimbursement)</t>
  </si>
  <si>
    <t xml:space="preserve">Net Operating Income (NOI)</t>
  </si>
  <si>
    <t xml:space="preserve">Terminal / residual value (net of disposition)</t>
  </si>
  <si>
    <t xml:space="preserve">Forward NOI ÷ exit cap × (1 − disposition cost)</t>
  </si>
  <si>
    <t xml:space="preserve">Unlevered net cash flow</t>
  </si>
  <si>
    <t xml:space="preserve">Cumulative cash flow</t>
  </si>
  <si>
    <t xml:space="preserve">NNN structure: tenant pays base rent + reimburses operating expenses; power &amp; water are tenant-metered. Owner NOI = base rent less the owner-retained share of OpEx.</t>
  </si>
  <si>
    <t xml:space="preserve">4 · RETURN METRICS</t>
  </si>
  <si>
    <t xml:space="preserve">NPV @ hurdle</t>
  </si>
  <si>
    <t xml:space="preserve">Equity multiple (MOIC)</t>
  </si>
  <si>
    <t xml:space="preserve">Simple payback (yrs)</t>
  </si>
  <si>
    <t xml:space="preserve">Stabilized NOI ($/yr, today $)</t>
  </si>
  <si>
    <t xml:space="preserve">Stabilized asset value (NOI ÷ exit cap)</t>
  </si>
  <si>
    <t xml:space="preserve">Development profit (value − cost)</t>
  </si>
  <si>
    <t xml:space="preserve">Investment verdict</t>
  </si>
  <si>
    <t xml:space="preserve">5 · FINANCING &amp; COVERAGE  (lender view — links to Capital Stack &amp; Returns)</t>
  </si>
  <si>
    <t xml:space="preserve">Senior loan (sized)</t>
  </si>
  <si>
    <t xml:space="preserve">MIN of LTC / LTV / DSCR / debt-yield covenants</t>
  </si>
  <si>
    <t xml:space="preserve">All-in loan rate</t>
  </si>
  <si>
    <t xml:space="preserve">Sponsor equity (plug)</t>
  </si>
  <si>
    <t xml:space="preserve">Year-1 DSCR (lease-up)</t>
  </si>
  <si>
    <t xml:space="preserve">Yr-1 NOI ÷ debt service — ramp coverage</t>
  </si>
  <si>
    <t xml:space="preserve">Min DSCR covenant</t>
  </si>
  <si>
    <t xml:space="preserve">Stabilized NOI ÷ loan — lender downside metric</t>
  </si>
  <si>
    <t xml:space="preserve">Levered IRR (equity)</t>
  </si>
  <si>
    <t xml:space="preserve">Levered equity multiple</t>
  </si>
  <si>
    <t xml:space="preserve">6 · SENSITIVITY — UNLEVERED IRR   (lease rate × exit cap rate)</t>
  </si>
  <si>
    <t xml:space="preserve">Lease $/kW/mo ↓   /   Exit cap →</t>
  </si>
  <si>
    <t xml:space="preserve">Capex basis ties to Total Development Cost</t>
  </si>
  <si>
    <t xml:space="preserve">Year-0 outflow = − capex basis</t>
  </si>
  <si>
    <t xml:space="preserve">Center sensitivity cell = headline IRR</t>
  </si>
  <si>
    <t xml:space="preserve">SENSITIVITY ENGINE — do not edit  (feeds Section 5)</t>
  </si>
  <si>
    <t xml:space="preserve">NOI by operating year, per lease-rate variant</t>
  </si>
  <si>
    <t xml:space="preserve">Lease variant</t>
  </si>
  <si>
    <t xml:space="preserve">$/kW/mo</t>
  </si>
  <si>
    <t xml:space="preserve">Lease 1</t>
  </si>
  <si>
    <t xml:space="preserve">Lease 2</t>
  </si>
  <si>
    <t xml:space="preserve">Lease 3</t>
  </si>
  <si>
    <t xml:space="preserve">Lease 4</t>
  </si>
  <si>
    <t xml:space="preserve">Lease 5</t>
  </si>
  <si>
    <t xml:space="preserve">CF (yr0..8) + IRR per lease×cap combo</t>
  </si>
  <si>
    <t xml:space="preserve">L1/C1</t>
  </si>
  <si>
    <t xml:space="preserve">L1/C2</t>
  </si>
  <si>
    <t xml:space="preserve">L1/C3</t>
  </si>
  <si>
    <t xml:space="preserve">L1/C4</t>
  </si>
  <si>
    <t xml:space="preserve">L1/C5</t>
  </si>
  <si>
    <t xml:space="preserve">L2/C1</t>
  </si>
  <si>
    <t xml:space="preserve">L2/C2</t>
  </si>
  <si>
    <t xml:space="preserve">L2/C3</t>
  </si>
  <si>
    <t xml:space="preserve">L2/C4</t>
  </si>
  <si>
    <t xml:space="preserve">L2/C5</t>
  </si>
  <si>
    <t xml:space="preserve">L3/C1</t>
  </si>
  <si>
    <t xml:space="preserve">L3/C2</t>
  </si>
  <si>
    <t xml:space="preserve">L3/C3</t>
  </si>
  <si>
    <t xml:space="preserve">L3/C4</t>
  </si>
  <si>
    <t xml:space="preserve">L3/C5</t>
  </si>
  <si>
    <t xml:space="preserve">L4/C1</t>
  </si>
  <si>
    <t xml:space="preserve">L4/C2</t>
  </si>
  <si>
    <t xml:space="preserve">L4/C3</t>
  </si>
  <si>
    <t xml:space="preserve">L4/C4</t>
  </si>
  <si>
    <t xml:space="preserve">L4/C5</t>
  </si>
  <si>
    <t xml:space="preserve">L5/C1</t>
  </si>
  <si>
    <t xml:space="preserve">L5/C2</t>
  </si>
  <si>
    <t xml:space="preserve">L5/C3</t>
  </si>
  <si>
    <t xml:space="preserve">L5/C4</t>
  </si>
  <si>
    <t xml:space="preserve">L5/C5</t>
  </si>
  <si>
    <t xml:space="preserve">VARIANCE-TO-RETURN ANALYSIS</t>
  </si>
  <si>
    <t xml:space="preserve">Translates construction cost variance into owner return language. Baseline returns link from the Investment Pro Forma; live cost signals link from EVM (forecast at completion) and the Variance Tracker (bids). Shows what each $ of cost change does to IRR, yield-on-cost, and NPV. Yellow = input.</t>
  </si>
  <si>
    <t xml:space="preserve">1 · BASELINE RETURNS  (from Investment Pro Forma)</t>
  </si>
  <si>
    <t xml:space="preserve">Baseline Total Development Cost</t>
  </si>
  <si>
    <t xml:space="preserve">Baseline stabilized NOI ($/yr)</t>
  </si>
  <si>
    <t xml:space="preserve">Baseline yield-on-cost</t>
  </si>
  <si>
    <t xml:space="preserve">Baseline unlevered IRR</t>
  </si>
  <si>
    <t xml:space="preserve">Baseline NPV @ hurdle</t>
  </si>
  <si>
    <t xml:space="preserve">2 · LIVE COST SIGNALS</t>
  </si>
  <si>
    <t xml:space="preserve">Forecast variance at completion — VAC (from EVM)</t>
  </si>
  <si>
    <t xml:space="preserve">negative = projected overrun</t>
  </si>
  <si>
    <t xml:space="preserve">→ Implied capex overrun (− VAC)</t>
  </si>
  <si>
    <t xml:space="preserve">Awarded-bid variance to date (only divisions bid)</t>
  </si>
  <si>
    <t xml:space="preserve">positive = under budget (savings)</t>
  </si>
  <si>
    <t xml:space="preserve">→ Implied capex change from bids (− variance)</t>
  </si>
  <si>
    <t xml:space="preserve">Manual cost-change scenario (Δ capex $)</t>
  </si>
  <si>
    <t xml:space="preserve">3 · COST VARIANCE → RETURN BRIDGE</t>
  </si>
  <si>
    <t xml:space="preserve">Δ Capex ($)</t>
  </si>
  <si>
    <t xml:space="preserve">New TDC</t>
  </si>
  <si>
    <t xml:space="preserve">Yield-on-Cost</t>
  </si>
  <si>
    <t xml:space="preserve">Δ YoC</t>
  </si>
  <si>
    <t xml:space="preserve">Δ IRR</t>
  </si>
  <si>
    <t xml:space="preserve">Δ NPV</t>
  </si>
  <si>
    <t xml:space="preserve">Cost −5%</t>
  </si>
  <si>
    <t xml:space="preserve">Cost −2.5%</t>
  </si>
  <si>
    <t xml:space="preserve">Baseline (0)</t>
  </si>
  <si>
    <t xml:space="preserve">Cost +2.5%</t>
  </si>
  <si>
    <t xml:space="preserve">Cost +5%</t>
  </si>
  <si>
    <t xml:space="preserve">Cost +10%</t>
  </si>
  <si>
    <t xml:space="preserve">Live: EVM forecast overrun</t>
  </si>
  <si>
    <t xml:space="preserve">Live: bid variance to date</t>
  </si>
  <si>
    <t xml:space="preserve">Manual scenario</t>
  </si>
  <si>
    <t xml:space="preserve">4 · RULE OF THUMB  (per +$10M of capex)</t>
  </si>
  <si>
    <t xml:space="preserve">Δ unlevered IRR per +$10M capex</t>
  </si>
  <si>
    <t xml:space="preserve">Δ yield-on-cost per +$10M capex</t>
  </si>
  <si>
    <t xml:space="preserve">Δ NPV per +$10M capex</t>
  </si>
  <si>
    <t xml:space="preserve">Readout</t>
  </si>
  <si>
    <t xml:space="preserve">Baseline row IRR = Pro Forma IRR</t>
  </si>
  <si>
    <t xml:space="preserve">Δ NPV at baseline = 0</t>
  </si>
  <si>
    <t xml:space="preserve">New TDC at baseline = baseline TDC</t>
  </si>
  <si>
    <t xml:space="preserve">ENGINE — do not edit  (CF yr0..8 per scenario; operating CF held = Pro Forma, capex flexed)</t>
  </si>
  <si>
    <t xml:space="preserve">scn1</t>
  </si>
  <si>
    <t xml:space="preserve">scn2</t>
  </si>
  <si>
    <t xml:space="preserve">scn3</t>
  </si>
  <si>
    <t xml:space="preserve">scn4</t>
  </si>
  <si>
    <t xml:space="preserve">scn5</t>
  </si>
  <si>
    <t xml:space="preserve">scn6</t>
  </si>
  <si>
    <t xml:space="preserve">scn7</t>
  </si>
  <si>
    <t xml:space="preserve">scn8</t>
  </si>
  <si>
    <t xml:space="preserve">scn9</t>
  </si>
  <si>
    <t xml:space="preserve">+$10M unit</t>
  </si>
  <si>
    <t xml:space="preserve">INVESTMENT COMMITTEE SUMMARY</t>
  </si>
  <si>
    <t xml:space="preserve">CONFIDENTIAL — FOR DISCUSSION ONLY</t>
  </si>
  <si>
    <t xml:space="preserve">Prepared: 17 Jun 2026</t>
  </si>
  <si>
    <t xml:space="preserve">THE OPPORTUNITY</t>
  </si>
  <si>
    <t xml:space="preserve">CAPITALIZATION</t>
  </si>
  <si>
    <t xml:space="preserve">Location</t>
  </si>
  <si>
    <t xml:space="preserve">Capacity (IT MW)</t>
  </si>
  <si>
    <t xml:space="preserve">  — per MW</t>
  </si>
  <si>
    <t xml:space="preserve">Senior debt (perm)</t>
  </si>
  <si>
    <t xml:space="preserve">RETURNS — UNLEVERED (PROJECT)</t>
  </si>
  <si>
    <t xml:space="preserve">RETURNS — LEVERED (EQUITY)</t>
  </si>
  <si>
    <t xml:space="preserve">Yield-on-cost (stabilized)</t>
  </si>
  <si>
    <t xml:space="preserve">Avg cash-on-cash</t>
  </si>
  <si>
    <t xml:space="preserve">Development margin</t>
  </si>
  <si>
    <t xml:space="preserve">VALUE CREATION</t>
  </si>
  <si>
    <t xml:space="preserve">Exit cap rate</t>
  </si>
  <si>
    <t xml:space="preserve">Development profit</t>
  </si>
  <si>
    <t xml:space="preserve">KEY RISKS &amp; POSITION</t>
  </si>
  <si>
    <t xml:space="preserve">TDC matches Capital Stack &amp; Sources/Uses</t>
  </si>
  <si>
    <t xml:space="preserve">Levered IRR ≥ unlevered IRR (accretive)</t>
  </si>
  <si>
    <t xml:space="preserve">— chart source data (off-page) —</t>
  </si>
  <si>
    <t xml:space="preserve">Unlevered IRR (project)</t>
  </si>
  <si>
    <t xml:space="preserve">Lifecycle cost: install year + 8 operating years. CapEx pulls from Construction Budget; OpEx is parametric (PUE-driven utility, maintenance, staffing, depreciation). Methodology mirrors HP Labs / TechTarget references.</t>
  </si>
  <si>
    <t xml:space="preserve">INPUT ASSUMPTIONS</t>
  </si>
  <si>
    <t xml:space="preserve">Total CapEx (from Construction Budget):</t>
  </si>
  <si>
    <t xml:space="preserve">IT Load (MW):</t>
  </si>
  <si>
    <t xml:space="preserve">Avg Utilization (% of IT load):</t>
  </si>
  <si>
    <t xml:space="preserve">Electricity rate ($/kWh):</t>
  </si>
  <si>
    <t xml:space="preserve">Hours / year:</t>
  </si>
  <si>
    <t xml:space="preserve">Water cost ($/yr at full load):</t>
  </si>
  <si>
    <t xml:space="preserve">Maintenance % of CapEx (annual):</t>
  </si>
  <si>
    <t xml:space="preserve">Staffing cost ($/yr, full ops):</t>
  </si>
  <si>
    <t xml:space="preserve">Property tax / insurance (% CapEx):</t>
  </si>
  <si>
    <t xml:space="preserve">Inflation (annual escalator):</t>
  </si>
  <si>
    <t xml:space="preserve">Useful life for depreciation (yr):</t>
  </si>
  <si>
    <t xml:space="preserve">Discount rate (NPV):</t>
  </si>
  <si>
    <t xml:space="preserve">ANNUAL CASH FLOWS</t>
  </si>
  <si>
    <t xml:space="preserve">Line Item</t>
  </si>
  <si>
    <t xml:space="preserve">Construction CapEx</t>
  </si>
  <si>
    <t xml:space="preserve">Electricity (PUE × IT × utilization × hrs × rate)</t>
  </si>
  <si>
    <t xml:space="preserve">Water</t>
  </si>
  <si>
    <t xml:space="preserve">Maintenance &amp; repair</t>
  </si>
  <si>
    <t xml:space="preserve">Staffing &amp; operations</t>
  </si>
  <si>
    <t xml:space="preserve">Property tax / insurance</t>
  </si>
  <si>
    <t xml:space="preserve">Depreciation (straight-line, non-cash)</t>
  </si>
  <si>
    <t xml:space="preserve">OpEx Subtotal (cash)</t>
  </si>
  <si>
    <t xml:space="preserve">Cumulative Total (CapEx + OpEx)</t>
  </si>
  <si>
    <t xml:space="preserve">TCO HEADLINE METRICS</t>
  </si>
  <si>
    <t xml:space="preserve">Total CapEx:</t>
  </si>
  <si>
    <t xml:space="preserve">Total 8-Year OpEx:</t>
  </si>
  <si>
    <t xml:space="preserve">8-Year TCO (CapEx + OpEx):</t>
  </si>
  <si>
    <t xml:space="preserve">OpEx as % of CapEx (8-yr):</t>
  </si>
  <si>
    <t xml:space="preserve">Avg Annual OpEx:</t>
  </si>
  <si>
    <t xml:space="preserve">Year 1 OpEx / MW:</t>
  </si>
  <si>
    <t xml:space="preserve">Year 1 OpEx as $/kW (annual):</t>
  </si>
  <si>
    <t xml:space="preserve">Lifecycle $/MW (TCO ÷ MW):</t>
  </si>
  <si>
    <t xml:space="preserve">NPV of OpEx stream @ discount rate:</t>
  </si>
  <si>
    <t xml:space="preserve">NPV of full TCO (CapEx today + discounted OpEx):</t>
  </si>
  <si>
    <t xml:space="preserve">SENSITIVITY — 8-YR TCO ($M)  |  PUE × Electricity Rate</t>
  </si>
  <si>
    <t xml:space="preserve">PUE ↓ / $/kWh →</t>
  </si>
  <si>
    <t xml:space="preserve">QC: Center cell of sensitivity = 8-yr TCO above</t>
  </si>
  <si>
    <t xml:space="preserve">PHASED MULTI-YEAR CAPITAL PLAN</t>
  </si>
  <si>
    <t xml:space="preserve">Sequential 6-building campus deployment. Per-building cost is live from Campus Rollup; Phase 1 (Shared + B1–B3) reconciles to the current estimate. Later phases carry escalation.</t>
  </si>
  <si>
    <t xml:space="preserve">1 · UNIT BASIS  (live from the estimate)</t>
  </si>
  <si>
    <t xml:space="preserve">Cost per building (CSA+MEP+Other)</t>
  </si>
  <si>
    <t xml:space="preserve">Shared infrastructure (one-time, full campus)</t>
  </si>
  <si>
    <t xml:space="preserve">IT capacity per building</t>
  </si>
  <si>
    <t xml:space="preserve">Annual escalation</t>
  </si>
  <si>
    <t xml:space="preserve">Escalation base year</t>
  </si>
  <si>
    <t xml:space="preserve">2 · DEPLOYMENT SCHEDULE</t>
  </si>
  <si>
    <t xml:space="preserve">Year</t>
  </si>
  <si>
    <t xml:space="preserve">Phase / scope</t>
  </si>
  <si>
    <t xml:space="preserve">MW added</t>
  </si>
  <si>
    <t xml:space="preserve">Base capex (2027$)</t>
  </si>
  <si>
    <t xml:space="preserve">Escal. factor</t>
  </si>
  <si>
    <t xml:space="preserve">Escalated capex</t>
  </si>
  <si>
    <t xml:space="preserve">Cumulative capex</t>
  </si>
  <si>
    <t xml:space="preserve">Cum. MW</t>
  </si>
  <si>
    <t xml:space="preserve">$/MW (cum)</t>
  </si>
  <si>
    <t xml:space="preserve">Phase 1a — Shared infra + B1</t>
  </si>
  <si>
    <t xml:space="preserve">Phase 1b — Buildings B2 &amp; B3</t>
  </si>
  <si>
    <t xml:space="preserve">Phase 2 — Building B4</t>
  </si>
  <si>
    <t xml:space="preserve">Phase 3 — Building B5</t>
  </si>
  <si>
    <t xml:space="preserve">Phase 4 — Building B6</t>
  </si>
  <si>
    <t xml:space="preserve">PROGRAM TOTAL (6 buildings + shared)</t>
  </si>
  <si>
    <t xml:space="preserve">3 · PROGRAM SUMMARY</t>
  </si>
  <si>
    <t xml:space="preserve">Total program capex (escalated)</t>
  </si>
  <si>
    <t xml:space="preserve">Total IT capacity at build-out</t>
  </si>
  <si>
    <t xml:space="preserve">Blended $/MW (full campus)</t>
  </si>
  <si>
    <t xml:space="preserve">Phase 1 capex (reconciles to estimate)</t>
  </si>
  <si>
    <t xml:space="preserve">Phases 2–4 expansion capex</t>
  </si>
  <si>
    <t xml:space="preserve">DRAW SCHEDULE &amp; CONSTRUCTION PHASING</t>
  </si>
  <si>
    <t xml:space="preserve">Monthly cash outlay by CSI division across the 30-month construction window. Figures shown in USD millions ($M). Driven from Construction Budget division subtotals — update inputs there and this schedule rebuilds automatically. Construction trades are distributed on a cubic S-curve within each trade's start/end window; General Conditions are level-loaded and Soft Costs front-loaded. Each division sums to its full budget, so the schedule total ties to the estimate.</t>
  </si>
  <si>
    <t xml:space="preserve">Construction Duration (mo):</t>
  </si>
  <si>
    <t xml:space="preserve">Total Construction:</t>
  </si>
  <si>
    <t xml:space="preserve">CB Ref</t>
  </si>
  <si>
    <t xml:space="preserve">Total ($M)</t>
  </si>
  <si>
    <t xml:space="preserve">Start Mo</t>
  </si>
  <si>
    <t xml:space="preserve">End Mo</t>
  </si>
  <si>
    <t xml:space="preserve">Duration</t>
  </si>
  <si>
    <t xml:space="preserve">Metals / Structural (Div 05)</t>
  </si>
  <si>
    <t xml:space="preserve">Plumbing (Div 22)</t>
  </si>
  <si>
    <t xml:space="preserve">Fire Suppression (Div 21)</t>
  </si>
  <si>
    <t xml:space="preserve">HVAC / Cooling (Div 23)</t>
  </si>
  <si>
    <t xml:space="preserve">Electrical / Critical Power (Div 26)</t>
  </si>
  <si>
    <t xml:space="preserve">H312 (Cx)</t>
  </si>
  <si>
    <t xml:space="preserve">Security (Div 28)</t>
  </si>
  <si>
    <t xml:space="preserve">IT Infrastructure (Div 27)</t>
  </si>
  <si>
    <t xml:space="preserve">H277 (Div 27)</t>
  </si>
  <si>
    <t xml:space="preserve">General Conditions (Div 01)</t>
  </si>
  <si>
    <t xml:space="preserve">Soft Costs / Pre-Con (SC)</t>
  </si>
  <si>
    <t xml:space="preserve">Wood / Plastics (Div 06)</t>
  </si>
  <si>
    <t xml:space="preserve">Conveying (Div 14)</t>
  </si>
  <si>
    <t xml:space="preserve">Integrated Automation (Div 25)</t>
  </si>
  <si>
    <t xml:space="preserve">CUMULATIVE</t>
  </si>
  <si>
    <t xml:space="preserve">% COMPLETE</t>
  </si>
  <si>
    <t xml:space="preserve">QC: Schedule total = Construction Budget total</t>
  </si>
  <si>
    <t xml:space="preserve">CASH FLOW &amp; EARNED VALUE (EVM)</t>
  </si>
  <si>
    <t xml:space="preserve">Earned Value Management to the data date. Blue cells are inputs (Period Actual Cost &amp; % Complete); metrics, the S-curve, and the dashed forecast-to-complete (cols K–L) update automatically as you advance the data date.</t>
  </si>
  <si>
    <t xml:space="preserve">1 · EVM SCORECARD</t>
  </si>
  <si>
    <t xml:space="preserve">Data Date (month #):</t>
  </si>
  <si>
    <t xml:space="preserve">BAC — Budget at Completion</t>
  </si>
  <si>
    <t xml:space="preserve">PV — Planned Value to date</t>
  </si>
  <si>
    <t xml:space="preserve">EV — Earned Value to date</t>
  </si>
  <si>
    <t xml:space="preserve">AC — Actual Cost to date</t>
  </si>
  <si>
    <t xml:space="preserve">SV — Schedule Variance (EV−PV)</t>
  </si>
  <si>
    <t xml:space="preserve">CV — Cost Variance (EV−AC)</t>
  </si>
  <si>
    <t xml:space="preserve">SPI — Schedule Perf. Index</t>
  </si>
  <si>
    <t xml:space="preserve">CPI — Cost Perf. Index</t>
  </si>
  <si>
    <t xml:space="preserve">EAC — Estimate at Completion</t>
  </si>
  <si>
    <t xml:space="preserve">ETC — Estimate to Complete</t>
  </si>
  <si>
    <t xml:space="preserve">VAC — Variance at Completion</t>
  </si>
  <si>
    <t xml:space="preserve">TCPI — To-Complete Index</t>
  </si>
  <si>
    <t xml:space="preserve">Schedule status:</t>
  </si>
  <si>
    <t xml:space="preserve">Cost status:</t>
  </si>
  <si>
    <t xml:space="preserve">PV curve ties to BAC:</t>
  </si>
  <si>
    <t xml:space="preserve">2 · MONTHLY S-CURVE  —  Period AC &amp; % Complete are inputs (enter Actual Cost in full $).  All dollar figures display in $M.</t>
  </si>
  <si>
    <t xml:space="preserve">Month</t>
  </si>
  <si>
    <t xml:space="preserve">Month-End</t>
  </si>
  <si>
    <t xml:space="preserve">Period PV ($M)</t>
  </si>
  <si>
    <t xml:space="preserve">Cum PV ($M)</t>
  </si>
  <si>
    <t xml:space="preserve">Period AC ($M)</t>
  </si>
  <si>
    <t xml:space="preserve">Cum AC ($M)</t>
  </si>
  <si>
    <t xml:space="preserve">% Complete</t>
  </si>
  <si>
    <t xml:space="preserve">Cum EV ($M)</t>
  </si>
  <si>
    <t xml:space="preserve">SPI</t>
  </si>
  <si>
    <t xml:space="preserve">CPI</t>
  </si>
  <si>
    <t xml:space="preserve">Fcst Cum AC ($M)</t>
  </si>
  <si>
    <t xml:space="preserve">Fcst Cum EV ($M)</t>
  </si>
  <si>
    <t xml:space="preserve">↓  FIRM / COMPANY NAME — enter your firm name here to fill every blank in this proposal (letterhead, cover letter, signature). Leave blank to keep them blank.</t>
  </si>
  <si>
    <t xml:space="preserve">↓  Street address</t>
  </si>
  <si>
    <t xml:space="preserve">↓  City, State ZIP</t>
  </si>
  <si>
    <t xml:space="preserve">↓  Phone</t>
  </si>
  <si>
    <t xml:space="preserve">Attention:  Project Development Team</t>
  </si>
  <si>
    <t xml:space="preserve">Dear Members of the Project Development Team,</t>
  </si>
  <si>
    <t xml:space="preserve">The estimate excludes owner-furnished IT equipment, financing and carrying costs, and land acquisition. Full assumptions, qualifications, terms, and exclusions are set out in the sections and appendices that follow. This proposal is valid for thirty (30) days from the date above.</t>
  </si>
  <si>
    <t xml:space="preserve">We appreciate the opportunity to support this project and welcome the chance to review the estimate with your team at your convenience. Please do not hesitate to contact us with any questions.</t>
  </si>
  <si>
    <t xml:space="preserve">Respectfully submitted,</t>
  </si>
  <si>
    <t xml:space="preserve">Prepared by:  ______________________________</t>
  </si>
  <si>
    <t xml:space="preserve">Cost Management &amp; Estimating</t>
  </si>
  <si>
    <t xml:space="preserve">TABLE OF CONTENTS</t>
  </si>
  <si>
    <t xml:space="preserve">Executive Summary</t>
  </si>
  <si>
    <t xml:space="preserve">Investment Highlights</t>
  </si>
  <si>
    <t xml:space="preserve">Scope of Work &amp; Pricing Summary</t>
  </si>
  <si>
    <t xml:space="preserve">Terms &amp; Conditions</t>
  </si>
  <si>
    <t xml:space="preserve">Exclusions</t>
  </si>
  <si>
    <t xml:space="preserve">Acceptance &amp; Signatures</t>
  </si>
  <si>
    <t xml:space="preserve">Appendix A — Schedule of Values</t>
  </si>
  <si>
    <t xml:space="preserve">Appendix B — Basis of Estimate</t>
  </si>
  <si>
    <t xml:space="preserve">DATA CENTER COST ESTIMATE — PROPOSAL</t>
  </si>
  <si>
    <t xml:space="preserve">Facility Size (SF):</t>
  </si>
  <si>
    <t xml:space="preserve">IT Power Capacity:</t>
  </si>
  <si>
    <t xml:space="preserve">Proposal Date:</t>
  </si>
  <si>
    <t xml:space="preserve">Valid Through:</t>
  </si>
  <si>
    <t xml:space="preserve">Proposal No.:</t>
  </si>
  <si>
    <t xml:space="preserve">TT-DC-2026-0615</t>
  </si>
  <si>
    <t xml:space="preserve">INVESTMENT HIGHLIGHTS — CAPITAL EFFICIENCY</t>
  </si>
  <si>
    <t xml:space="preserve">Total Capital Investment</t>
  </si>
  <si>
    <t xml:space="preserve">All-in: construction + owner allowances</t>
  </si>
  <si>
    <t xml:space="preserve">Capital intensity per MW of critical IT load</t>
  </si>
  <si>
    <t xml:space="preserve">Cost per Watt (IT)</t>
  </si>
  <si>
    <t xml:space="preserve">Benchmark range for hyperscale: $9–14 / W</t>
  </si>
  <si>
    <t xml:space="preserve">Cost per Gross SF</t>
  </si>
  <si>
    <t xml:space="preserve">Across 800,000 gross SF of facility</t>
  </si>
  <si>
    <t xml:space="preserve">IT Power Capacity</t>
  </si>
  <si>
    <t xml:space="preserve">Critical IT load (N), Tier III concurrent</t>
  </si>
  <si>
    <t xml:space="preserve">Embedded Contingency</t>
  </si>
  <si>
    <t xml:space="preserve">Carried within every line item, not separate</t>
  </si>
  <si>
    <t xml:space="preserve">Estimate Class</t>
  </si>
  <si>
    <t xml:space="preserve">AACE maturity (Design Development)</t>
  </si>
  <si>
    <t xml:space="preserve">Resiliency / Efficiency</t>
  </si>
  <si>
    <t xml:space="preserve">Concurrently maintainable; PUE ~1.3</t>
  </si>
  <si>
    <t xml:space="preserve">SCOPE OF WORK &amp; PRICING SUMMARY</t>
  </si>
  <si>
    <t xml:space="preserve">% of Total</t>
  </si>
  <si>
    <t xml:space="preserve">A</t>
  </si>
  <si>
    <t xml:space="preserve">Civil &amp; Site Work</t>
  </si>
  <si>
    <t xml:space="preserve">Earthwork, grading, paving, utilities, fencing, stormwater, security perimeter</t>
  </si>
  <si>
    <t xml:space="preserve">B</t>
  </si>
  <si>
    <t xml:space="preserve">Structural &amp; Building Shell</t>
  </si>
  <si>
    <t xml:space="preserve">Foundations, structural steel, concrete, masonry, roofing, exterior walls, carpentry, loading docks</t>
  </si>
  <si>
    <t xml:space="preserve">C</t>
  </si>
  <si>
    <t xml:space="preserve">Electrical — Critical Power</t>
  </si>
  <si>
    <t xml:space="preserve">Utility switchgear, transformers, generators, UPS, STS, PDUs, busway, grounding, and integrated automation / controls</t>
  </si>
  <si>
    <t xml:space="preserve">D</t>
  </si>
  <si>
    <t xml:space="preserve">Mechanical — Cooling Systems</t>
  </si>
  <si>
    <t xml:space="preserve">Chillers, cooling towers, CRAHs, CRACs, piping, hot/cold aisle
   containment, economizer systems, controls</t>
  </si>
  <si>
    <t xml:space="preserve">E</t>
  </si>
  <si>
    <t xml:space="preserve">Fire &amp; Life Safety</t>
  </si>
  <si>
    <t xml:space="preserve">Clean agent suppression (FM-200/Novec), VESDA detection, pre-action
   sprinklers, smoke evacuation, fire alarm/mass notification</t>
  </si>
  <si>
    <t xml:space="preserve">F</t>
  </si>
  <si>
    <t xml:space="preserve">Building Systems &amp; Finishes</t>
  </si>
  <si>
    <t xml:space="preserve">Interior finishes, raised floor, doors/openings, equipment, furnishings, conveying/elevators, signage, specialties</t>
  </si>
  <si>
    <t xml:space="preserve">G</t>
  </si>
  <si>
    <t xml:space="preserve">IT Infrastructure &amp; Cabling</t>
  </si>
  <si>
    <t xml:space="preserve">Structured cabling, fiber backbone, cable tray, ladder rack, cabinets/racks,
   overhead busway, BMS/DCIM integration</t>
  </si>
  <si>
    <t xml:space="preserve">H</t>
  </si>
  <si>
    <t xml:space="preserve">Security &amp; Monitoring</t>
  </si>
  <si>
    <t xml:space="preserve">Access control, CCTV, mantraps, bollards, perimeter intrusion detection,
   NOC/SOC buildout, BMS integration</t>
  </si>
  <si>
    <t xml:space="preserve">I</t>
  </si>
  <si>
    <t xml:space="preserve">Levels 1–5 commissioning, IST, factory witness testing, performance
   verification, documentation turnover</t>
  </si>
  <si>
    <t xml:space="preserve">J</t>
  </si>
  <si>
    <t xml:space="preserve">Plumbing Systems</t>
  </si>
  <si>
    <t xml:space="preserve">Domestic water, sanitary waste, condensate drain, make-up water,
   acid neutralization, compressed air, backflow prevention</t>
  </si>
  <si>
    <t xml:space="preserve">K</t>
  </si>
  <si>
    <t xml:space="preserve">Project management, temporary facilities, QA/QC, permits, bonds,
   insurance, closeout, waste management</t>
  </si>
  <si>
    <t xml:space="preserve">L</t>
  </si>
  <si>
    <t xml:space="preserve">A/E design fees, permitting, third-party CxA, Uptime certification,
   LEED certification, BIM, testing/inspection, owner's rep</t>
  </si>
  <si>
    <t xml:space="preserve">SUBTOTAL — ALL DIVISIONS (CAMPUS)</t>
  </si>
  <si>
    <t xml:space="preserve">CONTINGENCY ALLOWANCE</t>
  </si>
  <si>
    <t xml:space="preserve">ACCEPTED ALTERNATES (Net Add/Deduct)</t>
  </si>
  <si>
    <t xml:space="preserve">ESTIMATE BASIS NOTES</t>
  </si>
  <si>
    <t xml:space="preserve">OWNER ALLOWANCES (carried in budget)</t>
  </si>
  <si>
    <t xml:space="preserve">TOTAL CAMPUS ESTIMATE</t>
  </si>
  <si>
    <t xml:space="preserve">Includes shared campus infrastructure and embedded contingency. Excludes owner-furnished IT equipment, financing/carrying costs, and land acquisition.</t>
  </si>
  <si>
    <t xml:space="preserve">TERMS &amp; CONDITIONS</t>
  </si>
  <si>
    <t xml:space="preserve">1.  This proposal is valid for thirty (30) calendar days from the Proposal Date shown above.</t>
  </si>
  <si>
    <t xml:space="preserve">2.  Payment schedule: 10% deposit upon execution, progress draws per AIA G702/G703, 10% retention released upon substantial completion, successful IST, and punch list close-out.</t>
  </si>
  <si>
    <t xml:space="preserve">3.  Work not expressly included shall require a written Change Order signed by both parties prior to commencement. Change Orders may adjust the contract price and/or schedule.</t>
  </si>
  <si>
    <t xml:space="preserve">4.  Owner is responsible for utility service to the property line, all utility connection fees, AHJ permits beyond those listed, and temporary power during construction.</t>
  </si>
  <si>
    <t xml:space="preserve">5.  Contractor shall maintain general liability ($2M per occurrence / $5M aggregate), professional liability ($5M), and workers' compensation insurance for the duration of the project.</t>
  </si>
  <si>
    <t xml:space="preserve">6.  All work shall conform to applicable local, state, and federal building codes; NFPA 75/76; Uptime Institute Tier Standards; and manufacturer installation specifications.</t>
  </si>
  <si>
    <t xml:space="preserve">7.  Warranty: Two (2) year workmanship warranty from substantial completion. All critical infrastructure (UPS, generators, chillers, switchgear) carry manufacturer warranties as specified.</t>
  </si>
  <si>
    <t xml:space="preserve">8.  Commissioning: Contractor shall perform Levels 1–5 commissioning per Uptime Institute standards, including Integrated Systems Testing (IST). Owner-directed commissioning agent (CxA) costs are excluded unless listed.</t>
  </si>
  <si>
    <t xml:space="preserve">EXCLUSIONS (unless specifically included above)</t>
  </si>
  <si>
    <t xml:space="preserve">•  IT equipment (servers, networking, storage) — this proposal covers infrastructure only</t>
  </si>
  <si>
    <t xml:space="preserve">•  Furniture, fixtures, and equipment (FF&amp;E) for office/NOC areas not specifically listed</t>
  </si>
  <si>
    <t xml:space="preserve">•  Hazardous material testing or remediation (asbestos, lead, contaminated soil)</t>
  </si>
  <si>
    <t xml:space="preserve">•  Architectural design revisions after construction document approval; permit re-submittals due to owner changes</t>
  </si>
  <si>
    <t xml:space="preserve">•  Unforeseen subsurface conditions including rock removal, dewatering, or contaminated soil remediation</t>
  </si>
  <si>
    <t xml:space="preserve">•  Owner-furnished commissioning agent (CxA) fees; third-party Uptime Institute Tier certification audit fees</t>
  </si>
  <si>
    <t xml:space="preserve">•  Bid, performance, or payment bonds unless expressly required</t>
  </si>
  <si>
    <t xml:space="preserve">•  Seismic bracing beyond code minimum (unless Tier IV fault-tolerant design is specified)</t>
  </si>
  <si>
    <t xml:space="preserve">ACCEPTANCE</t>
  </si>
  <si>
    <t xml:space="preserve">By signing below, Owner acknowledges review and acceptance of the scope of work, pricing,
terms, conditions, and exclusions set forth herein, and authorizes Contractor to proceed.</t>
  </si>
  <si>
    <t xml:space="preserve">CONTRACTOR</t>
  </si>
  <si>
    <t xml:space="preserve">OWNER / CLIENT</t>
  </si>
  <si>
    <t xml:space="preserve">Signature:</t>
  </si>
  <si>
    <t xml:space="preserve">Print Name:</t>
  </si>
  <si>
    <t xml:space="preserve">APPENDIX A  —  DETAILED SCHEDULE OF VALUES</t>
  </si>
  <si>
    <t xml:space="preserve">CSI Division</t>
  </si>
  <si>
    <t xml:space="preserve">% of Subtotal</t>
  </si>
  <si>
    <t xml:space="preserve">Earthwork &amp; Site Preparation</t>
  </si>
  <si>
    <t xml:space="preserve">Utilities (Site)</t>
  </si>
  <si>
    <t xml:space="preserve">Openings (Doors, Frames, Louvers)</t>
  </si>
  <si>
    <t xml:space="preserve">Integrated Automation (BMS / DCIM)</t>
  </si>
  <si>
    <t xml:space="preserve">Commissioning &amp; Testing (L1–L5 / IST)</t>
  </si>
  <si>
    <t xml:space="preserve">APPENDIX B  —  BASIS OF ESTIMATE &amp; KEY ASSUMPTIONS</t>
  </si>
  <si>
    <t xml:space="preserve">Key parameters underlying this estimate — all values linked live to the cost model.</t>
  </si>
  <si>
    <t xml:space="preserve">Estimate Accuracy Range</t>
  </si>
  <si>
    <t xml:space="preserve">−10% / +15% (AACE Class 3)</t>
  </si>
  <si>
    <t xml:space="preserve">Pricing Basis</t>
  </si>
  <si>
    <t xml:space="preserve">Escalation to Construction Midpoint</t>
  </si>
  <si>
    <t xml:space="preserve">Location Factor</t>
  </si>
  <si>
    <t xml:space="preserve">Estimate Date</t>
  </si>
  <si>
    <t xml:space="preserve">Currency</t>
  </si>
  <si>
    <t xml:space="preserve">USD ($)</t>
  </si>
  <si>
    <t xml:space="preserve">Gross Building Area</t>
  </si>
  <si>
    <t xml:space="preserve">IT Critical Load (N)</t>
  </si>
  <si>
    <t xml:space="preserve">CSI Divisions Priced</t>
  </si>
  <si>
    <t xml:space="preserve">Priced Line Items</t>
  </si>
  <si>
    <t xml:space="preserve">Methodology &amp; Inclusions</t>
  </si>
  <si>
    <t xml:space="preserve">•  Quantities derived from Design Development documents and digital takeoff; unit rates sourced from the project Unit Cost Database.</t>
  </si>
  <si>
    <t xml:space="preserve">•  Every line item carries embedded contingency; no separate contingency line is added to the subtotal.</t>
  </si>
  <si>
    <t xml:space="preserve">•  Pricing assumes competitive lump-sum procurement, prevailing-wage labor, and a single continuous construction program.</t>
  </si>
  <si>
    <t xml:space="preserve">•  Excludes owner-furnished IT equipment, financing and carrying costs, and land acquisition (see Exclusions).</t>
  </si>
  <si>
    <t xml:space="preserve">•  Escalation carried to the anticipated construction midpoint; re-pricing is recommended at each subsequent design milestone.</t>
  </si>
  <si>
    <t xml:space="preserve">CARBON &amp; SUSTAINABILITY ESTIMATE</t>
  </si>
  <si>
    <t xml:space="preserve">Embodied (cradle-to-completion) + operational carbon alongside capex. Yellow cells are inputs. Factors are early-stage planning values — refine with an LCA.</t>
  </si>
  <si>
    <t xml:space="preserve">1 · INPUTS &amp; REFERENCES</t>
  </si>
  <si>
    <t xml:space="preserve">ACTIVE SCENARIO</t>
  </si>
  <si>
    <t xml:space="preserve">Efficient</t>
  </si>
  <si>
    <t xml:space="preserve">IT load</t>
  </si>
  <si>
    <t xml:space="preserve">▼ drives PUE · grid · PPA · WUE</t>
  </si>
  <si>
    <t xml:space="preserve">PUE</t>
  </si>
  <si>
    <t xml:space="preserve">of IT capacity</t>
  </si>
  <si>
    <t xml:space="preserve">Operating life (assessment period)</t>
  </si>
  <si>
    <t xml:space="preserve">years</t>
  </si>
  <si>
    <t xml:space="preserve">Grid carbon intensity</t>
  </si>
  <si>
    <t xml:space="preserve">tCO₂e per MWh</t>
  </si>
  <si>
    <t xml:space="preserve">Renewable PPA coverage</t>
  </si>
  <si>
    <t xml:space="preserve">of energy carbon-free</t>
  </si>
  <si>
    <t xml:space="preserve">2 · EMBODIED CARBON  (modules A1–A5)</t>
  </si>
  <si>
    <t xml:space="preserve">Element</t>
  </si>
  <si>
    <t xml:space="preserve">Intensity (tCO₂e/SF)</t>
  </si>
  <si>
    <t xml:space="preserve">Embodied (tCO₂e)</t>
  </si>
  <si>
    <t xml:space="preserve">% of embodied</t>
  </si>
  <si>
    <t xml:space="preserve">Embodied</t>
  </si>
  <si>
    <t xml:space="preserve">Substructure &amp; superstructure</t>
  </si>
  <si>
    <t xml:space="preserve">Operational (life)</t>
  </si>
  <si>
    <t xml:space="preserve">Envelope &amp; architecture</t>
  </si>
  <si>
    <t xml:space="preserve">MEP systems &amp; equipment</t>
  </si>
  <si>
    <t xml:space="preserve">Total embodied carbon</t>
  </si>
  <si>
    <t xml:space="preserve">3 · OPERATIONAL CARBON</t>
  </si>
  <si>
    <t xml:space="preserve">Annual energy use</t>
  </si>
  <si>
    <t xml:space="preserve">MWh / yr = facility × 8760 × util.</t>
  </si>
  <si>
    <t xml:space="preserve">Effective grid intensity</t>
  </si>
  <si>
    <t xml:space="preserve">tCO₂e/MWh after renewable PPA</t>
  </si>
  <si>
    <t xml:space="preserve">Annual operational carbon</t>
  </si>
  <si>
    <t xml:space="preserve">tCO₂e / yr</t>
  </si>
  <si>
    <t xml:space="preserve">Lifetime operational carbon</t>
  </si>
  <si>
    <t xml:space="preserve">tCO₂e over assessment period</t>
  </si>
  <si>
    <t xml:space="preserve">4 · LIFECYCLE SUMMARY &amp; CARBON–COST METRICS</t>
  </si>
  <si>
    <t xml:space="preserve">Total lifecycle carbon</t>
  </si>
  <si>
    <t xml:space="preserve">tCO₂e = embodied + lifetime operational</t>
  </si>
  <si>
    <t xml:space="preserve">Embodied as % of lifecycle</t>
  </si>
  <si>
    <t xml:space="preserve">the rest is operational</t>
  </si>
  <si>
    <t xml:space="preserve">Lifecycle carbon per MW</t>
  </si>
  <si>
    <t xml:space="preserve">tCO₂e / IT MW</t>
  </si>
  <si>
    <t xml:space="preserve">Lifecycle carbon per SF</t>
  </si>
  <si>
    <t xml:space="preserve">tCO₂e / SF</t>
  </si>
  <si>
    <t xml:space="preserve">Capex per lifecycle tCO₂e</t>
  </si>
  <si>
    <t xml:space="preserve">$ capex per tCO₂e</t>
  </si>
  <si>
    <t xml:space="preserve">Embodied carbon per $ capex</t>
  </si>
  <si>
    <t xml:space="preserve">kgCO₂e per $ capex</t>
  </si>
  <si>
    <t xml:space="preserve">5 · DECARBONISATION LEVERS — QUANTIFIED SCENARIO  (planning)</t>
  </si>
  <si>
    <t xml:space="preserve">Lever</t>
  </si>
  <si>
    <t xml:space="preserve">Target</t>
  </si>
  <si>
    <t xml:space="preserve">Carbon base (tCO₂e)</t>
  </si>
  <si>
    <t xml:space="preserve">Reduction %</t>
  </si>
  <si>
    <t xml:space="preserve">Carbon saved (tCO₂e)</t>
  </si>
  <si>
    <t xml:space="preserve">Low-carbon concrete (GGBS / fly-ash mix)</t>
  </si>
  <si>
    <t xml:space="preserve">Renewable PPA → 90% coverage</t>
  </si>
  <si>
    <t xml:space="preserve">Operational</t>
  </si>
  <si>
    <t xml:space="preserve">Waste-heat reuse / district loop</t>
  </si>
  <si>
    <t xml:space="preserve">Lower design PUE (1.30 → 1.20)</t>
  </si>
  <si>
    <t xml:space="preserve">Low-GWP refrigerants &amp; SF₆-free gear</t>
  </si>
  <si>
    <t xml:space="preserve">6 · COMBINED DECARBONISATION SCENARIO</t>
  </si>
  <si>
    <t xml:space="preserve">Base lifecycle carbon</t>
  </si>
  <si>
    <t xml:space="preserve">embodied + lifetime operational</t>
  </si>
  <si>
    <t xml:space="preserve">Embodied after levers</t>
  </si>
  <si>
    <t xml:space="preserve">concrete + low-GWP levers</t>
  </si>
  <si>
    <t xml:space="preserve">Base case</t>
  </si>
  <si>
    <t xml:space="preserve">Operational after levers</t>
  </si>
  <si>
    <t xml:space="preserve">PPA, waste-heat &amp; PUE compounded</t>
  </si>
  <si>
    <t xml:space="preserve">With levers</t>
  </si>
  <si>
    <t xml:space="preserve">Lifecycle carbon WITH levers</t>
  </si>
  <si>
    <t xml:space="preserve">post-lever total</t>
  </si>
  <si>
    <t xml:space="preserve">Reduction vs base</t>
  </si>
  <si>
    <t xml:space="preserve">lifecycle carbon avoided</t>
  </si>
  <si>
    <t xml:space="preserve">New lifecycle intensity</t>
  </si>
  <si>
    <t xml:space="preserve">tCO₂e / SF  (was 3.19)</t>
  </si>
  <si>
    <t xml:space="preserve">Net cost premium (% of capex)</t>
  </si>
  <si>
    <t xml:space="preserve">planning estimate — refine with VE pricing</t>
  </si>
  <si>
    <t xml:space="preserve">Net cost premium ($)</t>
  </si>
  <si>
    <t xml:space="preserve">on total project capex</t>
  </si>
  <si>
    <t xml:space="preserve">Implied abatement cost</t>
  </si>
  <si>
    <t xml:space="preserve">$ per tCO₂e abated</t>
  </si>
  <si>
    <t xml:space="preserve">7 · WATER CONSUMPTION  (operational)</t>
  </si>
  <si>
    <t xml:space="preserve">Water usage effectiveness (WUE)</t>
  </si>
  <si>
    <t xml:space="preserve">L per kWh IT energy  •  evaporative 1.4–2.2; hybrid ~0.5; closed-loop ≤0.2</t>
  </si>
  <si>
    <t xml:space="preserve">Annual IT energy</t>
  </si>
  <si>
    <t xml:space="preserve">MWh / yr  (IT load × 8760 × util.)</t>
  </si>
  <si>
    <t xml:space="preserve">Annual water withdrawal</t>
  </si>
  <si>
    <t xml:space="preserve">m³ / yr  (WUE × IT MWh)</t>
  </si>
  <si>
    <t xml:space="preserve">megalitres / yr</t>
  </si>
  <si>
    <t xml:space="preserve">Lifetime water withdrawal</t>
  </si>
  <si>
    <t xml:space="preserve">m³ over assessment period</t>
  </si>
  <si>
    <t xml:space="preserve">Water intensity per MW</t>
  </si>
  <si>
    <t xml:space="preserve">m³ / IT MW / yr</t>
  </si>
  <si>
    <t xml:space="preserve">Water intensity per SF</t>
  </si>
  <si>
    <t xml:space="preserve">L / SF / yr</t>
  </si>
  <si>
    <t xml:space="preserve">8 · SCENARIO MANAGER &amp; COMPARISON</t>
  </si>
  <si>
    <t xml:space="preserve">Pick Active Scenario (top of Inputs) to drive the live model. Columns below define each scenario — edit the yellow cells; Custom is fully user-defined. Note the water–energy trade-off (evaporative cooling lowers PUE but raises WUE).</t>
  </si>
  <si>
    <t xml:space="preserve">Driver / Outcome</t>
  </si>
  <si>
    <t xml:space="preserve">DRIVERS</t>
  </si>
  <si>
    <t xml:space="preserve">Lifecycle carbon (tCO₂e)</t>
  </si>
  <si>
    <t xml:space="preserve">Annual water (ML)</t>
  </si>
  <si>
    <t xml:space="preserve">Grid intensity (tCO₂e/MWh)</t>
  </si>
  <si>
    <t xml:space="preserve">CARBON OUTCOMES</t>
  </si>
  <si>
    <t xml:space="preserve">Annual operational carbon (tCO₂e/yr)</t>
  </si>
  <si>
    <t xml:space="preserve">Lifecycle intensity (tCO₂e/SF)</t>
  </si>
  <si>
    <t xml:space="preserve">Embodied % of lifecycle</t>
  </si>
  <si>
    <t xml:space="preserve">WATER OUTCOMES</t>
  </si>
  <si>
    <t xml:space="preserve">Annual water (ML/yr)</t>
  </si>
  <si>
    <t xml:space="preserve">Lifetime water (ML)</t>
  </si>
  <si>
    <t xml:space="preserve">Water intensity (L/SF/yr)</t>
  </si>
  <si>
    <t xml:space="preserve">REFERENCE MODELS — DATA CENTER COST BENCHMARKING SOURCES</t>
  </si>
  <si>
    <t xml:space="preserve">External cost models, benchmarks, and templates used to calibrate this estimate. Refer to these when validating assumptions, sourcing unit costs, or extending the model into operating-cost / lifecycle territory.</t>
  </si>
  <si>
    <t xml:space="preserve">Coverage</t>
  </si>
  <si>
    <t xml:space="preserve">Access</t>
  </si>
  <si>
    <t xml:space="preserve">Best Used For</t>
  </si>
  <si>
    <t xml:space="preserve">Link / Reference</t>
  </si>
  <si>
    <t xml:space="preserve">RSMeans Computer Data Center Cost Model</t>
  </si>
  <si>
    <t xml:space="preserve">CSI line-item cost database</t>
  </si>
  <si>
    <t xml:space="preserve">22,500 SF baseline data center; structural, MEP, envelope by system; union &amp; open-shop labor</t>
  </si>
  <si>
    <t xml:space="preserve">Paid (30-day free trial)</t>
  </si>
  <si>
    <t xml:space="preserve">Most credible source for divisional-level construction cost benchmarking; calibrating Construction Budget unit costs</t>
  </si>
  <si>
    <t xml:space="preserve">rsmeans.com</t>
  </si>
  <si>
    <t xml:space="preserve">TechTarget Data Center Cost Calculator</t>
  </si>
  <si>
    <t xml:space="preserve">Downloadable Excel — CapEx + OpEx</t>
  </si>
  <si>
    <t xml:space="preserve">Install year + 8 years operations: land, utilities, hall buildout, cooling, security, depreciation</t>
  </si>
  <si>
    <t xml:space="preserve">Free download</t>
  </si>
  <si>
    <t xml:space="preserve">Lifecycle TCO framing; what to include in OpEx beyond pure construction</t>
  </si>
  <si>
    <t xml:space="preserve">techtarget.com</t>
  </si>
  <si>
    <t xml:space="preserve">Adventures in CRE — Data Center Development Model</t>
  </si>
  <si>
    <t xml:space="preserve">Excel — Development pro forma</t>
  </si>
  <si>
    <t xml:space="preserve">Draw schedule, construction phasing, tenant absorption, operating cash flow, refi/exit valuation; PUE-linked utility modeling</t>
  </si>
  <si>
    <t xml:space="preserve">Free / paid tiers</t>
  </si>
  <si>
    <t xml:space="preserve">Bridging project controls to CRE finance; structuring construction &amp; mezz loan draws; refi scenarios. Updated April 2026.</t>
  </si>
  <si>
    <t xml:space="preserve">adventuresincre.com</t>
  </si>
  <si>
    <t xml:space="preserve">Scribd Data Center Facility Budget Tool</t>
  </si>
  <si>
    <t xml:space="preserve">Excel template</t>
  </si>
  <si>
    <t xml:space="preserve">1,000 SF facility, 8-year capex + opex, building/site/systems</t>
  </si>
  <si>
    <t xml:space="preserve">Free (Scribd account)</t>
  </si>
  <si>
    <t xml:space="preserve">Quick reference for small-facility cost structure; not directly applicable at hyperscale but useful for sanity-checking line-item ratios</t>
  </si>
  <si>
    <t xml:space="preserve">scribd.com</t>
  </si>
  <si>
    <t xml:space="preserve">HP Labs Data Center Cost Model (Patel &amp; Shah)</t>
  </si>
  <si>
    <t xml:space="preserve">Academic — parametric formulas</t>
  </si>
  <si>
    <t xml:space="preserve">Space, power, cooling cost as functions of redundancy, PUE, occupancy ratio</t>
  </si>
  <si>
    <t xml:space="preserve">Free (ResearchGate)</t>
  </si>
  <si>
    <t xml:space="preserve">Operational TCO framework; understanding cost drivers and sensitivities; not a ready-to-use template</t>
  </si>
  <si>
    <t xml:space="preserve">researchgate.net</t>
  </si>
  <si>
    <t xml:space="preserve">Smartsheet / ProjectManager.com Construction Estimate Templates</t>
  </si>
  <si>
    <t xml:space="preserve">Generic construction templates</t>
  </si>
  <si>
    <t xml:space="preserve">Pre-con / construction / post-con phases; labor + material breakdowns</t>
  </si>
  <si>
    <t xml:space="preserve">Free</t>
  </si>
  <si>
    <t xml:space="preserve">Schedule / phase template structure; not data-center specific but adaptable</t>
  </si>
  <si>
    <t xml:space="preserve">smartsheet.com / projectmanager.com</t>
  </si>
  <si>
    <t xml:space="preserve">RECOMMENDED USE FOR THIS PROJECT</t>
  </si>
  <si>
    <t xml:space="preserve">• RSMeans — anchor unit prices on Construction Budget when refining estimate from Class 3 (DD) toward Class 2 (CD).</t>
  </si>
  <si>
    <t xml:space="preserve">• A.CRE model — reference structure for Draw Schedule tab; calibrate construction phasing curves and integrate with project finance.</t>
  </si>
  <si>
    <t xml:space="preserve">• TechTarget + HP Labs — reference structure for TCO 8-Year tab; PUE / utility / maintenance assumptions.</t>
  </si>
  <si>
    <t xml:space="preserve">• Benchmark Library tab in this workbook holds 10 comparable Tier III hyperscale projects; use that for $/SF and $/MW comps before going external.</t>
  </si>
  <si>
    <t xml:space="preserve">Estimate ($M)</t>
  </si>
  <si>
    <t xml:space="preserve">Amount ($M)</t>
  </si>
  <si>
    <t xml:space="preserve">Dashboard chart data (relocated) — do not edit</t>
  </si>
  <si>
    <t xml:space="preserve">Completion</t>
  </si>
  <si>
    <t xml:space="preserve">Concept</t>
  </si>
  <si>
    <t xml:space="preserve">All other trades</t>
  </si>
  <si>
    <t xml:space="preserve">DD</t>
  </si>
  <si>
    <t xml:space="preserve">CD</t>
  </si>
  <si>
    <t xml:space="preserve">Commissioning Complete</t>
  </si>
  <si>
    <t xml:space="preserve">GMP</t>
  </si>
  <si>
    <t xml:space="preserve">Awarded</t>
  </si>
  <si>
    <t xml:space="preserve">All Equipment On Site</t>
  </si>
  <si>
    <t xml:space="preserve">Communications / IT</t>
  </si>
  <si>
    <t xml:space="preserve">Long-Lead Release (PO)</t>
  </si>
  <si>
    <t xml:space="preserve">Lowest comparable</t>
  </si>
  <si>
    <t xml:space="preserve">Industry median</t>
  </si>
  <si>
    <t xml:space="preserve">Highest comparable</t>
  </si>
  <si>
    <t xml:space="preserve">This project</t>
  </si>
  <si>
    <t xml:space="preserve">Current (Base)</t>
  </si>
  <si>
    <t xml:space="preserve">Construction</t>
  </si>
  <si>
    <t xml:space="preserve">Land</t>
  </si>
  <si>
    <t xml:space="preserve">Utility interconnect</t>
  </si>
  <si>
    <t xml:space="preserve">Owner PM &amp; soft costs</t>
  </si>
  <si>
    <t xml:space="preserve">PHASED BUILD-OUT CHART SOURCE — do not edit</t>
  </si>
  <si>
    <t xml:space="preserve">Cumulative capex ($B)</t>
  </si>
  <si>
    <t xml:space="preserve">Blended $/MW ($M)</t>
  </si>
</sst>
</file>

<file path=xl/styles.xml><?xml version="1.0" encoding="utf-8"?>
<styleSheet xmlns="http://schemas.openxmlformats.org/spreadsheetml/2006/main">
  <numFmts count="78">
    <numFmt numFmtId="164" formatCode="General"/>
    <numFmt numFmtId="165" formatCode="\$#,##0,,\M"/>
    <numFmt numFmtId="166" formatCode="\$#,##0"/>
    <numFmt numFmtId="167" formatCode="0.0%"/>
    <numFmt numFmtId="168" formatCode="0.00\x"/>
    <numFmt numFmtId="169" formatCode="\$#,##0;&quot;($&quot;#,##0\);\—"/>
    <numFmt numFmtId="170" formatCode="\$0.00,,\M"/>
    <numFmt numFmtId="171" formatCode="0.0"/>
    <numFmt numFmtId="172" formatCode="\$#,##0.0"/>
    <numFmt numFmtId="173" formatCode="\$0.0,,\M"/>
    <numFmt numFmtId="174" formatCode="\+0.0%;[RED]\-0.0%"/>
    <numFmt numFmtId="175" formatCode="#,##0"/>
    <numFmt numFmtId="176" formatCode="\$#,##0\M"/>
    <numFmt numFmtId="177" formatCode="0%"/>
    <numFmt numFmtId="178" formatCode="\+#,##0;\-#,##0"/>
    <numFmt numFmtId="179" formatCode="mmm\-yy"/>
    <numFmt numFmtId="180" formatCode="\$0.0\B"/>
    <numFmt numFmtId="181" formatCode="\$0\M"/>
    <numFmt numFmtId="182" formatCode="General"/>
    <numFmt numFmtId="183" formatCode="\$#,##0.0,,\M"/>
    <numFmt numFmtId="184" formatCode="\$#,##0,,\M;&quot;($&quot;#,##0,,&quot;M)&quot;;\—"/>
    <numFmt numFmtId="185" formatCode="0.0%;\(0.0%\);\—"/>
    <numFmt numFmtId="186" formatCode="\$#,##0.0,,\M;&quot;($&quot;#,##0.0,,&quot;M)&quot;"/>
    <numFmt numFmtId="187" formatCode="0.00"/>
    <numFmt numFmtId="188" formatCode="#,##0.0"/>
    <numFmt numFmtId="189" formatCode="mm/dd/yyyy"/>
    <numFmt numFmtId="190" formatCode="mmm\ d&quot;, &quot;yyyy"/>
    <numFmt numFmtId="191" formatCode="\$#,##0.00;&quot;($&quot;#,##0.00\);\—"/>
    <numFmt numFmtId="192" formatCode="@"/>
    <numFmt numFmtId="193" formatCode="\$#,##0.00"/>
    <numFmt numFmtId="194" formatCode="mmmm\ d&quot;, &quot;yyyy"/>
    <numFmt numFmtId="195" formatCode="#,##0;\(#,##0\);\—"/>
    <numFmt numFmtId="196" formatCode="0.0;\(0.0\);\—"/>
    <numFmt numFmtId="197" formatCode="\$0.00"/>
    <numFmt numFmtId="198" formatCode="\$#,##0;&quot;($&quot;#,##0\);\-"/>
    <numFmt numFmtId="199" formatCode="\+0.0%;\-0.0%;0.0%"/>
    <numFmt numFmtId="200" formatCode="0"/>
    <numFmt numFmtId="201" formatCode="\✓;\✓;\–"/>
    <numFmt numFmtId="202" formatCode="\$0.00;&quot;($&quot;0.00\);\—"/>
    <numFmt numFmtId="203" formatCode="\+0.0%;\-0.0%;\—"/>
    <numFmt numFmtId="204" formatCode="0&quot; mo&quot;"/>
    <numFmt numFmtId="205" formatCode="0.0\x"/>
    <numFmt numFmtId="206" formatCode="0.00%"/>
    <numFmt numFmtId="207" formatCode="0.0;[RED]0.0"/>
    <numFmt numFmtId="208" formatCode="0.0&quot; MW&quot;"/>
    <numFmt numFmtId="209" formatCode="dddd&quot;, &quot;mmmm\ d&quot;, &quot;yyyy"/>
    <numFmt numFmtId="210" formatCode="\+0.0%;\(0.0%\);\—"/>
    <numFmt numFmtId="211" formatCode="\$#,##0,,\M;;\—"/>
    <numFmt numFmtId="212" formatCode="\+0.0%;\(0.0%\);0.0%"/>
    <numFmt numFmtId="213" formatCode="0&quot; MW&quot;"/>
    <numFmt numFmtId="214" formatCode="mm/dd/yy"/>
    <numFmt numFmtId="215" formatCode="#,##0;[RED]\-#,##0"/>
    <numFmt numFmtId="216" formatCode="0;[RED]\-0;\–"/>
    <numFmt numFmtId="217" formatCode="0;[RED]\-0"/>
    <numFmt numFmtId="218" formatCode="#,##0&quot; days&quot;"/>
    <numFmt numFmtId="219" formatCode="0.0%;\(0.0%\);\-"/>
    <numFmt numFmtId="220" formatCode="0.00E+00"/>
    <numFmt numFmtId="221" formatCode="#,##0.0&quot; MW&quot;"/>
    <numFmt numFmtId="222" formatCode="#,##0&quot; SF&quot;"/>
    <numFmt numFmtId="223" formatCode="#,##0&quot; racks&quot;"/>
    <numFmt numFmtId="224" formatCode="#,##0&quot; bps&quot;"/>
    <numFmt numFmtId="225" formatCode="0&quot; yr&quot;"/>
    <numFmt numFmtId="226" formatCode="\+#,##0&quot; bps&quot;;\(#,##0&quot;) bps&quot;;0&quot; bps&quot;"/>
    <numFmt numFmtId="227" formatCode="0.0&quot; yrs&quot;"/>
    <numFmt numFmtId="228" formatCode="\$0.0000"/>
    <numFmt numFmtId="229" formatCode="&quot;Year &quot;0&quot; (CapEx)&quot;"/>
    <numFmt numFmtId="230" formatCode="&quot;Year &quot;0"/>
    <numFmt numFmtId="231" formatCode="#,##0\M"/>
    <numFmt numFmtId="232" formatCode="0.000"/>
    <numFmt numFmtId="233" formatCode="d\-mmm"/>
    <numFmt numFmtId="234" formatCode="\$#,##0.0,,;&quot;($&quot;#,##0.0,,\);&quot;&quot;"/>
    <numFmt numFmtId="235" formatCode="#,##0.0,,;\(#,##0.0,,\);&quot;&quot;"/>
    <numFmt numFmtId="236" formatCode="\$#,##0.0,,"/>
    <numFmt numFmtId="237" formatCode="#,##0.0,,"/>
    <numFmt numFmtId="238" formatCode="#,##0&quot; tCO₂e&quot;"/>
    <numFmt numFmtId="239" formatCode="#,##0&quot; m³&quot;"/>
    <numFmt numFmtId="240" formatCode="#,##0&quot; ML&quot;"/>
    <numFmt numFmtId="241" formatCode="#,##0,\k"/>
  </numFmts>
  <fonts count="194">
    <font>
      <sz val="11"/>
      <color theme="1"/>
      <name val="Aptos Narrow"/>
      <family val="2"/>
      <charset val="1"/>
    </font>
    <font>
      <sz val="10"/>
      <name val="Arial"/>
      <family val="0"/>
    </font>
    <font>
      <sz val="10"/>
      <name val="Arial"/>
      <family val="0"/>
    </font>
    <font>
      <sz val="10"/>
      <name val="Arial"/>
      <family val="0"/>
    </font>
    <font>
      <b val="true"/>
      <sz val="20"/>
      <color rgb="FFFFFFFF"/>
      <name val="Aptos Narrow"/>
      <family val="2"/>
      <charset val="1"/>
    </font>
    <font>
      <i val="true"/>
      <sz val="9"/>
      <color rgb="FF808080"/>
      <name val="Aptos Narrow"/>
      <family val="2"/>
      <charset val="1"/>
    </font>
    <font>
      <b val="true"/>
      <sz val="9"/>
      <color rgb="FFC9A961"/>
      <name val="Aptos Narrow"/>
      <family val="2"/>
      <charset val="1"/>
    </font>
    <font>
      <b val="true"/>
      <sz val="16"/>
      <color rgb="FF0E2A3A"/>
      <name val="Aptos Narrow"/>
      <family val="2"/>
      <charset val="1"/>
    </font>
    <font>
      <b val="true"/>
      <sz val="13"/>
      <color rgb="FF0E2A3A"/>
      <name val="Aptos Narrow"/>
      <family val="2"/>
      <charset val="1"/>
    </font>
    <font>
      <b val="true"/>
      <sz val="11"/>
      <color rgb="FFFFFFFF"/>
      <name val="Aptos Narrow"/>
      <family val="2"/>
      <charset val="1"/>
    </font>
    <font>
      <b val="true"/>
      <u val="single"/>
      <sz val="10"/>
      <color rgb="FF0563C1"/>
      <name val="Aptos Narrow"/>
      <family val="2"/>
      <charset val="1"/>
    </font>
    <font>
      <sz val="10"/>
      <name val="Aptos Narrow"/>
      <family val="2"/>
      <charset val="1"/>
    </font>
    <font>
      <b val="true"/>
      <sz val="10"/>
      <name val="Aptos Narrow"/>
      <family val="2"/>
      <charset val="1"/>
    </font>
    <font>
      <b val="true"/>
      <i val="true"/>
      <sz val="9"/>
      <color rgb="FF808080"/>
      <name val="Aptos Narrow"/>
      <family val="2"/>
      <charset val="1"/>
    </font>
    <font>
      <b val="true"/>
      <sz val="11"/>
      <color rgb="FF0E2A3A"/>
      <name val="Aptos Narrow"/>
      <family val="2"/>
      <charset val="1"/>
    </font>
    <font>
      <sz val="9"/>
      <name val="Aptos Narrow"/>
      <family val="2"/>
      <charset val="1"/>
    </font>
    <font>
      <b val="true"/>
      <sz val="32"/>
      <color rgb="FF0E2A3A"/>
      <name val="Aptos Narrow"/>
      <family val="2"/>
      <charset val="1"/>
    </font>
    <font>
      <sz val="11"/>
      <color rgb="FF7A6A3A"/>
      <name val="Aptos Narrow"/>
      <family val="2"/>
      <charset val="1"/>
    </font>
    <font>
      <b val="true"/>
      <sz val="12"/>
      <color rgb="FFFFFFFF"/>
      <name val="Aptos Narrow"/>
      <family val="2"/>
      <charset val="1"/>
    </font>
    <font>
      <b val="true"/>
      <sz val="9"/>
      <color rgb="FF9A9A9A"/>
      <name val="Aptos Narrow"/>
      <family val="2"/>
      <charset val="1"/>
    </font>
    <font>
      <b val="true"/>
      <sz val="24"/>
      <color rgb="FF0E2A3A"/>
      <name val="Aptos Narrow"/>
      <family val="2"/>
      <charset val="1"/>
    </font>
    <font>
      <i val="true"/>
      <sz val="9"/>
      <color rgb="FF6B7280"/>
      <name val="Aptos Narrow"/>
      <family val="2"/>
      <charset val="1"/>
    </font>
    <font>
      <b val="true"/>
      <sz val="36"/>
      <color rgb="FF0E2A3A"/>
      <name val="Aptos Narrow"/>
      <family val="2"/>
      <charset val="1"/>
    </font>
    <font>
      <i val="true"/>
      <sz val="9"/>
      <color rgb="FF5A5A5A"/>
      <name val="Aptos Narrow"/>
      <family val="2"/>
      <charset val="1"/>
    </font>
    <font>
      <b val="true"/>
      <sz val="14"/>
      <color rgb="FF0E2A3A"/>
      <name val="Aptos Narrow"/>
      <family val="2"/>
      <charset val="1"/>
    </font>
    <font>
      <b val="true"/>
      <sz val="10"/>
      <color rgb="FFFFFFFF"/>
      <name val="Aptos Narrow"/>
      <family val="2"/>
      <charset val="1"/>
    </font>
    <font>
      <b val="true"/>
      <sz val="10"/>
      <color rgb="FF0E2A3A"/>
      <name val="Aptos Narrow"/>
      <family val="2"/>
      <charset val="1"/>
    </font>
    <font>
      <sz val="10"/>
      <color rgb="FF0E2A3A"/>
      <name val="Aptos Narrow"/>
      <family val="2"/>
      <charset val="1"/>
    </font>
    <font>
      <sz val="10"/>
      <color rgb="FF333333"/>
      <name val="Aptos Narrow"/>
      <family val="2"/>
      <charset val="1"/>
    </font>
    <font>
      <b val="true"/>
      <sz val="10"/>
      <color rgb="FF333333"/>
      <name val="Aptos Narrow"/>
      <family val="2"/>
      <charset val="1"/>
    </font>
    <font>
      <b val="true"/>
      <sz val="10"/>
      <color rgb="FF444444"/>
      <name val="Aptos Narrow"/>
      <family val="2"/>
      <charset val="1"/>
    </font>
    <font>
      <b val="true"/>
      <sz val="28"/>
      <color rgb="FF0E2A3A"/>
      <name val="Aptos Narrow"/>
      <family val="2"/>
      <charset val="1"/>
    </font>
    <font>
      <i val="true"/>
      <sz val="10"/>
      <color rgb="FF9CA3AF"/>
      <name val="Aptos Narrow"/>
      <family val="2"/>
      <charset val="1"/>
    </font>
    <font>
      <b val="true"/>
      <sz val="16"/>
      <color rgb="FF5A5A5A"/>
      <name val="Aptos Narrow"/>
      <family val="2"/>
      <charset val="1"/>
    </font>
    <font>
      <sz val="11"/>
      <color rgb="FF000000"/>
      <name val="Aptos Narrow"/>
      <family val="2"/>
      <charset val="1"/>
    </font>
    <font>
      <i val="true"/>
      <sz val="9"/>
      <color rgb="FF7A7A7A"/>
      <name val="Aptos Narrow"/>
      <family val="2"/>
      <charset val="1"/>
    </font>
    <font>
      <b val="true"/>
      <sz val="18"/>
      <color rgb="FF0E2A3A"/>
      <name val="Aptos Narrow"/>
      <family val="2"/>
      <charset val="1"/>
    </font>
    <font>
      <sz val="10"/>
      <color rgb="FF5A5A5A"/>
      <name val="Aptos Narrow"/>
      <family val="2"/>
      <charset val="1"/>
    </font>
    <font>
      <sz val="10"/>
      <name val="Arial"/>
      <family val="2"/>
    </font>
    <font>
      <b val="true"/>
      <sz val="12"/>
      <color rgb="FF0E2A3A"/>
      <name val="Aptos Narrow"/>
      <family val="2"/>
    </font>
    <font>
      <b val="true"/>
      <sz val="9"/>
      <color rgb="FF0E2A3A"/>
      <name val="Aptos Narrow"/>
      <family val="2"/>
    </font>
    <font>
      <sz val="9"/>
      <color rgb="FF666666"/>
      <name val="Aptos Narrow"/>
      <family val="2"/>
    </font>
    <font>
      <b val="true"/>
      <sz val="8"/>
      <color rgb="FF0E2A3A"/>
      <name val="Aptos Narrow"/>
      <family val="2"/>
    </font>
    <font>
      <sz val="10"/>
      <color rgb="FF000000"/>
      <name val="Aptos Narrow"/>
      <family val="2"/>
    </font>
    <font>
      <b val="true"/>
      <sz val="18"/>
      <color rgb="FF000000"/>
      <name val="Aptos Narrow"/>
      <family val="2"/>
    </font>
    <font>
      <b val="true"/>
      <sz val="10"/>
      <color rgb="FF000000"/>
      <name val="Aptos Narrow"/>
      <family val="2"/>
    </font>
    <font>
      <b val="true"/>
      <sz val="8"/>
      <color rgb="FF000000"/>
      <name val="Arial"/>
      <family val="2"/>
    </font>
    <font>
      <sz val="14"/>
      <color rgb="FF595959"/>
      <name val="Aptos Narrow"/>
      <family val="2"/>
    </font>
    <font>
      <b val="true"/>
      <sz val="8"/>
      <color rgb="FF404040"/>
      <name val="Aptos Narrow"/>
      <family val="2"/>
    </font>
    <font>
      <sz val="9"/>
      <color rgb="FF595959"/>
      <name val="Aptos Narrow"/>
      <family val="2"/>
    </font>
    <font>
      <b val="true"/>
      <sz val="12"/>
      <color rgb="FF1B3A4B"/>
      <name val="Aptos Narrow"/>
      <family val="2"/>
    </font>
    <font>
      <sz val="8"/>
      <color rgb="FF1B3A4B"/>
      <name val="Aptos Narrow"/>
      <family val="2"/>
    </font>
    <font>
      <sz val="8"/>
      <color rgb="FF595959"/>
      <name val="Aptos Narrow"/>
      <family val="2"/>
    </font>
    <font>
      <b val="true"/>
      <sz val="11"/>
      <color rgb="FF0E2A3A"/>
      <name val="Aptos Narrow"/>
      <family val="2"/>
    </font>
    <font>
      <b val="true"/>
      <sz val="18"/>
      <color rgb="FFFFFFFF"/>
      <name val="Aptos Narrow"/>
      <family val="2"/>
      <charset val="1"/>
    </font>
    <font>
      <b val="true"/>
      <sz val="11"/>
      <color rgb="FF000000"/>
      <name val="Aptos Narrow"/>
      <family val="2"/>
      <charset val="1"/>
    </font>
    <font>
      <b val="true"/>
      <sz val="11"/>
      <color rgb="FF0000FF"/>
      <name val="Aptos Narrow"/>
      <family val="2"/>
      <charset val="1"/>
    </font>
    <font>
      <b val="true"/>
      <sz val="10"/>
      <color rgb="FF1B3A4B"/>
      <name val="Aptos Narrow"/>
      <family val="2"/>
      <charset val="1"/>
    </font>
    <font>
      <b val="true"/>
      <sz val="11"/>
      <color rgb="FF1B3A4B"/>
      <name val="Aptos Narrow"/>
      <family val="2"/>
      <charset val="1"/>
    </font>
    <font>
      <b val="true"/>
      <sz val="9"/>
      <name val="Aptos Narrow"/>
      <family val="2"/>
      <charset val="1"/>
    </font>
    <font>
      <b val="true"/>
      <sz val="9"/>
      <color rgb="FF1B3A4B"/>
      <name val="Aptos Narrow"/>
      <family val="2"/>
      <charset val="1"/>
    </font>
    <font>
      <i val="true"/>
      <sz val="9"/>
      <color rgb="FF666666"/>
      <name val="Arial"/>
      <family val="0"/>
      <charset val="1"/>
    </font>
    <font>
      <sz val="11"/>
      <color rgb="FF0000FF"/>
      <name val="Arial"/>
      <family val="0"/>
      <charset val="1"/>
    </font>
    <font>
      <sz val="11"/>
      <name val="Arial"/>
      <family val="0"/>
      <charset val="1"/>
    </font>
    <font>
      <i val="true"/>
      <sz val="11"/>
      <color theme="1"/>
      <name val="Aptos Narrow"/>
      <family val="2"/>
      <charset val="1"/>
    </font>
    <font>
      <i val="true"/>
      <sz val="8"/>
      <color rgb="FF2E7D86"/>
      <name val="Aptos Narrow"/>
      <family val="2"/>
      <charset val="1"/>
    </font>
    <font>
      <b val="true"/>
      <sz val="11"/>
      <name val="Aptos Narrow"/>
      <family val="2"/>
      <charset val="1"/>
    </font>
    <font>
      <i val="true"/>
      <sz val="10"/>
      <color rgb="FF1B3A4B"/>
      <name val="Aptos Narrow"/>
      <family val="2"/>
      <charset val="1"/>
    </font>
    <font>
      <sz val="10"/>
      <color rgb="FF1B3A4B"/>
      <name val="Aptos Narrow"/>
      <family val="2"/>
      <charset val="1"/>
    </font>
    <font>
      <sz val="11"/>
      <color rgb="FF1B3A4B"/>
      <name val="Aptos Narrow"/>
      <family val="2"/>
      <charset val="1"/>
    </font>
    <font>
      <b val="true"/>
      <sz val="11"/>
      <color theme="1"/>
      <name val="Aptos Narrow"/>
      <family val="2"/>
      <charset val="1"/>
    </font>
    <font>
      <sz val="10"/>
      <color theme="1"/>
      <name val="Aptos Narrow"/>
      <family val="2"/>
      <charset val="1"/>
    </font>
    <font>
      <sz val="10"/>
      <color rgb="FF1E8449"/>
      <name val="Aptos Narrow"/>
      <family val="2"/>
      <charset val="1"/>
    </font>
    <font>
      <sz val="11"/>
      <color rgb="FF0000FF"/>
      <name val="Aptos Narrow"/>
      <family val="2"/>
      <charset val="1"/>
    </font>
    <font>
      <sz val="11"/>
      <color rgb="FF0000FF"/>
      <name val="Aptos Narrow"/>
      <family val="1"/>
      <charset val="1"/>
    </font>
    <font>
      <b val="true"/>
      <sz val="11"/>
      <color rgb="FF008000"/>
      <name val="Aptos Narrow"/>
      <family val="2"/>
      <charset val="1"/>
    </font>
    <font>
      <b val="true"/>
      <sz val="12"/>
      <color theme="1"/>
      <name val="Aptos Narrow"/>
      <family val="2"/>
      <charset val="1"/>
    </font>
    <font>
      <i val="true"/>
      <sz val="11"/>
      <color rgb="FF888888"/>
      <name val="Aptos Narrow"/>
      <family val="2"/>
      <charset val="1"/>
    </font>
    <font>
      <b val="true"/>
      <sz val="14"/>
      <color rgb="FFFFFFFF"/>
      <name val="Aptos Narrow"/>
      <family val="2"/>
      <charset val="1"/>
    </font>
    <font>
      <sz val="11"/>
      <color rgb="FF008000"/>
      <name val="Aptos Narrow"/>
      <family val="2"/>
      <charset val="1"/>
    </font>
    <font>
      <sz val="18"/>
      <color rgb="FFFFFFFF"/>
      <name val="Aptos Narrow"/>
      <family val="2"/>
      <charset val="1"/>
    </font>
    <font>
      <sz val="12"/>
      <color rgb="FFFFFFFF"/>
      <name val="Aptos Narrow"/>
      <family val="2"/>
      <charset val="1"/>
    </font>
    <font>
      <sz val="11"/>
      <color rgb="FFFFFFFF"/>
      <name val="Aptos Narrow"/>
      <family val="2"/>
      <charset val="1"/>
    </font>
    <font>
      <sz val="10"/>
      <color rgb="FF666666"/>
      <name val="Aptos Narrow"/>
      <family val="2"/>
      <charset val="1"/>
    </font>
    <font>
      <i val="true"/>
      <sz val="9"/>
      <color rgb="FF9CA3AF"/>
      <name val="Aptos Narrow"/>
      <family val="2"/>
      <charset val="1"/>
    </font>
    <font>
      <b val="true"/>
      <sz val="11"/>
      <color rgb="FF595959"/>
      <name val="Aptos Narrow"/>
      <family val="2"/>
    </font>
    <font>
      <b val="true"/>
      <sz val="10"/>
      <color rgb="FFFFFFFF"/>
      <name val="Aptos Narrow"/>
      <family val="2"/>
    </font>
    <font>
      <sz val="11"/>
      <color rgb="FF666666"/>
      <name val="Aptos Narrow"/>
      <family val="2"/>
      <charset val="1"/>
    </font>
    <font>
      <sz val="8"/>
      <color rgb="FF404040"/>
      <name val="Aptos Narrow"/>
      <family val="2"/>
    </font>
    <font>
      <b val="true"/>
      <sz val="13"/>
      <color rgb="FFFFFFFF"/>
      <name val="Aptos Narrow"/>
      <family val="2"/>
      <charset val="1"/>
    </font>
    <font>
      <i val="true"/>
      <sz val="10"/>
      <color rgb="FF666666"/>
      <name val="Aptos Narrow"/>
      <family val="2"/>
      <charset val="1"/>
    </font>
    <font>
      <b val="true"/>
      <sz val="10"/>
      <color rgb="FF000000"/>
      <name val="Aptos Narrow"/>
      <family val="2"/>
      <charset val="1"/>
    </font>
    <font>
      <b val="true"/>
      <sz val="10"/>
      <color theme="1"/>
      <name val="Aptos Narrow"/>
      <family val="2"/>
      <charset val="1"/>
    </font>
    <font>
      <b val="true"/>
      <i val="true"/>
      <sz val="10"/>
      <color rgb="FF666666"/>
      <name val="Aptos Narrow"/>
      <family val="2"/>
      <charset val="1"/>
    </font>
    <font>
      <sz val="10"/>
      <color rgb="FF000000"/>
      <name val="Aptos Narrow"/>
      <family val="2"/>
      <charset val="1"/>
    </font>
    <font>
      <sz val="10"/>
      <color rgb="FF0000FF"/>
      <name val="Aptos Narrow"/>
      <family val="2"/>
      <charset val="1"/>
    </font>
    <font>
      <b val="true"/>
      <sz val="11"/>
      <name val="Aptos Narrow"/>
      <family val="1"/>
      <charset val="1"/>
    </font>
    <font>
      <sz val="11"/>
      <color rgb="FF000000"/>
      <name val="Aptos Narrow"/>
      <family val="1"/>
      <charset val="1"/>
    </font>
    <font>
      <b val="true"/>
      <sz val="12"/>
      <color rgb="FF0000FF"/>
      <name val="Aptos Narrow"/>
      <family val="2"/>
      <charset val="1"/>
    </font>
    <font>
      <b val="true"/>
      <sz val="14"/>
      <color rgb="FF000000"/>
      <name val="Aptos Narrow"/>
      <family val="2"/>
      <charset val="1"/>
    </font>
    <font>
      <i val="true"/>
      <sz val="11"/>
      <color rgb="FF666666"/>
      <name val="Aptos Narrow"/>
      <family val="2"/>
      <charset val="1"/>
    </font>
    <font>
      <sz val="11"/>
      <color rgb="FF006100"/>
      <name val="Aptos Narrow"/>
      <family val="2"/>
      <charset val="1"/>
    </font>
    <font>
      <sz val="11"/>
      <color rgb="FF9C6500"/>
      <name val="Aptos Narrow"/>
      <family val="2"/>
      <charset val="1"/>
    </font>
    <font>
      <sz val="11"/>
      <name val="Aptos Narrow"/>
      <family val="2"/>
      <charset val="1"/>
    </font>
    <font>
      <sz val="11"/>
      <color rgb="FF375623"/>
      <name val="Aptos Narrow"/>
      <family val="2"/>
      <charset val="1"/>
    </font>
    <font>
      <sz val="11"/>
      <color rgb="FF833C00"/>
      <name val="Aptos Narrow"/>
      <family val="2"/>
      <charset val="1"/>
    </font>
    <font>
      <sz val="11"/>
      <color rgb="FF721C24"/>
      <name val="Aptos Narrow"/>
      <family val="2"/>
      <charset val="1"/>
    </font>
    <font>
      <sz val="11"/>
      <color rgb="FF856404"/>
      <name val="Aptos Narrow"/>
      <family val="2"/>
      <charset val="1"/>
    </font>
    <font>
      <b val="true"/>
      <sz val="12"/>
      <color rgb="FF1B3A4B"/>
      <name val="Aptos Narrow"/>
      <family val="2"/>
      <charset val="1"/>
    </font>
    <font>
      <i val="true"/>
      <sz val="9"/>
      <color rgb="FF666666"/>
      <name val="Aptos Narrow"/>
      <family val="2"/>
      <charset val="1"/>
    </font>
    <font>
      <b val="true"/>
      <sz val="9"/>
      <color rgb="FFFFFFFF"/>
      <name val="Aptos Narrow"/>
      <family val="2"/>
      <charset val="1"/>
    </font>
    <font>
      <b val="true"/>
      <sz val="40"/>
      <color rgb="FF1B3A4B"/>
      <name val="Aptos Narrow"/>
      <family val="2"/>
      <charset val="1"/>
    </font>
    <font>
      <b val="true"/>
      <sz val="16"/>
      <color rgb="FFC00000"/>
      <name val="Aptos Narrow"/>
      <family val="2"/>
      <charset val="1"/>
    </font>
    <font>
      <b val="true"/>
      <sz val="18"/>
      <color rgb="FF000000"/>
      <name val="Aptos Narrow"/>
      <family val="2"/>
      <charset val="1"/>
    </font>
    <font>
      <sz val="12"/>
      <color rgb="FF666666"/>
      <name val="Aptos Narrow"/>
      <family val="2"/>
      <charset val="1"/>
    </font>
    <font>
      <b val="true"/>
      <sz val="18"/>
      <color rgb="FF1B3A4B"/>
      <name val="Aptos Narrow"/>
      <family val="2"/>
      <charset val="1"/>
    </font>
    <font>
      <b val="true"/>
      <sz val="12"/>
      <color rgb="FF000000"/>
      <name val="Aptos Narrow"/>
      <family val="2"/>
      <charset val="1"/>
    </font>
    <font>
      <sz val="10"/>
      <color rgb="FF008000"/>
      <name val="Aptos Narrow"/>
      <family val="2"/>
      <charset val="1"/>
    </font>
    <font>
      <b val="true"/>
      <i val="true"/>
      <sz val="9"/>
      <color rgb="FF666666"/>
      <name val="Aptos Narrow"/>
      <family val="2"/>
      <charset val="1"/>
    </font>
    <font>
      <i val="true"/>
      <sz val="10"/>
      <color rgb="FF555555"/>
      <name val="Aptos Narrow"/>
      <family val="2"/>
      <charset val="1"/>
    </font>
    <font>
      <b val="true"/>
      <sz val="12"/>
      <color rgb="FF2E7D32"/>
      <name val="Aptos Narrow"/>
      <family val="2"/>
      <charset val="1"/>
    </font>
    <font>
      <sz val="9"/>
      <color rgb="FF555555"/>
      <name val="Aptos Narrow"/>
      <family val="2"/>
      <charset val="1"/>
    </font>
    <font>
      <sz val="9"/>
      <color rgb="FF0000FF"/>
      <name val="Aptos Narrow"/>
      <family val="2"/>
      <charset val="1"/>
    </font>
    <font>
      <b val="true"/>
      <sz val="11"/>
      <color rgb="FF2E7D32"/>
      <name val="Aptos Narrow"/>
      <family val="2"/>
      <charset val="1"/>
    </font>
    <font>
      <b val="true"/>
      <sz val="10"/>
      <color rgb="FF0000FF"/>
      <name val="Aptos Narrow"/>
      <family val="2"/>
      <charset val="1"/>
    </font>
    <font>
      <sz val="11"/>
      <color rgb="FF7F7F7F"/>
      <name val="Aptos Narrow"/>
      <family val="2"/>
      <charset val="1"/>
    </font>
    <font>
      <i val="true"/>
      <sz val="9"/>
      <color rgb="FF7F7F7F"/>
      <name val="Aptos Narrow"/>
      <family val="2"/>
      <charset val="1"/>
    </font>
    <font>
      <sz val="10.8"/>
      <color rgb="FF595959"/>
      <name val="Aptos Narrow"/>
      <family val="2"/>
    </font>
    <font>
      <sz val="9"/>
      <color rgb="FF808080"/>
      <name val="Aptos Narrow"/>
      <family val="2"/>
      <charset val="1"/>
    </font>
    <font>
      <sz val="9"/>
      <color rgb="FF000000"/>
      <name val="Aptos Narrow"/>
      <family val="2"/>
      <charset val="1"/>
    </font>
    <font>
      <b val="true"/>
      <sz val="16"/>
      <color rgb="FFFFFFFF"/>
      <name val="Aptos Narrow"/>
      <family val="2"/>
      <charset val="1"/>
    </font>
    <font>
      <sz val="9"/>
      <color theme="1"/>
      <name val="Aptos Narrow"/>
      <family val="2"/>
      <charset val="1"/>
    </font>
    <font>
      <b val="true"/>
      <sz val="9"/>
      <color theme="1"/>
      <name val="Aptos Narrow"/>
      <family val="2"/>
      <charset val="1"/>
    </font>
    <font>
      <sz val="9"/>
      <color rgb="FF008000"/>
      <name val="Aptos Narrow"/>
      <family val="2"/>
      <charset val="1"/>
    </font>
    <font>
      <b val="true"/>
      <sz val="9"/>
      <color rgb="FF000000"/>
      <name val="Aptos Narrow"/>
      <family val="2"/>
      <charset val="1"/>
    </font>
    <font>
      <b val="true"/>
      <sz val="9"/>
      <color rgb="FFC00000"/>
      <name val="Aptos Narrow"/>
      <family val="2"/>
      <charset val="1"/>
    </font>
    <font>
      <i val="true"/>
      <sz val="9"/>
      <color theme="1"/>
      <name val="Aptos Narrow"/>
      <family val="2"/>
      <charset val="1"/>
    </font>
    <font>
      <b val="true"/>
      <sz val="15"/>
      <color rgb="FFFFFFFF"/>
      <name val="Aptos Narrow"/>
      <family val="2"/>
      <charset val="1"/>
    </font>
    <font>
      <b val="true"/>
      <sz val="10"/>
      <color rgb="FFC00000"/>
      <name val="Aptos Narrow"/>
      <family val="2"/>
      <charset val="1"/>
    </font>
    <font>
      <b val="true"/>
      <i val="true"/>
      <sz val="14"/>
      <color rgb="FFFFFFFF"/>
      <name val="Aptos Narrow"/>
      <family val="2"/>
      <charset val="1"/>
    </font>
    <font>
      <b val="true"/>
      <sz val="13"/>
      <color rgb="FF1B3A4B"/>
      <name val="Aptos Narrow"/>
      <family val="2"/>
    </font>
    <font>
      <i val="true"/>
      <sz val="10"/>
      <color rgb="FF6B7280"/>
      <name val="Aptos Narrow"/>
      <family val="2"/>
      <charset val="1"/>
    </font>
    <font>
      <sz val="11"/>
      <color rgb="FF9CA3AF"/>
      <name val="Aptos Narrow"/>
      <family val="2"/>
      <charset val="1"/>
    </font>
    <font>
      <b val="true"/>
      <sz val="12"/>
      <name val="Aptos Narrow"/>
      <family val="2"/>
      <charset val="1"/>
    </font>
    <font>
      <b val="true"/>
      <sz val="9"/>
      <color rgb="FFFFFFFF"/>
      <name val="Aptos Narrow"/>
      <family val="2"/>
    </font>
    <font>
      <sz val="10"/>
      <color rgb="FF6B7280"/>
      <name val="Aptos Narrow"/>
      <family val="2"/>
      <charset val="1"/>
    </font>
    <font>
      <b val="true"/>
      <sz val="13"/>
      <color rgb="FF000000"/>
      <name val="Aptos Narrow"/>
      <family val="2"/>
      <charset val="1"/>
    </font>
    <font>
      <b val="true"/>
      <sz val="13"/>
      <color rgb="FF008000"/>
      <name val="Aptos Narrow"/>
      <family val="2"/>
      <charset val="1"/>
    </font>
    <font>
      <b val="true"/>
      <i val="true"/>
      <sz val="10"/>
      <color rgb="FF6B7280"/>
      <name val="Aptos Narrow"/>
      <family val="2"/>
      <charset val="1"/>
    </font>
    <font>
      <sz val="11"/>
      <color rgb="FF595959"/>
      <name val="Aptos Narrow"/>
      <family val="2"/>
      <charset val="1"/>
    </font>
    <font>
      <b val="true"/>
      <sz val="11"/>
      <color rgb="FF375623"/>
      <name val="Aptos Narrow"/>
      <family val="2"/>
      <charset val="1"/>
    </font>
    <font>
      <b val="true"/>
      <sz val="9"/>
      <color rgb="FF1F3864"/>
      <name val="Aptos Narrow"/>
      <family val="2"/>
      <charset val="1"/>
    </font>
    <font>
      <b val="true"/>
      <sz val="9"/>
      <color rgb="FF6B7280"/>
      <name val="Aptos Narrow"/>
      <family val="2"/>
      <charset val="1"/>
    </font>
    <font>
      <i val="true"/>
      <sz val="11"/>
      <color rgb="FF6B7280"/>
      <name val="Aptos Narrow"/>
      <family val="2"/>
      <charset val="1"/>
    </font>
    <font>
      <sz val="11"/>
      <color rgb="FF6B7280"/>
      <name val="Aptos Narrow"/>
      <family val="2"/>
      <charset val="1"/>
    </font>
    <font>
      <b val="true"/>
      <sz val="10"/>
      <color rgb="FF6B7280"/>
      <name val="Aptos Narrow"/>
      <family val="2"/>
      <charset val="1"/>
    </font>
    <font>
      <i val="true"/>
      <sz val="11"/>
      <color rgb="FF000000"/>
      <name val="Aptos Narrow"/>
      <family val="2"/>
      <charset val="1"/>
    </font>
    <font>
      <b val="true"/>
      <sz val="9"/>
      <color rgb="FF404040"/>
      <name val="Aptos Narrow"/>
      <family val="2"/>
    </font>
    <font>
      <b val="true"/>
      <sz val="22"/>
      <color rgb="FFFFFFFF"/>
      <name val="Aptos Narrow"/>
      <family val="2"/>
      <charset val="1"/>
    </font>
    <font>
      <b val="true"/>
      <sz val="11"/>
      <color rgb="FF166534"/>
      <name val="Aptos Narrow"/>
      <family val="2"/>
      <charset val="1"/>
    </font>
    <font>
      <b val="true"/>
      <sz val="11"/>
      <color rgb="FF1B3A4B"/>
      <name val="Aptos Narrow"/>
      <family val="2"/>
    </font>
    <font>
      <b val="true"/>
      <sz val="10"/>
      <color rgb="FF404040"/>
      <name val="Aptos Narrow"/>
      <family val="2"/>
    </font>
    <font>
      <b val="true"/>
      <i val="true"/>
      <sz val="11"/>
      <color rgb="FF6B7280"/>
      <name val="Aptos Narrow"/>
      <family val="2"/>
      <charset val="1"/>
    </font>
    <font>
      <b val="true"/>
      <i val="true"/>
      <sz val="11"/>
      <color theme="1"/>
      <name val="Aptos Narrow"/>
      <family val="2"/>
      <charset val="1"/>
    </font>
    <font>
      <b val="true"/>
      <sz val="11"/>
      <color rgb="FF1F2937"/>
      <name val="Aptos Narrow"/>
      <family val="2"/>
      <charset val="1"/>
    </font>
    <font>
      <b val="true"/>
      <sz val="12"/>
      <color rgb="FF595959"/>
      <name val="Aptos Narrow"/>
      <family val="2"/>
    </font>
    <font>
      <sz val="10"/>
      <color rgb="FF595959"/>
      <name val="Aptos Narrow"/>
      <family val="2"/>
    </font>
    <font>
      <sz val="10"/>
      <color rgb="FFFFFFFF"/>
      <name val="Aptos Narrow"/>
      <family val="2"/>
      <charset val="1"/>
    </font>
    <font>
      <b val="true"/>
      <sz val="20"/>
      <color rgb="FF1B3A4B"/>
      <name val="Aptos Narrow"/>
      <family val="2"/>
      <charset val="1"/>
    </font>
    <font>
      <sz val="9"/>
      <color rgb="FF777777"/>
      <name val="Aptos Narrow"/>
      <family val="2"/>
      <charset val="1"/>
    </font>
    <font>
      <b val="true"/>
      <sz val="14"/>
      <color rgb="FF1B3A4B"/>
      <name val="Aptos Narrow"/>
      <family val="2"/>
      <charset val="1"/>
    </font>
    <font>
      <sz val="11"/>
      <color rgb="FF333333"/>
      <name val="Aptos Narrow"/>
      <family val="2"/>
      <charset val="1"/>
    </font>
    <font>
      <sz val="10"/>
      <color rgb="FFAAAAAA"/>
      <name val="Aptos Narrow"/>
      <family val="2"/>
      <charset val="1"/>
    </font>
    <font>
      <b val="true"/>
      <sz val="11"/>
      <color rgb="FF555555"/>
      <name val="Aptos Narrow"/>
      <family val="2"/>
      <charset val="1"/>
    </font>
    <font>
      <sz val="10"/>
      <color rgb="FF222222"/>
      <name val="Aptos Narrow"/>
      <family val="2"/>
      <charset val="1"/>
    </font>
    <font>
      <b val="true"/>
      <sz val="13"/>
      <color rgb="FF1B3A4B"/>
      <name val="Aptos Narrow"/>
      <family val="2"/>
      <charset val="1"/>
    </font>
    <font>
      <sz val="9"/>
      <color rgb="FF6B7785"/>
      <name val="Aptos Narrow"/>
      <family val="2"/>
      <charset val="1"/>
    </font>
    <font>
      <b val="true"/>
      <sz val="11"/>
      <color rgb="FF333333"/>
      <name val="Aptos Narrow"/>
      <family val="2"/>
      <charset val="1"/>
    </font>
    <font>
      <b val="true"/>
      <sz val="11"/>
      <color rgb="FF777777"/>
      <name val="Aptos Narrow"/>
      <family val="2"/>
      <charset val="1"/>
    </font>
    <font>
      <b val="true"/>
      <i val="true"/>
      <sz val="10"/>
      <color rgb="FF333333"/>
      <name val="Aptos Narrow"/>
      <family val="2"/>
      <charset val="1"/>
    </font>
    <font>
      <sz val="10"/>
      <color rgb="FF444444"/>
      <name val="Aptos Narrow"/>
      <family val="2"/>
      <charset val="1"/>
    </font>
    <font>
      <sz val="10"/>
      <color rgb="FF555555"/>
      <name val="Aptos Narrow"/>
      <family val="2"/>
      <charset val="1"/>
    </font>
    <font>
      <b val="true"/>
      <sz val="10"/>
      <color rgb="FF555555"/>
      <name val="Aptos Narrow"/>
      <family val="2"/>
      <charset val="1"/>
    </font>
    <font>
      <sz val="9"/>
      <color rgb="FF333333"/>
      <name val="Aptos Narrow"/>
      <family val="2"/>
      <charset val="1"/>
    </font>
    <font>
      <b val="true"/>
      <sz val="10"/>
      <color rgb="FF375623"/>
      <name val="Aptos Narrow"/>
      <family val="2"/>
      <charset val="1"/>
    </font>
    <font>
      <b val="true"/>
      <i val="true"/>
      <sz val="11"/>
      <color rgb="FF0000FF"/>
      <name val="Aptos Narrow"/>
      <family val="2"/>
      <charset val="1"/>
    </font>
    <font>
      <sz val="10"/>
      <color rgb="FF2E7D52"/>
      <name val="Aptos Narrow"/>
      <family val="2"/>
      <charset val="1"/>
    </font>
    <font>
      <b val="true"/>
      <sz val="10"/>
      <color rgb="FF1F4E79"/>
      <name val="Aptos Narrow"/>
      <family val="2"/>
      <charset val="1"/>
    </font>
    <font>
      <i val="true"/>
      <sz val="9"/>
      <color rgb="FF0000FF"/>
      <name val="Aptos Narrow"/>
      <family val="2"/>
      <charset val="1"/>
    </font>
    <font>
      <b val="true"/>
      <sz val="11"/>
      <color rgb="FF000000"/>
      <name val="Aptos Narrow"/>
      <family val="2"/>
    </font>
    <font>
      <sz val="10"/>
      <color rgb="FF000000"/>
      <name val="Arial"/>
      <family val="2"/>
    </font>
    <font>
      <sz val="9"/>
      <color rgb="FF404040"/>
      <name val="Aptos Narrow"/>
      <family val="2"/>
    </font>
    <font>
      <b val="true"/>
      <sz val="10"/>
      <color rgb="FF595959"/>
      <name val="Aptos Narrow"/>
      <family val="2"/>
    </font>
    <font>
      <u val="single"/>
      <sz val="11"/>
      <color rgb="FF2563EB"/>
      <name val="Aptos Narrow"/>
      <family val="2"/>
      <charset val="1"/>
    </font>
  </fonts>
  <fills count="42">
    <fill>
      <patternFill patternType="none"/>
    </fill>
    <fill>
      <patternFill patternType="gray125"/>
    </fill>
    <fill>
      <patternFill patternType="solid">
        <fgColor rgb="FF1B3A4B"/>
        <bgColor rgb="FF0E2A3A"/>
      </patternFill>
    </fill>
    <fill>
      <patternFill patternType="solid">
        <fgColor rgb="FF2275CE"/>
        <bgColor rgb="FF198C90"/>
      </patternFill>
    </fill>
    <fill>
      <patternFill patternType="solid">
        <fgColor rgb="FF0E2A3A"/>
        <bgColor rgb="FF1F2727"/>
      </patternFill>
    </fill>
    <fill>
      <patternFill patternType="solid">
        <fgColor rgb="FFFAFAF7"/>
        <bgColor rgb="FFFAFAFB"/>
      </patternFill>
    </fill>
    <fill>
      <patternFill patternType="solid">
        <fgColor rgb="FFFFFFFF"/>
        <bgColor rgb="FFFAFAFD"/>
      </patternFill>
    </fill>
    <fill>
      <patternFill patternType="solid">
        <fgColor rgb="FFCAA961"/>
        <bgColor rgb="FFB4B4B4"/>
      </patternFill>
    </fill>
    <fill>
      <patternFill patternType="solid">
        <fgColor rgb="FFEAF1F8"/>
        <bgColor rgb="FFEAF1FB"/>
      </patternFill>
    </fill>
    <fill>
      <patternFill patternType="solid">
        <fgColor rgb="FFF4F1E8"/>
        <bgColor rgb="FFF2F7EC"/>
      </patternFill>
    </fill>
    <fill>
      <patternFill patternType="solid">
        <fgColor rgb="FFE9E8E9"/>
        <bgColor rgb="FFE5E7EB"/>
      </patternFill>
    </fill>
    <fill>
      <patternFill patternType="solid">
        <fgColor rgb="FF1F2727"/>
        <bgColor rgb="FF0E2A3A"/>
      </patternFill>
    </fill>
    <fill>
      <patternFill patternType="solid">
        <fgColor rgb="FFFFF2CC"/>
        <bgColor rgb="FFFFF3CD"/>
      </patternFill>
    </fill>
    <fill>
      <patternFill patternType="solid">
        <fgColor rgb="FFD6E4F0"/>
        <bgColor rgb="FFD9E2F1"/>
      </patternFill>
    </fill>
    <fill>
      <patternFill patternType="solid">
        <fgColor rgb="FFFFEC95"/>
        <bgColor rgb="FFFFEB9C"/>
      </patternFill>
    </fill>
    <fill>
      <patternFill patternType="solid">
        <fgColor rgb="FFFFFF00"/>
        <bgColor rgb="FFFFEC95"/>
      </patternFill>
    </fill>
    <fill>
      <patternFill patternType="solid">
        <fgColor rgb="FFE2EFDA"/>
        <bgColor rgb="FFE9E8E9"/>
      </patternFill>
    </fill>
    <fill>
      <patternFill patternType="solid">
        <fgColor rgb="FFD9E2F1"/>
        <bgColor rgb="FFD6E4F0"/>
      </patternFill>
    </fill>
    <fill>
      <patternFill patternType="solid">
        <fgColor rgb="FFF5F7FA"/>
        <bgColor rgb="FFF3F4F6"/>
      </patternFill>
    </fill>
    <fill>
      <patternFill patternType="solid">
        <fgColor rgb="FFFEF3C7"/>
        <bgColor rgb="FFFFF2CC"/>
      </patternFill>
    </fill>
    <fill>
      <patternFill patternType="darkGray">
        <fgColor rgb="FF1D5778"/>
        <bgColor rgb="FF52565C"/>
      </patternFill>
    </fill>
    <fill>
      <patternFill patternType="solid">
        <fgColor rgb="FFC6EFCD"/>
        <bgColor rgb="FFE2EFDA"/>
      </patternFill>
    </fill>
    <fill>
      <patternFill patternType="solid">
        <fgColor rgb="FFFFC7CE"/>
        <bgColor rgb="FFF8D7DA"/>
      </patternFill>
    </fill>
    <fill>
      <patternFill patternType="solid">
        <fgColor rgb="FFFAFAFD"/>
        <bgColor rgb="FFFAFAFB"/>
      </patternFill>
    </fill>
    <fill>
      <patternFill patternType="solid">
        <fgColor rgb="FFFCE4D6"/>
        <bgColor rgb="FFF8D7DA"/>
      </patternFill>
    </fill>
    <fill>
      <patternFill patternType="solid">
        <fgColor rgb="FFF8D7DA"/>
        <bgColor rgb="FFFCE4D6"/>
      </patternFill>
    </fill>
    <fill>
      <patternFill patternType="solid">
        <fgColor rgb="FFFFF3CD"/>
        <bgColor rgb="FFFFF2CC"/>
      </patternFill>
    </fill>
    <fill>
      <patternFill patternType="solid">
        <fgColor rgb="FF6E747E"/>
        <bgColor rgb="FF818181"/>
      </patternFill>
    </fill>
    <fill>
      <patternFill patternType="solid">
        <fgColor rgb="FFEAF1FB"/>
        <bgColor rgb="FFEAF1F8"/>
      </patternFill>
    </fill>
    <fill>
      <patternFill patternType="darkGray">
        <fgColor rgb="FFF3F4F6"/>
        <bgColor rgb="FFF4F1E8"/>
      </patternFill>
    </fill>
    <fill>
      <patternFill patternType="solid">
        <fgColor rgb="FFDDEBF7"/>
        <bgColor rgb="FFE5E7EB"/>
      </patternFill>
    </fill>
    <fill>
      <patternFill patternType="solid">
        <fgColor rgb="FFC00000"/>
        <bgColor rgb="FF930309"/>
      </patternFill>
    </fill>
    <fill>
      <patternFill patternType="solid">
        <fgColor rgb="FFC19300"/>
        <bgColor rgb="FFED7D31"/>
      </patternFill>
    </fill>
    <fill>
      <patternFill patternType="mediumGray">
        <fgColor rgb="FF298137"/>
        <bgColor rgb="FF198C90"/>
      </patternFill>
    </fill>
    <fill>
      <patternFill patternType="solid">
        <fgColor rgb="FFE5E7EB"/>
        <bgColor rgb="FFE9E8E9"/>
      </patternFill>
    </fill>
    <fill>
      <patternFill patternType="mediumGray">
        <fgColor rgb="FF374928"/>
        <bgColor rgb="FF393939"/>
      </patternFill>
    </fill>
    <fill>
      <patternFill patternType="solid">
        <fgColor rgb="FF836301"/>
        <bgColor rgb="FF9C5500"/>
      </patternFill>
    </fill>
    <fill>
      <patternFill patternType="solid">
        <fgColor rgb="FFF2F7EC"/>
        <bgColor rgb="FFF3F4F6"/>
      </patternFill>
    </fill>
    <fill>
      <patternFill patternType="solid">
        <fgColor rgb="FFF3F4F6"/>
        <bgColor rgb="FFF5F7FA"/>
      </patternFill>
    </fill>
    <fill>
      <patternFill patternType="solid">
        <fgColor rgb="FF298137"/>
        <bgColor rgb="FF198C90"/>
      </patternFill>
    </fill>
    <fill>
      <patternFill patternType="solid">
        <fgColor rgb="FFFAFAFB"/>
        <bgColor rgb="FFFAFAFD"/>
      </patternFill>
    </fill>
    <fill>
      <patternFill patternType="solid">
        <fgColor rgb="FF52565C"/>
        <bgColor rgb="FF68665F"/>
      </patternFill>
    </fill>
  </fills>
  <borders count="110">
    <border diagonalUp="false" diagonalDown="false">
      <left/>
      <right/>
      <top/>
      <bottom/>
      <diagonal/>
    </border>
    <border diagonalUp="false" diagonalDown="false">
      <left/>
      <right/>
      <top style="thin">
        <color rgb="FFCAA961"/>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color rgb="FFC19300"/>
      </left>
      <right style="medium">
        <color rgb="FFC19300"/>
      </right>
      <top style="medium">
        <color rgb="FFC19300"/>
      </top>
      <bottom/>
      <diagonal/>
    </border>
    <border diagonalUp="false" diagonalDown="false">
      <left style="medium">
        <color rgb="FFC19300"/>
      </left>
      <right style="medium">
        <color rgb="FFC19300"/>
      </right>
      <top/>
      <bottom/>
      <diagonal/>
    </border>
    <border diagonalUp="false" diagonalDown="false">
      <left/>
      <right/>
      <top/>
      <bottom style="thick">
        <color rgb="FF198C90"/>
      </bottom>
      <diagonal/>
    </border>
    <border diagonalUp="false" diagonalDown="false">
      <left style="medium">
        <color rgb="FFC19300"/>
      </left>
      <right style="medium">
        <color rgb="FFC19300"/>
      </right>
      <top/>
      <bottom style="medium">
        <color rgb="FFC19300"/>
      </bottom>
      <diagonal/>
    </border>
    <border diagonalUp="false" diagonalDown="false">
      <left/>
      <right style="medium">
        <color rgb="FFC19300"/>
      </right>
      <top/>
      <bottom/>
      <diagonal/>
    </border>
    <border diagonalUp="false" diagonalDown="false">
      <left/>
      <right style="medium">
        <color rgb="FFC19300"/>
      </right>
      <top style="medium">
        <color rgb="FFC19300"/>
      </top>
      <bottom/>
      <diagonal/>
    </border>
    <border diagonalUp="false" diagonalDown="false">
      <left/>
      <right style="medium">
        <color rgb="FFC19300"/>
      </right>
      <top/>
      <bottom style="medium">
        <color rgb="FFC19300"/>
      </bottom>
      <diagonal/>
    </border>
    <border diagonalUp="false" diagonalDown="false">
      <left style="thin">
        <color rgb="FF1B3A4B"/>
      </left>
      <right/>
      <top style="thin">
        <color rgb="FF1B3A4B"/>
      </top>
      <bottom/>
      <diagonal/>
    </border>
    <border diagonalUp="false" diagonalDown="false">
      <left/>
      <right/>
      <top style="thin">
        <color rgb="FF1B3A4B"/>
      </top>
      <bottom/>
      <diagonal/>
    </border>
    <border diagonalUp="false" diagonalDown="false">
      <left/>
      <right style="thin">
        <color rgb="FF1B3A4B"/>
      </right>
      <top style="thin">
        <color rgb="FF1B3A4B"/>
      </top>
      <bottom/>
      <diagonal/>
    </border>
    <border diagonalUp="false" diagonalDown="false">
      <left style="thin">
        <color rgb="FF1B3A4B"/>
      </left>
      <right/>
      <top/>
      <bottom/>
      <diagonal/>
    </border>
    <border diagonalUp="false" diagonalDown="false">
      <left/>
      <right style="thin">
        <color rgb="FF1B3A4B"/>
      </right>
      <top/>
      <bottom/>
      <diagonal/>
    </border>
    <border diagonalUp="false" diagonalDown="false">
      <left style="thin">
        <color rgb="FF1B3A4B"/>
      </left>
      <right/>
      <top/>
      <bottom style="thin">
        <color rgb="FF1B3A4B"/>
      </bottom>
      <diagonal/>
    </border>
    <border diagonalUp="false" diagonalDown="false">
      <left/>
      <right/>
      <top/>
      <bottom style="thin">
        <color rgb="FF1B3A4B"/>
      </bottom>
      <diagonal/>
    </border>
    <border diagonalUp="false" diagonalDown="false">
      <left/>
      <right style="thin">
        <color rgb="FF1B3A4B"/>
      </right>
      <top/>
      <bottom style="thin">
        <color rgb="FF1B3A4B"/>
      </bottom>
      <diagonal/>
    </border>
    <border diagonalUp="false" diagonalDown="false">
      <left style="thin">
        <color rgb="FF2275CE"/>
      </left>
      <right/>
      <top style="thin">
        <color rgb="FF2275CE"/>
      </top>
      <bottom/>
      <diagonal/>
    </border>
    <border diagonalUp="false" diagonalDown="false">
      <left/>
      <right/>
      <top style="thin">
        <color rgb="FF2275CE"/>
      </top>
      <bottom/>
      <diagonal/>
    </border>
    <border diagonalUp="false" diagonalDown="false">
      <left/>
      <right style="thin">
        <color rgb="FF2275CE"/>
      </right>
      <top style="thin">
        <color rgb="FF2275CE"/>
      </top>
      <bottom/>
      <diagonal/>
    </border>
    <border diagonalUp="false" diagonalDown="false">
      <left style="thin">
        <color rgb="FF2275CE"/>
      </left>
      <right/>
      <top/>
      <bottom/>
      <diagonal/>
    </border>
    <border diagonalUp="false" diagonalDown="false">
      <left/>
      <right style="thin">
        <color rgb="FF2275CE"/>
      </right>
      <top/>
      <bottom/>
      <diagonal/>
    </border>
    <border diagonalUp="false" diagonalDown="false">
      <left/>
      <right/>
      <top/>
      <bottom style="thin">
        <color rgb="FFE0E0E0"/>
      </bottom>
      <diagonal/>
    </border>
    <border diagonalUp="false" diagonalDown="false">
      <left/>
      <right/>
      <top style="thin">
        <color rgb="FFE0E0E0"/>
      </top>
      <bottom style="thin">
        <color rgb="FFE0E0E0"/>
      </bottom>
      <diagonal/>
    </border>
    <border diagonalUp="false" diagonalDown="false">
      <left style="thin">
        <color rgb="FF2275CE"/>
      </left>
      <right/>
      <top/>
      <bottom style="thin">
        <color rgb="FF2275CE"/>
      </bottom>
      <diagonal/>
    </border>
    <border diagonalUp="false" diagonalDown="false">
      <left/>
      <right/>
      <top/>
      <bottom style="thin">
        <color rgb="FF2275CE"/>
      </bottom>
      <diagonal/>
    </border>
    <border diagonalUp="false" diagonalDown="false">
      <left/>
      <right style="thin">
        <color rgb="FF2275CE"/>
      </right>
      <top/>
      <bottom style="thin">
        <color rgb="FF2275CE"/>
      </bottom>
      <diagonal/>
    </border>
    <border diagonalUp="false" diagonalDown="false">
      <left/>
      <right/>
      <top style="thin">
        <color rgb="FFE0E0E0"/>
      </top>
      <bottom/>
      <diagonal/>
    </border>
    <border diagonalUp="false" diagonalDown="false">
      <left/>
      <right/>
      <top style="thin"/>
      <bottom style="thin"/>
      <diagonal/>
    </border>
    <border diagonalUp="false" diagonalDown="false">
      <left/>
      <right/>
      <top style="thin"/>
      <bottom/>
      <diagonal/>
    </border>
    <border diagonalUp="false" diagonalDown="false">
      <left style="thin"/>
      <right style="thin"/>
      <top style="thin"/>
      <bottom style="thin"/>
      <diagonal/>
    </border>
    <border diagonalUp="false" diagonalDown="false">
      <left style="thick">
        <color rgb="FF1B3A4B"/>
      </left>
      <right/>
      <top style="thick">
        <color rgb="FF1B3A4B"/>
      </top>
      <bottom/>
      <diagonal/>
    </border>
    <border diagonalUp="false" diagonalDown="false">
      <left/>
      <right/>
      <top style="thick">
        <color rgb="FF1B3A4B"/>
      </top>
      <bottom/>
      <diagonal/>
    </border>
    <border diagonalUp="false" diagonalDown="false">
      <left/>
      <right style="thick">
        <color rgb="FF1B3A4B"/>
      </right>
      <top style="thick">
        <color rgb="FF1B3A4B"/>
      </top>
      <bottom/>
      <diagonal/>
    </border>
    <border diagonalUp="false" diagonalDown="false">
      <left style="thick">
        <color rgb="FF1B3A4B"/>
      </left>
      <right style="thick">
        <color rgb="FF1B3A4B"/>
      </right>
      <top/>
      <bottom/>
      <diagonal/>
    </border>
    <border diagonalUp="false" diagonalDown="false">
      <left style="thick">
        <color rgb="FF1B3A4B"/>
      </left>
      <right/>
      <top/>
      <bottom/>
      <diagonal/>
    </border>
    <border diagonalUp="false" diagonalDown="false">
      <left/>
      <right style="thick">
        <color rgb="FF1B3A4B"/>
      </right>
      <top/>
      <bottom/>
      <diagonal/>
    </border>
    <border diagonalUp="false" diagonalDown="false">
      <left style="thin">
        <color rgb="FFBFBFBF"/>
      </left>
      <right style="thick">
        <color rgb="FF1B3A4B"/>
      </right>
      <top style="thin">
        <color rgb="FFBFBFBF"/>
      </top>
      <bottom style="thin">
        <color rgb="FFBFBFBF"/>
      </bottom>
      <diagonal/>
    </border>
    <border diagonalUp="false" diagonalDown="false">
      <left style="thick">
        <color rgb="FF1B3A4B"/>
      </left>
      <right/>
      <top style="thin">
        <color rgb="FFFFFFFF"/>
      </top>
      <bottom/>
      <diagonal/>
    </border>
    <border diagonalUp="false" diagonalDown="false">
      <left/>
      <right/>
      <top style="thin">
        <color rgb="FFFFFFFF"/>
      </top>
      <bottom/>
      <diagonal/>
    </border>
    <border diagonalUp="false" diagonalDown="false">
      <left/>
      <right style="thick">
        <color rgb="FF1B3A4B"/>
      </right>
      <top style="thin">
        <color rgb="FFFFFFFF"/>
      </top>
      <bottom/>
      <diagonal/>
    </border>
    <border diagonalUp="false" diagonalDown="false">
      <left style="thick">
        <color rgb="FF1B3A4B"/>
      </left>
      <right/>
      <top/>
      <bottom style="thick">
        <color rgb="FF1B3A4B"/>
      </bottom>
      <diagonal/>
    </border>
    <border diagonalUp="false" diagonalDown="false">
      <left/>
      <right/>
      <top/>
      <bottom style="thick">
        <color rgb="FF1B3A4B"/>
      </bottom>
      <diagonal/>
    </border>
    <border diagonalUp="false" diagonalDown="false">
      <left/>
      <right style="thick">
        <color rgb="FF1B3A4B"/>
      </right>
      <top/>
      <bottom style="thick">
        <color rgb="FF1B3A4B"/>
      </bottom>
      <diagonal/>
    </border>
    <border diagonalUp="false" diagonalDown="false">
      <left/>
      <right/>
      <top/>
      <bottom style="thin">
        <color rgb="FFBFBFBF"/>
      </bottom>
      <diagonal/>
    </border>
    <border diagonalUp="false" diagonalDown="false">
      <left/>
      <right/>
      <top style="thin">
        <color rgb="FFBFBFBF"/>
      </top>
      <bottom/>
      <diagonal/>
    </border>
    <border diagonalUp="false" diagonalDown="false">
      <left/>
      <right/>
      <top/>
      <bottom style="medium"/>
      <diagonal/>
    </border>
    <border diagonalUp="false" diagonalDown="false">
      <left style="thin">
        <color rgb="FFBFBFBF"/>
      </left>
      <right style="thin">
        <color rgb="FFBFBFBF"/>
      </right>
      <top/>
      <bottom style="thin">
        <color rgb="FFBFBFBF"/>
      </bottom>
      <diagonal/>
    </border>
    <border diagonalUp="false" diagonalDown="false">
      <left style="thin">
        <color rgb="FFB4B4B4"/>
      </left>
      <right/>
      <top style="thin">
        <color rgb="FFB4B4B4"/>
      </top>
      <bottom/>
      <diagonal/>
    </border>
    <border diagonalUp="false" diagonalDown="false">
      <left/>
      <right/>
      <top style="thin">
        <color rgb="FFB4B4B4"/>
      </top>
      <bottom/>
      <diagonal/>
    </border>
    <border diagonalUp="false" diagonalDown="false">
      <left/>
      <right style="thin">
        <color rgb="FFB4B4B4"/>
      </right>
      <top style="thin">
        <color rgb="FFB4B4B4"/>
      </top>
      <bottom/>
      <diagonal/>
    </border>
    <border diagonalUp="false" diagonalDown="false">
      <left style="thin">
        <color rgb="FFB4B4B4"/>
      </left>
      <right/>
      <top/>
      <bottom style="thin">
        <color rgb="FFB4B4B4"/>
      </bottom>
      <diagonal/>
    </border>
    <border diagonalUp="false" diagonalDown="false">
      <left/>
      <right/>
      <top/>
      <bottom style="thin">
        <color rgb="FFB4B4B4"/>
      </bottom>
      <diagonal/>
    </border>
    <border diagonalUp="false" diagonalDown="false">
      <left/>
      <right style="thin">
        <color rgb="FFB4B4B4"/>
      </right>
      <top/>
      <bottom style="thin">
        <color rgb="FFB4B4B4"/>
      </bottom>
      <diagonal/>
    </border>
    <border diagonalUp="false" diagonalDown="false">
      <left style="medium">
        <color rgb="FF1B3A4B"/>
      </left>
      <right/>
      <top style="medium">
        <color rgb="FF1B3A4B"/>
      </top>
      <bottom/>
      <diagonal/>
    </border>
    <border diagonalUp="false" diagonalDown="false">
      <left/>
      <right/>
      <top style="medium">
        <color rgb="FF1B3A4B"/>
      </top>
      <bottom/>
      <diagonal/>
    </border>
    <border diagonalUp="false" diagonalDown="false">
      <left/>
      <right style="medium">
        <color rgb="FF1B3A4B"/>
      </right>
      <top style="medium">
        <color rgb="FF1B3A4B"/>
      </top>
      <bottom/>
      <diagonal/>
    </border>
    <border diagonalUp="false" diagonalDown="false">
      <left style="medium">
        <color rgb="FF1B3A4B"/>
      </left>
      <right/>
      <top/>
      <bottom/>
      <diagonal/>
    </border>
    <border diagonalUp="false" diagonalDown="false">
      <left/>
      <right style="medium">
        <color rgb="FF1B3A4B"/>
      </right>
      <top/>
      <bottom/>
      <diagonal/>
    </border>
    <border diagonalUp="false" diagonalDown="false">
      <left style="medium">
        <color rgb="FF1B3A4B"/>
      </left>
      <right/>
      <top/>
      <bottom style="medium">
        <color rgb="FF1B3A4B"/>
      </bottom>
      <diagonal/>
    </border>
    <border diagonalUp="false" diagonalDown="false">
      <left/>
      <right/>
      <top/>
      <bottom style="medium">
        <color rgb="FF1B3A4B"/>
      </bottom>
      <diagonal/>
    </border>
    <border diagonalUp="false" diagonalDown="false">
      <left/>
      <right style="medium">
        <color rgb="FF1B3A4B"/>
      </right>
      <top/>
      <bottom style="medium">
        <color rgb="FF1B3A4B"/>
      </bottom>
      <diagonal/>
    </border>
    <border diagonalUp="false" diagonalDown="false">
      <left style="thin">
        <color rgb="FFD0D0D0"/>
      </left>
      <right style="thin">
        <color rgb="FFD0D0D0"/>
      </right>
      <top style="thin">
        <color rgb="FFD0D0D0"/>
      </top>
      <bottom style="thin">
        <color rgb="FFD0D0D0"/>
      </bottom>
      <diagonal/>
    </border>
    <border diagonalUp="false" diagonalDown="false">
      <left/>
      <right style="thin">
        <color rgb="FFBFBFBF"/>
      </right>
      <top style="thin">
        <color rgb="FFBFBFBF"/>
      </top>
      <bottom style="thin">
        <color rgb="FFBFBFBF"/>
      </bottom>
      <diagonal/>
    </border>
    <border diagonalUp="false" diagonalDown="false">
      <left/>
      <right style="thin">
        <color rgb="FFBFBFBF"/>
      </right>
      <top style="thin">
        <color rgb="FFBFBFBF"/>
      </top>
      <bottom/>
      <diagonal/>
    </border>
    <border diagonalUp="false" diagonalDown="false">
      <left style="thin">
        <color rgb="FFBFBFBF"/>
      </left>
      <right style="thin">
        <color rgb="FFBFBFBF"/>
      </right>
      <top style="thin">
        <color rgb="FFBFBFBF"/>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top/>
      <bottom/>
      <diagonal/>
    </border>
    <border diagonalUp="false" diagonalDown="false">
      <left/>
      <right style="thin">
        <color rgb="FFBFBFBF"/>
      </right>
      <top/>
      <bottom/>
      <diagonal/>
    </border>
    <border diagonalUp="false" diagonalDown="false">
      <left/>
      <right/>
      <top style="thin">
        <color rgb="FFBFBFBF"/>
      </top>
      <bottom style="thin">
        <color rgb="FFBFBFBF"/>
      </bottom>
      <diagonal/>
    </border>
    <border diagonalUp="false" diagonalDown="false">
      <left style="thin">
        <color rgb="FFBFBFBF"/>
      </left>
      <right style="thin">
        <color rgb="FFBFBFBF"/>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top style="thin">
        <color rgb="FFD9D9D9"/>
      </top>
      <bottom style="thin">
        <color rgb="FFD9D9D9"/>
      </bottom>
      <diagonal/>
    </border>
    <border diagonalUp="false" diagonalDown="false">
      <left style="thin">
        <color rgb="FFD9D9D9"/>
      </left>
      <right style="thin">
        <color rgb="FFE9E8E9"/>
      </right>
      <top/>
      <bottom/>
      <diagonal/>
    </border>
    <border diagonalUp="false" diagonalDown="false">
      <left style="thin">
        <color rgb="FFE9E8E9"/>
      </left>
      <right style="thin">
        <color rgb="FFE9E8E9"/>
      </right>
      <top/>
      <bottom/>
      <diagonal/>
    </border>
    <border diagonalUp="false" diagonalDown="false">
      <left style="thin">
        <color rgb="FFE9E8E9"/>
      </left>
      <right/>
      <top/>
      <bottom/>
      <diagonal/>
    </border>
    <border diagonalUp="false" diagonalDown="false">
      <left style="thin">
        <color rgb="FFBFBFBF"/>
      </left>
      <right/>
      <top style="thin">
        <color rgb="FFBFBFBF"/>
      </top>
      <bottom/>
      <diagonal/>
    </border>
    <border diagonalUp="false" diagonalDown="false">
      <left style="thin">
        <color rgb="FFBFBFBF"/>
      </left>
      <right/>
      <top/>
      <bottom style="thin">
        <color rgb="FFBFBFBF"/>
      </bottom>
      <diagonal/>
    </border>
    <border diagonalUp="false" diagonalDown="false">
      <left/>
      <right style="thin">
        <color rgb="FFBFBFBF"/>
      </right>
      <top/>
      <bottom style="thin">
        <color rgb="FFBFBFBF"/>
      </bottom>
      <diagonal/>
    </border>
    <border diagonalUp="false" diagonalDown="false">
      <left style="thin">
        <color rgb="FFBFBFBF"/>
      </left>
      <right/>
      <top style="thin">
        <color rgb="FFBFBFBF"/>
      </top>
      <bottom style="thin">
        <color rgb="FFE0E0E0"/>
      </bottom>
      <diagonal/>
    </border>
    <border diagonalUp="false" diagonalDown="false">
      <left/>
      <right/>
      <top style="thin">
        <color rgb="FFBFBFBF"/>
      </top>
      <bottom style="thin">
        <color rgb="FFE0E0E0"/>
      </bottom>
      <diagonal/>
    </border>
    <border diagonalUp="false" diagonalDown="false">
      <left/>
      <right style="thin">
        <color rgb="FFBFBFBF"/>
      </right>
      <top style="thin">
        <color rgb="FFBFBFBF"/>
      </top>
      <bottom style="thin">
        <color rgb="FFE0E0E0"/>
      </bottom>
      <diagonal/>
    </border>
    <border diagonalUp="false" diagonalDown="false">
      <left style="thin">
        <color rgb="FFBFBFBF"/>
      </left>
      <right/>
      <top style="thin">
        <color rgb="FFE0E0E0"/>
      </top>
      <bottom style="thin">
        <color rgb="FFE0E0E0"/>
      </bottom>
      <diagonal/>
    </border>
    <border diagonalUp="false" diagonalDown="false">
      <left/>
      <right style="thin">
        <color rgb="FFBFBFBF"/>
      </right>
      <top style="thin">
        <color rgb="FFE0E0E0"/>
      </top>
      <bottom style="thin">
        <color rgb="FFE0E0E0"/>
      </bottom>
      <diagonal/>
    </border>
    <border diagonalUp="false" diagonalDown="false">
      <left style="thin">
        <color rgb="FFBFBFBF"/>
      </left>
      <right/>
      <top style="thin">
        <color rgb="FFE0E0E0"/>
      </top>
      <bottom style="thin">
        <color rgb="FFBFBFBF"/>
      </bottom>
      <diagonal/>
    </border>
    <border diagonalUp="false" diagonalDown="false">
      <left/>
      <right/>
      <top style="thin">
        <color rgb="FFE0E0E0"/>
      </top>
      <bottom style="thin">
        <color rgb="FFBFBFBF"/>
      </bottom>
      <diagonal/>
    </border>
    <border diagonalUp="false" diagonalDown="false">
      <left/>
      <right style="thin">
        <color rgb="FFBFBFBF"/>
      </right>
      <top style="thin">
        <color rgb="FFE0E0E0"/>
      </top>
      <bottom style="thin">
        <color rgb="FFBFBFBF"/>
      </bottom>
      <diagonal/>
    </border>
    <border diagonalUp="false" diagonalDown="false">
      <left/>
      <right/>
      <top/>
      <bottom style="thin"/>
      <diagonal/>
    </border>
    <border diagonalUp="false" diagonalDown="false">
      <left/>
      <right/>
      <top/>
      <bottom style="thin">
        <color rgb="FFE5E7EB"/>
      </bottom>
      <diagonal/>
    </border>
    <border diagonalUp="false" diagonalDown="false">
      <left/>
      <right/>
      <top style="thin">
        <color rgb="FFE5E7EB"/>
      </top>
      <bottom style="thin">
        <color rgb="FFE5E7EB"/>
      </bottom>
      <diagonal/>
    </border>
    <border diagonalUp="false" diagonalDown="false">
      <left/>
      <right/>
      <top style="thin">
        <color rgb="FFE5E7EB"/>
      </top>
      <bottom/>
      <diagonal/>
    </border>
    <border diagonalUp="false" diagonalDown="false">
      <left/>
      <right style="thin">
        <color rgb="FFE5E7EB"/>
      </right>
      <top/>
      <bottom style="thin">
        <color rgb="FFE5E7EB"/>
      </bottom>
      <diagonal/>
    </border>
    <border diagonalUp="false" diagonalDown="false">
      <left style="thin">
        <color rgb="FFE5E7EB"/>
      </left>
      <right style="thin">
        <color rgb="FFE5E7EB"/>
      </right>
      <top/>
      <bottom style="thin">
        <color rgb="FFE5E7EB"/>
      </bottom>
      <diagonal/>
    </border>
    <border diagonalUp="false" diagonalDown="false">
      <left style="thin">
        <color rgb="FFE5E7EB"/>
      </left>
      <right/>
      <top/>
      <bottom style="thin">
        <color rgb="FFE5E7EB"/>
      </bottom>
      <diagonal/>
    </border>
    <border diagonalUp="false" diagonalDown="false">
      <left/>
      <right style="thin">
        <color rgb="FFE5E7EB"/>
      </right>
      <top style="thin">
        <color rgb="FFE5E7EB"/>
      </top>
      <bottom style="thin">
        <color rgb="FFE5E7EB"/>
      </bottom>
      <diagonal/>
    </border>
    <border diagonalUp="false" diagonalDown="false">
      <left style="thin">
        <color rgb="FFE5E7EB"/>
      </left>
      <right style="thin">
        <color rgb="FFE5E7EB"/>
      </right>
      <top style="thin">
        <color rgb="FFE5E7EB"/>
      </top>
      <bottom style="thin">
        <color rgb="FFE5E7EB"/>
      </bottom>
      <diagonal/>
    </border>
    <border diagonalUp="false" diagonalDown="false">
      <left style="thin">
        <color rgb="FFE5E7EB"/>
      </left>
      <right/>
      <top style="thin">
        <color rgb="FFE5E7EB"/>
      </top>
      <bottom style="thin">
        <color rgb="FFE5E7EB"/>
      </bottom>
      <diagonal/>
    </border>
    <border diagonalUp="false" diagonalDown="false">
      <left/>
      <right style="thin">
        <color rgb="FFE5E7EB"/>
      </right>
      <top style="thin">
        <color rgb="FFE5E7EB"/>
      </top>
      <bottom/>
      <diagonal/>
    </border>
    <border diagonalUp="false" diagonalDown="false">
      <left style="thin">
        <color rgb="FFE5E7EB"/>
      </left>
      <right style="thin">
        <color rgb="FFE5E7EB"/>
      </right>
      <top style="thin">
        <color rgb="FFE5E7EB"/>
      </top>
      <bottom/>
      <diagonal/>
    </border>
    <border diagonalUp="false" diagonalDown="false">
      <left style="thin">
        <color rgb="FFE5E7EB"/>
      </left>
      <right/>
      <top style="thin">
        <color rgb="FFE5E7EB"/>
      </top>
      <bottom/>
      <diagonal/>
    </border>
    <border diagonalUp="false" diagonalDown="false">
      <left style="medium">
        <color rgb="FFA0A3A9"/>
      </left>
      <right/>
      <top/>
      <bottom/>
      <diagonal/>
    </border>
    <border diagonalUp="false" diagonalDown="false">
      <left style="medium">
        <color rgb="FFA0A3A9"/>
      </left>
      <right/>
      <top style="thin">
        <color rgb="FFFFFFFF"/>
      </top>
      <bottom/>
      <diagonal/>
    </border>
    <border diagonalUp="false" diagonalDown="false">
      <left/>
      <right/>
      <top style="thin">
        <color rgb="FFCAA961"/>
      </top>
      <bottom style="thin">
        <color rgb="FFCAA961"/>
      </bottom>
      <diagonal/>
    </border>
    <border diagonalUp="false" diagonalDown="false">
      <left/>
      <right/>
      <top style="dotted">
        <color rgb="FFB4B4B4"/>
      </top>
      <bottom/>
      <diagonal/>
    </border>
    <border diagonalUp="false" diagonalDown="false">
      <left/>
      <right/>
      <top style="dotted">
        <color rgb="FFB4B4B4"/>
      </top>
      <bottom style="dotted">
        <color rgb="FFB4B4B4"/>
      </bottom>
      <diagonal/>
    </border>
    <border diagonalUp="false" diagonalDown="false">
      <left/>
      <right/>
      <top style="thin">
        <color rgb="FFA0A3A9"/>
      </top>
      <bottom style="thin">
        <color rgb="FFA0A3A9"/>
      </bottom>
      <diagonal/>
    </border>
    <border diagonalUp="false" diagonalDown="false">
      <left/>
      <right/>
      <top/>
      <bottom style="thin">
        <color rgb="FF393939"/>
      </bottom>
      <diagonal/>
    </border>
    <border diagonalUp="false" diagonalDown="false">
      <left/>
      <right/>
      <top style="thin">
        <color rgb="FFC6EFCD"/>
      </top>
      <bottom style="thin">
        <color rgb="FFC6EFCD"/>
      </bottom>
      <diagonal/>
    </border>
    <border diagonalUp="false" diagonalDown="false">
      <left/>
      <right/>
      <top style="thin">
        <color rgb="FFE5E7EB"/>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7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left"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6"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bottom"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19" fillId="6" borderId="0" xfId="0" applyFont="true" applyBorder="false" applyAlignment="true" applyProtection="false">
      <alignment horizontal="left" vertical="bottom" textRotation="0" wrapText="false" indent="0" shrinkToFit="false"/>
      <protection locked="true" hidden="false"/>
    </xf>
    <xf numFmtId="165" fontId="20" fillId="6" borderId="0" xfId="0" applyFont="true" applyBorder="false" applyAlignment="true" applyProtection="false">
      <alignment horizontal="left" vertical="bottom" textRotation="0" wrapText="false" indent="0" shrinkToFit="false"/>
      <protection locked="true" hidden="false"/>
    </xf>
    <xf numFmtId="167" fontId="20" fillId="6" borderId="0" xfId="0" applyFont="true" applyBorder="false" applyAlignment="true" applyProtection="false">
      <alignment horizontal="left" vertical="bottom" textRotation="0" wrapText="false" indent="0" shrinkToFit="false"/>
      <protection locked="true" hidden="false"/>
    </xf>
    <xf numFmtId="168" fontId="20" fillId="6" borderId="0" xfId="0" applyFont="true" applyBorder="false" applyAlignment="true" applyProtection="false">
      <alignment horizontal="left" vertical="bottom" textRotation="0" wrapText="false" indent="0" shrinkToFit="false"/>
      <protection locked="true" hidden="false"/>
    </xf>
    <xf numFmtId="164" fontId="21" fillId="6" borderId="0" xfId="0" applyFont="true" applyBorder="false" applyAlignment="true" applyProtection="false">
      <alignment horizontal="left" vertical="bottom" textRotation="0" wrapText="false" indent="0" shrinkToFit="false"/>
      <protection locked="true" hidden="false"/>
    </xf>
    <xf numFmtId="164" fontId="18" fillId="4" borderId="0" xfId="0" applyFont="true" applyBorder="true" applyAlignment="true" applyProtection="false">
      <alignment horizontal="left" vertical="bottom" textRotation="0" wrapText="false" indent="0" shrinkToFit="false"/>
      <protection locked="true" hidden="false"/>
    </xf>
    <xf numFmtId="164" fontId="0" fillId="7" borderId="0" xfId="0" applyFont="false" applyBorder="true" applyAlignment="true" applyProtection="false">
      <alignment horizontal="general" vertical="bottom" textRotation="0" wrapText="false" indent="0" shrinkToFit="false"/>
      <protection locked="true" hidden="false"/>
    </xf>
    <xf numFmtId="164" fontId="19" fillId="6" borderId="0" xfId="0" applyFont="true" applyBorder="true" applyAlignment="true" applyProtection="false">
      <alignment horizontal="left" vertical="bottom" textRotation="0" wrapText="false" indent="0" shrinkToFit="false"/>
      <protection locked="true" hidden="false"/>
    </xf>
    <xf numFmtId="164" fontId="22" fillId="6" borderId="0" xfId="0" applyFont="true" applyBorder="true" applyAlignment="true" applyProtection="false">
      <alignment horizontal="left" vertical="center" textRotation="0" wrapText="false" indent="0" shrinkToFit="false"/>
      <protection locked="true" hidden="false"/>
    </xf>
    <xf numFmtId="164" fontId="23" fillId="6" borderId="0" xfId="0" applyFont="true" applyBorder="true" applyAlignment="true" applyProtection="false">
      <alignment horizontal="left" vertical="bottom" textRotation="0" wrapText="false" indent="0" shrinkToFit="false"/>
      <protection locked="true" hidden="false"/>
    </xf>
    <xf numFmtId="164" fontId="23" fillId="5" borderId="0" xfId="0" applyFont="true" applyBorder="true" applyAlignment="true" applyProtection="false">
      <alignment horizontal="general" vertical="bottom" textRotation="0" wrapText="false" indent="0" shrinkToFit="false"/>
      <protection locked="true" hidden="false"/>
    </xf>
    <xf numFmtId="164" fontId="24" fillId="5" borderId="0" xfId="0" applyFont="true" applyBorder="true" applyAlignment="true" applyProtection="false">
      <alignment horizontal="general" vertical="bottom" textRotation="0" wrapText="false" indent="0" shrinkToFit="false"/>
      <protection locked="true" hidden="false"/>
    </xf>
    <xf numFmtId="164" fontId="0" fillId="5" borderId="0" xfId="0" applyFont="false" applyBorder="true" applyAlignment="true" applyProtection="false">
      <alignment horizontal="general" vertical="bottom" textRotation="0" wrapText="false" indent="0" shrinkToFit="false"/>
      <protection locked="true" hidden="false"/>
    </xf>
    <xf numFmtId="164" fontId="25" fillId="4" borderId="0" xfId="0" applyFont="true" applyBorder="false" applyAlignment="true" applyProtection="false">
      <alignment horizontal="left" vertical="bottom" textRotation="0" wrapText="false" indent="0" shrinkToFit="false"/>
      <protection locked="true" hidden="false"/>
    </xf>
    <xf numFmtId="164" fontId="25" fillId="4" borderId="0" xfId="0" applyFont="true" applyBorder="false" applyAlignment="true" applyProtection="false">
      <alignment horizontal="right" vertical="bottom" textRotation="0" wrapText="false" indent="0" shrinkToFit="false"/>
      <protection locked="true" hidden="false"/>
    </xf>
    <xf numFmtId="164" fontId="26" fillId="8" borderId="0" xfId="0" applyFont="true" applyBorder="false" applyAlignment="true" applyProtection="false">
      <alignment horizontal="left" vertical="bottom" textRotation="0" wrapText="false" indent="0" shrinkToFit="false"/>
      <protection locked="true" hidden="false"/>
    </xf>
    <xf numFmtId="169" fontId="27" fillId="8" borderId="0" xfId="0" applyFont="true" applyBorder="false" applyAlignment="true" applyProtection="false">
      <alignment horizontal="right" vertical="bottom" textRotation="0" wrapText="false" indent="0" shrinkToFit="false"/>
      <protection locked="true" hidden="false"/>
    </xf>
    <xf numFmtId="170" fontId="26" fillId="8" borderId="0" xfId="0" applyFont="true" applyBorder="false" applyAlignment="true" applyProtection="false">
      <alignment horizontal="right" vertical="bottom" textRotation="0" wrapText="false" indent="0" shrinkToFit="false"/>
      <protection locked="true" hidden="false"/>
    </xf>
    <xf numFmtId="164" fontId="28" fillId="9" borderId="0" xfId="0" applyFont="true" applyBorder="false" applyAlignment="true" applyProtection="false">
      <alignment horizontal="left" vertical="bottom" textRotation="0" wrapText="false" indent="0" shrinkToFit="false"/>
      <protection locked="true" hidden="false"/>
    </xf>
    <xf numFmtId="169" fontId="28" fillId="9" borderId="0" xfId="0" applyFont="true" applyBorder="false" applyAlignment="true" applyProtection="false">
      <alignment horizontal="right" vertical="bottom" textRotation="0" wrapText="false" indent="0" shrinkToFit="false"/>
      <protection locked="true" hidden="false"/>
    </xf>
    <xf numFmtId="170" fontId="29" fillId="9" borderId="0" xfId="0" applyFont="true" applyBorder="false" applyAlignment="true" applyProtection="false">
      <alignment horizontal="right" vertical="bottom" textRotation="0" wrapText="false" indent="0" shrinkToFit="false"/>
      <protection locked="true" hidden="false"/>
    </xf>
    <xf numFmtId="164" fontId="28" fillId="6" borderId="0" xfId="0" applyFont="true" applyBorder="false" applyAlignment="true" applyProtection="false">
      <alignment horizontal="left" vertical="bottom" textRotation="0" wrapText="false" indent="0" shrinkToFit="false"/>
      <protection locked="true" hidden="false"/>
    </xf>
    <xf numFmtId="169" fontId="28" fillId="6" borderId="0" xfId="0" applyFont="true" applyBorder="false" applyAlignment="true" applyProtection="false">
      <alignment horizontal="right" vertical="bottom" textRotation="0" wrapText="false" indent="0" shrinkToFit="false"/>
      <protection locked="true" hidden="false"/>
    </xf>
    <xf numFmtId="170" fontId="29" fillId="6" borderId="0" xfId="0" applyFont="true" applyBorder="false" applyAlignment="true" applyProtection="false">
      <alignment horizontal="right" vertical="bottom" textRotation="0" wrapText="false" indent="0" shrinkToFit="false"/>
      <protection locked="true" hidden="false"/>
    </xf>
    <xf numFmtId="171" fontId="15" fillId="0" borderId="0" xfId="0" applyFont="true" applyBorder="false" applyAlignment="true" applyProtection="false">
      <alignment horizontal="general" vertical="bottom" textRotation="0" wrapText="false" indent="0" shrinkToFit="false"/>
      <protection locked="true" hidden="false"/>
    </xf>
    <xf numFmtId="170" fontId="28" fillId="6" borderId="0" xfId="0" applyFont="true" applyBorder="false" applyAlignment="true" applyProtection="false">
      <alignment horizontal="right" vertical="bottom" textRotation="0" wrapText="false" indent="0" shrinkToFit="false"/>
      <protection locked="true" hidden="false"/>
    </xf>
    <xf numFmtId="170" fontId="28" fillId="9" borderId="0" xfId="0" applyFont="true" applyBorder="false" applyAlignment="true" applyProtection="false">
      <alignment horizontal="right" vertical="bottom" textRotation="0" wrapText="false" indent="0" shrinkToFit="false"/>
      <protection locked="true" hidden="false"/>
    </xf>
    <xf numFmtId="164" fontId="30" fillId="10" borderId="1" xfId="0" applyFont="true" applyBorder="true" applyAlignment="true" applyProtection="false">
      <alignment horizontal="left" vertical="bottom" textRotation="0" wrapText="false" indent="0" shrinkToFit="false"/>
      <protection locked="true" hidden="false"/>
    </xf>
    <xf numFmtId="169" fontId="30" fillId="10" borderId="1" xfId="0" applyFont="true" applyBorder="true" applyAlignment="true" applyProtection="false">
      <alignment horizontal="right" vertical="bottom" textRotation="0" wrapText="false" indent="0" shrinkToFit="false"/>
      <protection locked="true" hidden="false"/>
    </xf>
    <xf numFmtId="170" fontId="30" fillId="10" borderId="1" xfId="0" applyFont="true" applyBorder="true" applyAlignment="true" applyProtection="false">
      <alignment horizontal="right" vertical="bottom" textRotation="0" wrapText="false" indent="0" shrinkToFit="false"/>
      <protection locked="true" hidden="false"/>
    </xf>
    <xf numFmtId="164" fontId="21" fillId="5" borderId="0" xfId="0" applyFont="true" applyBorder="true" applyAlignment="true" applyProtection="false">
      <alignment horizontal="left" vertical="bottom" textRotation="0" wrapText="false" indent="0" shrinkToFit="false"/>
      <protection locked="true" hidden="false"/>
    </xf>
    <xf numFmtId="164" fontId="19" fillId="6" borderId="0" xfId="0" applyFont="true" applyBorder="true" applyAlignment="true" applyProtection="false">
      <alignment horizontal="general" vertical="bottom" textRotation="0" wrapText="false" indent="0" shrinkToFit="false"/>
      <protection locked="true" hidden="false"/>
    </xf>
    <xf numFmtId="164" fontId="31" fillId="6" borderId="0" xfId="0" applyFont="true" applyBorder="true" applyAlignment="true" applyProtection="false">
      <alignment horizontal="left" vertical="center"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33" fillId="6" borderId="0" xfId="0" applyFont="true" applyBorder="true" applyAlignment="true" applyProtection="false">
      <alignment horizontal="general" vertical="bottom" textRotation="0" wrapText="false" indent="0" shrinkToFit="false"/>
      <protection locked="true" hidden="false"/>
    </xf>
    <xf numFmtId="164" fontId="14" fillId="6" borderId="0" xfId="0" applyFont="true" applyBorder="tru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72" fontId="34" fillId="0" borderId="0" xfId="0" applyFont="true" applyBorder="false" applyAlignment="true" applyProtection="false">
      <alignment horizontal="general" vertical="bottom" textRotation="0" wrapText="false" indent="0" shrinkToFit="false"/>
      <protection locked="true" hidden="false"/>
    </xf>
    <xf numFmtId="164" fontId="35" fillId="6" borderId="0" xfId="0" applyFont="true" applyBorder="true" applyAlignment="true" applyProtection="false">
      <alignment horizontal="general" vertical="bottom" textRotation="0" wrapText="false" indent="0" shrinkToFit="false"/>
      <protection locked="true" hidden="false"/>
    </xf>
    <xf numFmtId="164" fontId="0" fillId="6" borderId="0" xfId="0" applyFont="false" applyBorder="true" applyAlignment="true" applyProtection="false">
      <alignment horizontal="general" vertical="bottom" textRotation="0" wrapText="false" indent="0" shrinkToFit="false"/>
      <protection locked="true" hidden="false"/>
    </xf>
    <xf numFmtId="164" fontId="8" fillId="6" borderId="0" xfId="0" applyFont="true" applyBorder="true" applyAlignment="true" applyProtection="false">
      <alignment horizontal="general" vertical="bottom" textRotation="0" wrapText="false" indent="0" shrinkToFit="false"/>
      <protection locked="true" hidden="false"/>
    </xf>
    <xf numFmtId="164" fontId="6" fillId="6" borderId="0" xfId="0" applyFont="true" applyBorder="true" applyAlignment="true" applyProtection="false">
      <alignment horizontal="general" vertical="bottom" textRotation="0" wrapText="false" indent="0" shrinkToFit="false"/>
      <protection locked="true" hidden="false"/>
    </xf>
    <xf numFmtId="164" fontId="36" fillId="6" borderId="0" xfId="0" applyFont="true" applyBorder="true" applyAlignment="true" applyProtection="false">
      <alignment horizontal="general" vertical="bottom" textRotation="0" wrapText="false" indent="0" shrinkToFit="false"/>
      <protection locked="true" hidden="false"/>
    </xf>
    <xf numFmtId="164" fontId="37" fillId="6" borderId="0" xfId="0" applyFont="true" applyBorder="true" applyAlignment="true" applyProtection="false">
      <alignment horizontal="general" vertical="top" textRotation="0" wrapText="true" indent="0" shrinkToFit="false"/>
      <protection locked="true" hidden="false"/>
    </xf>
    <xf numFmtId="164" fontId="9" fillId="11" borderId="0" xfId="0" applyFont="true" applyBorder="false" applyAlignment="true" applyProtection="false">
      <alignment horizontal="left" vertical="bottom" textRotation="0" wrapText="false" indent="0" shrinkToFit="false"/>
      <protection locked="true" hidden="false"/>
    </xf>
    <xf numFmtId="164" fontId="9" fillId="11" borderId="0" xfId="0" applyFont="true" applyBorder="true" applyAlignment="true" applyProtection="false">
      <alignment horizontal="left" vertical="center" textRotation="0" wrapText="false" indent="0" shrinkToFit="false"/>
      <protection locked="true" hidden="false"/>
    </xf>
    <xf numFmtId="164" fontId="27" fillId="5" borderId="0" xfId="0" applyFont="true" applyBorder="false" applyAlignment="true" applyProtection="false">
      <alignment horizontal="left" vertical="center" textRotation="0" wrapText="false" indent="0" shrinkToFit="false"/>
      <protection locked="true" hidden="false"/>
    </xf>
    <xf numFmtId="164" fontId="27" fillId="5" borderId="0" xfId="0" applyFont="true" applyBorder="false" applyAlignment="true" applyProtection="false">
      <alignment horizontal="general" vertical="center" textRotation="0" wrapText="false" indent="0" shrinkToFit="false"/>
      <protection locked="true" hidden="false"/>
    </xf>
    <xf numFmtId="164" fontId="26" fillId="5" borderId="0" xfId="0" applyFont="true" applyBorder="false" applyAlignment="true" applyProtection="false">
      <alignment horizontal="left" vertical="center" textRotation="0" wrapText="false" indent="0" shrinkToFit="false"/>
      <protection locked="true" hidden="false"/>
    </xf>
    <xf numFmtId="164" fontId="6" fillId="6" borderId="0" xfId="0" applyFont="true" applyBorder="false" applyAlignment="true" applyProtection="false">
      <alignment horizontal="left" vertical="center" textRotation="0" wrapText="false" indent="0" shrinkToFit="false"/>
      <protection locked="true" hidden="false"/>
    </xf>
    <xf numFmtId="164" fontId="27" fillId="6" borderId="0" xfId="0" applyFont="true" applyBorder="false" applyAlignment="true" applyProtection="false">
      <alignment horizontal="general" vertical="center" textRotation="0" wrapText="false" indent="0" shrinkToFit="false"/>
      <protection locked="true" hidden="false"/>
    </xf>
    <xf numFmtId="173" fontId="36" fillId="6" borderId="0" xfId="0" applyFont="true" applyBorder="false" applyAlignment="true" applyProtection="false">
      <alignment horizontal="left" vertical="center" textRotation="0" wrapText="false" indent="0" shrinkToFit="false"/>
      <protection locked="true" hidden="false"/>
    </xf>
    <xf numFmtId="164" fontId="27" fillId="5" borderId="0" xfId="0" applyFont="true" applyBorder="true" applyAlignment="true" applyProtection="false">
      <alignment horizontal="left" vertical="center" textRotation="0" wrapText="false" indent="0" shrinkToFit="false"/>
      <protection locked="true" hidden="false"/>
    </xf>
    <xf numFmtId="164" fontId="26" fillId="5" borderId="0" xfId="0" applyFont="true" applyBorder="true" applyAlignment="true" applyProtection="false">
      <alignment horizontal="left" vertical="center" textRotation="0" wrapText="false" indent="0" shrinkToFit="false"/>
      <protection locked="true" hidden="false"/>
    </xf>
    <xf numFmtId="164" fontId="37" fillId="6" borderId="0" xfId="0" applyFont="true" applyBorder="false" applyAlignment="true" applyProtection="false">
      <alignment horizontal="left" vertical="center" textRotation="0" wrapText="false" indent="0" shrinkToFit="false"/>
      <protection locked="true" hidden="false"/>
    </xf>
    <xf numFmtId="164" fontId="27" fillId="5" borderId="0" xfId="0" applyFont="true" applyBorder="false" applyAlignment="true" applyProtection="false">
      <alignment horizontal="left" vertical="bottom" textRotation="0" wrapText="false" indent="0" shrinkToFit="false"/>
      <protection locked="true" hidden="false"/>
    </xf>
    <xf numFmtId="164" fontId="26" fillId="5" borderId="0" xfId="0" applyFont="true" applyBorder="false" applyAlignment="true" applyProtection="false">
      <alignment horizontal="left" vertical="bottom" textRotation="0" wrapText="false" indent="0" shrinkToFit="false"/>
      <protection locked="true" hidden="false"/>
    </xf>
    <xf numFmtId="167" fontId="34" fillId="0" borderId="0" xfId="0" applyFont="true" applyBorder="false" applyAlignment="true" applyProtection="false">
      <alignment horizontal="general" vertical="bottom" textRotation="0" wrapText="false" indent="0" shrinkToFit="false"/>
      <protection locked="true" hidden="false"/>
    </xf>
    <xf numFmtId="164" fontId="24" fillId="5" borderId="0" xfId="0" applyFont="true" applyBorder="false" applyAlignment="true" applyProtection="false">
      <alignment horizontal="left" vertical="bottom" textRotation="0" wrapText="false" indent="0" shrinkToFit="false"/>
      <protection locked="true" hidden="false"/>
    </xf>
    <xf numFmtId="164" fontId="23" fillId="5" borderId="0" xfId="0" applyFont="true" applyBorder="false" applyAlignment="true" applyProtection="false">
      <alignment horizontal="left" vertical="bottom" textRotation="0" wrapText="false" indent="0" shrinkToFit="false"/>
      <protection locked="true" hidden="false"/>
    </xf>
    <xf numFmtId="164" fontId="6" fillId="6" borderId="0" xfId="0" applyFont="true" applyBorder="false" applyAlignment="true" applyProtection="false">
      <alignment horizontal="left" vertical="bottom" textRotation="0" wrapText="false" indent="0" shrinkToFit="false"/>
      <protection locked="true" hidden="false"/>
    </xf>
    <xf numFmtId="164" fontId="36" fillId="6" borderId="0" xfId="0" applyFont="true" applyBorder="false" applyAlignment="true" applyProtection="false">
      <alignment horizontal="left" vertical="bottom" textRotation="0" wrapText="false" indent="0" shrinkToFit="false"/>
      <protection locked="true" hidden="false"/>
    </xf>
    <xf numFmtId="170" fontId="36" fillId="6" borderId="0" xfId="0" applyFont="true" applyBorder="false" applyAlignment="true" applyProtection="false">
      <alignment horizontal="left" vertical="bottom" textRotation="0" wrapText="false" indent="0" shrinkToFit="false"/>
      <protection locked="true" hidden="false"/>
    </xf>
    <xf numFmtId="164" fontId="37" fillId="6" borderId="0" xfId="0" applyFont="true" applyBorder="false" applyAlignment="true" applyProtection="false">
      <alignment horizontal="left" vertical="bottom" textRotation="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28" fillId="8" borderId="0" xfId="0" applyFont="true" applyBorder="false" applyAlignment="true" applyProtection="false">
      <alignment horizontal="general" vertical="bottom" textRotation="0" wrapText="false" indent="0" shrinkToFit="false"/>
      <protection locked="true" hidden="false"/>
    </xf>
    <xf numFmtId="164" fontId="28" fillId="8" borderId="0" xfId="0" applyFont="true" applyBorder="false" applyAlignment="true" applyProtection="false">
      <alignment horizontal="left" vertical="bottom" textRotation="0" wrapText="false" indent="0" shrinkToFit="false"/>
      <protection locked="true" hidden="false"/>
    </xf>
    <xf numFmtId="165" fontId="28" fillId="8" borderId="0" xfId="0" applyFont="true" applyBorder="false" applyAlignment="true" applyProtection="false">
      <alignment horizontal="right" vertical="bottom" textRotation="0" wrapText="false" indent="0" shrinkToFit="false"/>
      <protection locked="true" hidden="false"/>
    </xf>
    <xf numFmtId="170" fontId="28" fillId="8" borderId="0" xfId="0" applyFont="true" applyBorder="false" applyAlignment="true" applyProtection="false">
      <alignment horizontal="right" vertical="bottom" textRotation="0" wrapText="false" indent="0" shrinkToFit="false"/>
      <protection locked="true" hidden="false"/>
    </xf>
    <xf numFmtId="174" fontId="28" fillId="8" borderId="0" xfId="0" applyFont="true" applyBorder="false" applyAlignment="true" applyProtection="false">
      <alignment horizontal="right" vertical="bottom" textRotation="0" wrapText="false" indent="0" shrinkToFit="false"/>
      <protection locked="true" hidden="false"/>
    </xf>
    <xf numFmtId="164" fontId="27" fillId="9" borderId="0" xfId="0" applyFont="true" applyBorder="false" applyAlignment="true" applyProtection="false">
      <alignment horizontal="left" vertical="bottom" textRotation="0" wrapText="false" indent="0" shrinkToFit="false"/>
      <protection locked="true" hidden="false"/>
    </xf>
    <xf numFmtId="164" fontId="28" fillId="9" borderId="0" xfId="0" applyFont="true" applyBorder="false" applyAlignment="true" applyProtection="false">
      <alignment horizontal="general" vertical="bottom" textRotation="0" wrapText="false" indent="0" shrinkToFit="false"/>
      <protection locked="true" hidden="false"/>
    </xf>
    <xf numFmtId="165" fontId="28" fillId="9" borderId="0" xfId="0" applyFont="true" applyBorder="false" applyAlignment="true" applyProtection="false">
      <alignment horizontal="right" vertical="bottom" textRotation="0" wrapText="false" indent="0" shrinkToFit="false"/>
      <protection locked="true" hidden="false"/>
    </xf>
    <xf numFmtId="174" fontId="28" fillId="9" borderId="0" xfId="0" applyFont="true" applyBorder="false" applyAlignment="true" applyProtection="false">
      <alignment horizontal="right" vertical="bottom" textRotation="0" wrapText="false" indent="0" shrinkToFit="false"/>
      <protection locked="true" hidden="false"/>
    </xf>
    <xf numFmtId="164" fontId="27" fillId="6" borderId="0" xfId="0" applyFont="true" applyBorder="false" applyAlignment="true" applyProtection="false">
      <alignment horizontal="left" vertical="bottom" textRotation="0" wrapText="false" indent="0" shrinkToFit="false"/>
      <protection locked="true" hidden="false"/>
    </xf>
    <xf numFmtId="164" fontId="28" fillId="6" borderId="0" xfId="0" applyFont="true" applyBorder="false" applyAlignment="true" applyProtection="false">
      <alignment horizontal="general" vertical="bottom" textRotation="0" wrapText="false" indent="0" shrinkToFit="false"/>
      <protection locked="true" hidden="false"/>
    </xf>
    <xf numFmtId="165" fontId="28" fillId="6" borderId="0" xfId="0" applyFont="true" applyBorder="false" applyAlignment="true" applyProtection="false">
      <alignment horizontal="right" vertical="bottom" textRotation="0" wrapText="false" indent="0" shrinkToFit="false"/>
      <protection locked="true" hidden="false"/>
    </xf>
    <xf numFmtId="174" fontId="28" fillId="6" borderId="0" xfId="0" applyFont="true" applyBorder="false" applyAlignment="true" applyProtection="false">
      <alignment horizontal="right" vertical="bottom" textRotation="0" wrapText="false" indent="0" shrinkToFit="false"/>
      <protection locked="true" hidden="false"/>
    </xf>
    <xf numFmtId="164" fontId="5" fillId="6"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23" fillId="6" borderId="0" xfId="0" applyFont="true" applyBorder="false" applyAlignment="true" applyProtection="false">
      <alignment horizontal="left" vertical="bottom" textRotation="0" wrapText="false" indent="0" shrinkToFit="false"/>
      <protection locked="true" hidden="false"/>
    </xf>
    <xf numFmtId="164" fontId="54" fillId="2" borderId="0" xfId="0" applyFont="true" applyBorder="true" applyAlignment="true" applyProtection="false">
      <alignment horizontal="left" vertical="center"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164" fontId="56" fillId="12" borderId="2" xfId="0" applyFont="true" applyBorder="true" applyAlignment="true" applyProtection="false">
      <alignment horizontal="left" vertical="bottom" textRotation="0" wrapText="false" indent="0" shrinkToFit="false"/>
      <protection locked="true" hidden="false"/>
    </xf>
    <xf numFmtId="164" fontId="57" fillId="13" borderId="0" xfId="0" applyFont="true" applyBorder="true" applyAlignment="true" applyProtection="false">
      <alignment horizontal="general" vertical="bottom" textRotation="0" wrapText="false" indent="0" shrinkToFit="false"/>
      <protection locked="true" hidden="false"/>
    </xf>
    <xf numFmtId="166" fontId="34" fillId="0" borderId="0" xfId="0" applyFont="true" applyBorder="false" applyAlignment="true" applyProtection="false">
      <alignment horizontal="general" vertical="bottom" textRotation="0" wrapText="false" indent="0" shrinkToFit="false"/>
      <protection locked="true" hidden="false"/>
    </xf>
    <xf numFmtId="164" fontId="58" fillId="0" borderId="0" xfId="0" applyFont="true" applyBorder="true" applyAlignment="true" applyProtection="false">
      <alignment horizontal="general" vertical="bottom" textRotation="0" wrapText="false" indent="0" shrinkToFit="false"/>
      <protection locked="true" hidden="false"/>
    </xf>
    <xf numFmtId="164" fontId="59" fillId="13" borderId="0" xfId="0" applyFont="true" applyBorder="false" applyAlignment="true" applyProtection="false">
      <alignment horizontal="general" vertical="bottom" textRotation="0" wrapText="false" indent="0" shrinkToFit="false"/>
      <protection locked="true" hidden="false"/>
    </xf>
    <xf numFmtId="164" fontId="59" fillId="0" borderId="0" xfId="0" applyFont="true" applyBorder="false" applyAlignment="true" applyProtection="false">
      <alignment horizontal="general" vertical="bottom" textRotation="0" wrapText="false" indent="0" shrinkToFit="false"/>
      <protection locked="true" hidden="false"/>
    </xf>
    <xf numFmtId="171" fontId="60" fillId="0" borderId="0" xfId="0" applyFont="true" applyBorder="false" applyAlignment="true" applyProtection="false">
      <alignment horizontal="general" vertical="bottom" textRotation="0" wrapText="false" indent="0" shrinkToFit="false"/>
      <protection locked="true" hidden="false"/>
    </xf>
    <xf numFmtId="164" fontId="61" fillId="0" borderId="0" xfId="0" applyFont="true" applyBorder="false" applyAlignment="true" applyProtection="false">
      <alignment horizontal="general" vertical="bottom" textRotation="0" wrapText="false" indent="0" shrinkToFit="false"/>
      <protection locked="true" hidden="false"/>
    </xf>
    <xf numFmtId="164" fontId="62" fillId="0" borderId="0" xfId="0" applyFont="true" applyBorder="false" applyAlignment="true" applyProtection="false">
      <alignment horizontal="general" vertical="bottom" textRotation="0" wrapText="false" indent="0" shrinkToFit="false"/>
      <protection locked="true" hidden="false"/>
    </xf>
    <xf numFmtId="182" fontId="63"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64" fillId="0" borderId="0" xfId="0" applyFont="true" applyBorder="false" applyAlignment="true" applyProtection="false">
      <alignment horizontal="general" vertical="bottom" textRotation="0" wrapText="false" indent="0" shrinkToFit="false"/>
      <protection locked="true" hidden="false"/>
    </xf>
    <xf numFmtId="164" fontId="60" fillId="14" borderId="3" xfId="0" applyFont="true" applyBorder="true" applyAlignment="true" applyProtection="false">
      <alignment horizontal="center" vertical="bottom" textRotation="0" wrapText="false" indent="0" shrinkToFit="false"/>
      <protection locked="true" hidden="false"/>
    </xf>
    <xf numFmtId="164" fontId="65" fillId="0" borderId="0" xfId="0" applyFont="true" applyBorder="false" applyAlignment="true" applyProtection="false">
      <alignment horizontal="center" vertical="bottom" textRotation="0" wrapText="false" indent="0" shrinkToFit="false"/>
      <protection locked="true" hidden="false"/>
    </xf>
    <xf numFmtId="164" fontId="25" fillId="2" borderId="0" xfId="0" applyFont="true" applyBorder="false" applyAlignment="true" applyProtection="false">
      <alignment horizontal="center" vertical="bottom" textRotation="0" wrapText="true" indent="0" shrinkToFit="false"/>
      <protection locked="true" hidden="false"/>
    </xf>
    <xf numFmtId="164" fontId="25" fillId="3" borderId="4" xfId="0" applyFont="true" applyBorder="true" applyAlignment="true" applyProtection="false">
      <alignment horizontal="center" vertical="center" textRotation="0" wrapText="true" indent="0" shrinkToFit="false"/>
      <protection locked="true" hidden="false"/>
    </xf>
    <xf numFmtId="164" fontId="25" fillId="2" borderId="0" xfId="0" applyFont="true" applyBorder="false" applyAlignment="true" applyProtection="false">
      <alignment horizontal="center" vertical="center" textRotation="0" wrapText="true" indent="0" shrinkToFit="false"/>
      <protection locked="true" hidden="false"/>
    </xf>
    <xf numFmtId="164" fontId="25" fillId="2" borderId="5" xfId="0" applyFont="true" applyBorder="true" applyAlignment="true" applyProtection="false">
      <alignment horizontal="center" vertical="center" textRotation="0" wrapText="true" indent="0" shrinkToFit="false"/>
      <protection locked="true" hidden="false"/>
    </xf>
    <xf numFmtId="164" fontId="66" fillId="0" borderId="0" xfId="0" applyFont="true" applyBorder="false" applyAlignment="true" applyProtection="false">
      <alignment horizontal="general" vertical="bottom" textRotation="0" wrapText="false" indent="0" shrinkToFit="false"/>
      <protection locked="true" hidden="false"/>
    </xf>
    <xf numFmtId="164" fontId="67" fillId="0" borderId="4"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left" vertical="center" textRotation="0" wrapText="false" indent="0" shrinkToFit="false"/>
      <protection locked="true" hidden="false"/>
    </xf>
    <xf numFmtId="165" fontId="57" fillId="0" borderId="4" xfId="0" applyFont="true" applyBorder="tru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5" fontId="11" fillId="8" borderId="0" xfId="0" applyFont="true" applyBorder="false" applyAlignment="true" applyProtection="false">
      <alignment horizontal="general" vertical="bottom" textRotation="0" wrapText="false" indent="0" shrinkToFit="false"/>
      <protection locked="true" hidden="false"/>
    </xf>
    <xf numFmtId="183" fontId="57" fillId="0" borderId="4" xfId="0" applyFont="true" applyBorder="true" applyAlignment="true" applyProtection="false">
      <alignment horizontal="general" vertical="bottom" textRotation="0" wrapText="false" indent="0" shrinkToFit="false"/>
      <protection locked="true" hidden="false"/>
    </xf>
    <xf numFmtId="183" fontId="11" fillId="0" borderId="0" xfId="0" applyFont="true" applyBorder="false" applyAlignment="true" applyProtection="false">
      <alignment horizontal="general" vertical="bottom" textRotation="0" wrapText="false" indent="0" shrinkToFit="false"/>
      <protection locked="true" hidden="false"/>
    </xf>
    <xf numFmtId="184" fontId="57" fillId="0" borderId="4" xfId="0" applyFont="true" applyBorder="true" applyAlignment="true" applyProtection="false">
      <alignment horizontal="general" vertical="bottom" textRotation="0" wrapText="false" indent="0" shrinkToFit="false"/>
      <protection locked="true" hidden="false"/>
    </xf>
    <xf numFmtId="184" fontId="68" fillId="0" borderId="0" xfId="0" applyFont="true" applyBorder="false" applyAlignment="true" applyProtection="false">
      <alignment horizontal="general" vertical="bottom" textRotation="0" wrapText="false" indent="0" shrinkToFit="false"/>
      <protection locked="true" hidden="false"/>
    </xf>
    <xf numFmtId="185" fontId="69" fillId="0" borderId="4" xfId="0" applyFont="true" applyBorder="true" applyAlignment="true" applyProtection="false">
      <alignment horizontal="general" vertical="bottom" textRotation="0" wrapText="false" indent="0" shrinkToFit="false"/>
      <protection locked="true" hidden="false"/>
    </xf>
    <xf numFmtId="185" fontId="68" fillId="0" borderId="0" xfId="0" applyFont="true" applyBorder="false" applyAlignment="true" applyProtection="false">
      <alignment horizontal="general" vertical="bottom" textRotation="0" wrapText="false" indent="0" shrinkToFit="false"/>
      <protection locked="true" hidden="false"/>
    </xf>
    <xf numFmtId="186" fontId="0" fillId="0" borderId="4" xfId="0" applyFont="false" applyBorder="true" applyAlignment="true" applyProtection="false">
      <alignment horizontal="general" vertical="bottom" textRotation="0" wrapText="false" indent="0" shrinkToFit="false"/>
      <protection locked="true" hidden="false"/>
    </xf>
    <xf numFmtId="186" fontId="11"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4" fontId="9" fillId="3" borderId="4" xfId="0" applyFont="true" applyBorder="true" applyAlignment="true" applyProtection="false">
      <alignment horizontal="general" vertical="bottom" textRotation="0" wrapText="false" indent="0" shrinkToFit="false"/>
      <protection locked="true" hidden="false"/>
    </xf>
    <xf numFmtId="164" fontId="58" fillId="0" borderId="4" xfId="0" applyFont="true" applyBorder="true" applyAlignment="true" applyProtection="false">
      <alignment horizontal="center" vertical="bottom" textRotation="0" wrapText="false" indent="0" shrinkToFit="false"/>
      <protection locked="true" hidden="false"/>
    </xf>
    <xf numFmtId="165" fontId="69" fillId="0" borderId="4" xfId="0" applyFont="true" applyBorder="true" applyAlignment="true" applyProtection="false">
      <alignment horizontal="general" vertical="bottom" textRotation="0" wrapText="false" indent="0" shrinkToFit="false"/>
      <protection locked="true" hidden="false"/>
    </xf>
    <xf numFmtId="165" fontId="58" fillId="0" borderId="4" xfId="0" applyFont="true" applyBorder="true" applyAlignment="true" applyProtection="false">
      <alignment horizontal="general" vertical="bottom" textRotation="0" wrapText="false" indent="0" shrinkToFit="false"/>
      <protection locked="true" hidden="false"/>
    </xf>
    <xf numFmtId="183" fontId="69" fillId="0" borderId="6" xfId="0" applyFont="true" applyBorder="true" applyAlignment="true" applyProtection="false">
      <alignment horizontal="general" vertical="bottom" textRotation="0" wrapText="false" indent="0" shrinkToFit="false"/>
      <protection locked="true" hidden="false"/>
    </xf>
    <xf numFmtId="164" fontId="9" fillId="3" borderId="7" xfId="0" applyFont="true" applyBorder="true" applyAlignment="true" applyProtection="false">
      <alignment horizontal="general" vertical="bottom" textRotation="0" wrapText="false" indent="0" shrinkToFit="false"/>
      <protection locked="true" hidden="false"/>
    </xf>
    <xf numFmtId="164" fontId="0" fillId="3" borderId="8" xfId="0" applyFont="false" applyBorder="tru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70" fillId="0" borderId="7" xfId="0" applyFont="true" applyBorder="true" applyAlignment="true" applyProtection="false">
      <alignment horizontal="general" vertical="bottom" textRotation="0" wrapText="false" indent="0" shrinkToFit="false"/>
      <protection locked="true" hidden="false"/>
    </xf>
    <xf numFmtId="175" fontId="57" fillId="0" borderId="7" xfId="0" applyFont="true" applyBorder="true" applyAlignment="true" applyProtection="false">
      <alignment horizontal="general" vertical="bottom" textRotation="0" wrapText="false" indent="0" shrinkToFit="false"/>
      <protection locked="true" hidden="false"/>
    </xf>
    <xf numFmtId="175" fontId="71" fillId="0" borderId="0" xfId="0" applyFont="true" applyBorder="false" applyAlignment="true" applyProtection="false">
      <alignment horizontal="general" vertical="bottom" textRotation="0" wrapText="false" indent="0" shrinkToFit="false"/>
      <protection locked="true" hidden="false"/>
    </xf>
    <xf numFmtId="187" fontId="57" fillId="0" borderId="7" xfId="0" applyFont="true" applyBorder="true" applyAlignment="true" applyProtection="false">
      <alignment horizontal="general" vertical="bottom" textRotation="0" wrapText="false" indent="0" shrinkToFit="false"/>
      <protection locked="true" hidden="false"/>
    </xf>
    <xf numFmtId="187" fontId="71" fillId="0" borderId="0" xfId="0" applyFont="true" applyBorder="false" applyAlignment="true" applyProtection="false">
      <alignment horizontal="general" vertical="bottom" textRotation="0" wrapText="false" indent="0" shrinkToFit="false"/>
      <protection locked="true" hidden="false"/>
    </xf>
    <xf numFmtId="167" fontId="57" fillId="0" borderId="7" xfId="0" applyFont="true" applyBorder="true" applyAlignment="true" applyProtection="false">
      <alignment horizontal="general" vertical="bottom" textRotation="0" wrapText="false" indent="0" shrinkToFit="false"/>
      <protection locked="true" hidden="false"/>
    </xf>
    <xf numFmtId="167" fontId="71" fillId="0" borderId="0" xfId="0" applyFont="true" applyBorder="false" applyAlignment="true" applyProtection="false">
      <alignment horizontal="general" vertical="bottom" textRotation="0" wrapText="false" indent="0" shrinkToFit="false"/>
      <protection locked="true" hidden="false"/>
    </xf>
    <xf numFmtId="188" fontId="57" fillId="0" borderId="7" xfId="0" applyFont="true" applyBorder="true" applyAlignment="true" applyProtection="false">
      <alignment horizontal="general" vertical="bottom" textRotation="0" wrapText="false" indent="0" shrinkToFit="false"/>
      <protection locked="true" hidden="false"/>
    </xf>
    <xf numFmtId="188" fontId="71" fillId="0" borderId="0" xfId="0" applyFont="true" applyBorder="false" applyAlignment="true" applyProtection="false">
      <alignment horizontal="general" vertical="bottom" textRotation="0" wrapText="false" indent="0" shrinkToFit="false"/>
      <protection locked="true" hidden="false"/>
    </xf>
    <xf numFmtId="185" fontId="72" fillId="0" borderId="9" xfId="0" applyFont="true" applyBorder="true" applyAlignment="true" applyProtection="false">
      <alignment horizontal="general" vertical="bottom" textRotation="0" wrapText="false" indent="0" shrinkToFit="false"/>
      <protection locked="true" hidden="false"/>
    </xf>
    <xf numFmtId="164" fontId="54" fillId="2" borderId="0" xfId="0" applyFont="true" applyBorder="true" applyAlignment="true" applyProtection="false">
      <alignment horizontal="general" vertical="bottom" textRotation="0" wrapText="false" indent="0" shrinkToFit="false"/>
      <protection locked="true" hidden="false"/>
    </xf>
    <xf numFmtId="164" fontId="54" fillId="2" borderId="0" xfId="0" applyFont="true" applyBorder="false" applyAlignment="true" applyProtection="false">
      <alignment horizontal="general" vertical="bottom" textRotation="0" wrapText="false" indent="0" shrinkToFit="false"/>
      <protection locked="true" hidden="false"/>
    </xf>
    <xf numFmtId="164" fontId="0" fillId="13" borderId="0" xfId="0" applyFont="false" applyBorder="false" applyAlignment="true" applyProtection="false">
      <alignment horizontal="general" vertical="bottom" textRotation="0" wrapText="false" indent="0" shrinkToFit="false"/>
      <protection locked="true" hidden="false"/>
    </xf>
    <xf numFmtId="164" fontId="70" fillId="0" borderId="0" xfId="0" applyFont="true" applyBorder="false" applyAlignment="true" applyProtection="false">
      <alignment horizontal="general" vertical="bottom" textRotation="0" wrapText="false" indent="0" shrinkToFit="false"/>
      <protection locked="true" hidden="false"/>
    </xf>
    <xf numFmtId="164" fontId="73" fillId="0" borderId="0" xfId="0" applyFont="true" applyBorder="false" applyAlignment="true" applyProtection="false">
      <alignment horizontal="general" vertical="bottom" textRotation="0" wrapText="false" indent="0" shrinkToFit="false"/>
      <protection locked="true" hidden="false"/>
    </xf>
    <xf numFmtId="189" fontId="0" fillId="0" borderId="0" xfId="0" applyFont="false" applyBorder="false" applyAlignment="true" applyProtection="false">
      <alignment horizontal="general" vertical="bottom" textRotation="0" wrapText="false" indent="0" shrinkToFit="false"/>
      <protection locked="true" hidden="false"/>
    </xf>
    <xf numFmtId="189" fontId="73" fillId="0" borderId="0" xfId="0" applyFont="true" applyBorder="false" applyAlignment="true" applyProtection="false">
      <alignment horizontal="general" vertical="bottom" textRotation="0" wrapText="false" indent="0" shrinkToFit="false"/>
      <protection locked="true" hidden="false"/>
    </xf>
    <xf numFmtId="175" fontId="73" fillId="0" borderId="0" xfId="0" applyFont="true" applyBorder="false" applyAlignment="true" applyProtection="false">
      <alignment horizontal="general" vertical="bottom" textRotation="0" wrapText="false" indent="0" shrinkToFit="false"/>
      <protection locked="true" hidden="false"/>
    </xf>
    <xf numFmtId="177" fontId="74" fillId="15" borderId="0" xfId="0" applyFont="true" applyBorder="false" applyAlignment="true" applyProtection="false">
      <alignment horizontal="general" vertical="bottom" textRotation="0" wrapText="false" indent="0" shrinkToFit="false"/>
      <protection locked="true" hidden="false"/>
    </xf>
    <xf numFmtId="164" fontId="70" fillId="6" borderId="0" xfId="0" applyFont="true" applyBorder="false" applyAlignment="true" applyProtection="false">
      <alignment horizontal="general" vertical="bottom" textRotation="0" wrapText="false" indent="0" shrinkToFit="false"/>
      <protection locked="true" hidden="false"/>
    </xf>
    <xf numFmtId="167" fontId="74" fillId="15" borderId="0" xfId="0" applyFont="true" applyBorder="false" applyAlignment="true" applyProtection="false">
      <alignment horizontal="general" vertical="bottom" textRotation="0" wrapText="false" indent="0" shrinkToFit="false"/>
      <protection locked="true" hidden="false"/>
    </xf>
    <xf numFmtId="187" fontId="73" fillId="0" borderId="0" xfId="0" applyFont="true" applyBorder="false" applyAlignment="true" applyProtection="false">
      <alignment horizontal="general" vertical="bottom" textRotation="0" wrapText="false" indent="0" shrinkToFit="false"/>
      <protection locked="true" hidden="false"/>
    </xf>
    <xf numFmtId="187" fontId="75" fillId="16" borderId="0" xfId="0" applyFont="true" applyBorder="false" applyAlignment="true" applyProtection="false">
      <alignment horizontal="general" vertical="bottom" textRotation="0" wrapText="false" indent="0" shrinkToFit="false"/>
      <protection locked="true" hidden="false"/>
    </xf>
    <xf numFmtId="171" fontId="73" fillId="0" borderId="0" xfId="0" applyFont="true" applyBorder="false" applyAlignment="true" applyProtection="false">
      <alignment horizontal="general" vertical="bottom" textRotation="0" wrapText="false" indent="0" shrinkToFit="false"/>
      <protection locked="true" hidden="false"/>
    </xf>
    <xf numFmtId="190" fontId="0" fillId="6" borderId="0" xfId="0" applyFont="fals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73" fillId="0" borderId="0" xfId="0" applyFont="true" applyBorder="false" applyAlignment="true" applyProtection="false">
      <alignment horizontal="center" vertical="bottom" textRotation="0" wrapText="false" indent="0" shrinkToFit="false"/>
      <protection locked="true" hidden="false"/>
    </xf>
    <xf numFmtId="169" fontId="73" fillId="0" borderId="0" xfId="0" applyFont="true" applyBorder="false" applyAlignment="true" applyProtection="false">
      <alignment horizontal="general" vertical="bottom" textRotation="0" wrapText="fals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4" fontId="70" fillId="13" borderId="0" xfId="0" applyFont="true" applyBorder="true" applyAlignment="true" applyProtection="false">
      <alignment horizontal="center" vertical="bottom"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75" fontId="73" fillId="0" borderId="0" xfId="0" applyFont="true" applyBorder="false" applyAlignment="true" applyProtection="false">
      <alignment horizontal="center" vertical="bottom" textRotation="0" wrapText="false" indent="0" shrinkToFit="false"/>
      <protection locked="true" hidden="false"/>
    </xf>
    <xf numFmtId="191" fontId="73"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center" vertical="bottom" textRotation="0" wrapText="false" indent="0" shrinkToFit="false"/>
      <protection locked="true" hidden="false"/>
    </xf>
    <xf numFmtId="164" fontId="0" fillId="17" borderId="0" xfId="0" applyFont="false" applyBorder="false" applyAlignment="true" applyProtection="false">
      <alignment horizontal="center" vertical="bottom" textRotation="0" wrapText="false" indent="0" shrinkToFit="false"/>
      <protection locked="true" hidden="false"/>
    </xf>
    <xf numFmtId="164" fontId="0" fillId="17" borderId="0" xfId="0" applyFont="false" applyBorder="false" applyAlignment="true" applyProtection="false">
      <alignment horizontal="general" vertical="bottom" textRotation="0" wrapText="false" indent="0" shrinkToFit="false"/>
      <protection locked="true" hidden="false"/>
    </xf>
    <xf numFmtId="164" fontId="70" fillId="17" borderId="0" xfId="0" applyFont="true" applyBorder="false" applyAlignment="true" applyProtection="false">
      <alignment horizontal="general" vertical="bottom" textRotation="0" wrapText="false" indent="0" shrinkToFit="false"/>
      <protection locked="true" hidden="false"/>
    </xf>
    <xf numFmtId="164" fontId="73" fillId="17" borderId="0" xfId="0" applyFont="true" applyBorder="false" applyAlignment="true" applyProtection="false">
      <alignment horizontal="center" vertical="bottom" textRotation="0" wrapText="false" indent="0" shrinkToFit="false"/>
      <protection locked="true" hidden="false"/>
    </xf>
    <xf numFmtId="169" fontId="73" fillId="17" borderId="0" xfId="0" applyFont="true" applyBorder="false" applyAlignment="true" applyProtection="false">
      <alignment horizontal="general" vertical="bottom" textRotation="0" wrapText="false" indent="0" shrinkToFit="false"/>
      <protection locked="true" hidden="false"/>
    </xf>
    <xf numFmtId="177" fontId="0" fillId="17" borderId="0" xfId="0" applyFont="false" applyBorder="false" applyAlignment="true" applyProtection="false">
      <alignment horizontal="general" vertical="bottom" textRotation="0" wrapText="false" indent="0" shrinkToFit="false"/>
      <protection locked="true" hidden="false"/>
    </xf>
    <xf numFmtId="169" fontId="70" fillId="17"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true" applyAlignment="true" applyProtection="false">
      <alignment horizontal="center" vertical="bottom" textRotation="0" wrapText="false" indent="0" shrinkToFit="false"/>
      <protection locked="true" hidden="false"/>
    </xf>
    <xf numFmtId="191" fontId="3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center"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3" fillId="2" borderId="0" xfId="0" applyFont="true" applyBorder="false" applyAlignment="true" applyProtection="false">
      <alignment horizontal="center" vertical="bottom" textRotation="0" wrapText="false" indent="0" shrinkToFit="false"/>
      <protection locked="true" hidden="false"/>
    </xf>
    <xf numFmtId="169" fontId="73" fillId="2" borderId="0" xfId="0" applyFont="true" applyBorder="false" applyAlignment="true" applyProtection="false">
      <alignment horizontal="general" vertical="bottom" textRotation="0" wrapText="false" indent="0" shrinkToFit="false"/>
      <protection locked="true" hidden="false"/>
    </xf>
    <xf numFmtId="177" fontId="0" fillId="2" borderId="0" xfId="0" applyFont="false" applyBorder="false" applyAlignment="true" applyProtection="false">
      <alignment horizontal="general" vertical="bottom" textRotation="0" wrapText="false" indent="0" shrinkToFit="false"/>
      <protection locked="true" hidden="false"/>
    </xf>
    <xf numFmtId="169" fontId="0" fillId="2" borderId="0" xfId="0" applyFont="false" applyBorder="false" applyAlignment="true" applyProtection="false">
      <alignment horizontal="general" vertical="bottom" textRotation="0" wrapText="false" indent="0" shrinkToFit="false"/>
      <protection locked="true" hidden="false"/>
    </xf>
    <xf numFmtId="164" fontId="0" fillId="10" borderId="0" xfId="0" applyFont="false" applyBorder="false" applyAlignment="true" applyProtection="false">
      <alignment horizontal="general" vertical="bottom" textRotation="0" wrapText="false" indent="0" shrinkToFit="false"/>
      <protection locked="true" hidden="false"/>
    </xf>
    <xf numFmtId="164" fontId="76" fillId="10" borderId="0" xfId="0" applyFont="true" applyBorder="false" applyAlignment="true" applyProtection="false">
      <alignment horizontal="general" vertical="bottom" textRotation="0" wrapText="false" indent="0" shrinkToFit="false"/>
      <protection locked="true" hidden="false"/>
    </xf>
    <xf numFmtId="169" fontId="76" fillId="10" borderId="0" xfId="0" applyFont="true" applyBorder="false" applyAlignment="true" applyProtection="false">
      <alignment horizontal="general" vertical="bottom" textRotation="0" wrapText="false" indent="0" shrinkToFit="false"/>
      <protection locked="true" hidden="false"/>
    </xf>
    <xf numFmtId="192" fontId="77" fillId="0" borderId="0" xfId="0" applyFont="true" applyBorder="false" applyAlignment="true" applyProtection="false">
      <alignment horizontal="general" vertical="bottom" textRotation="0" wrapText="false" indent="0" shrinkToFit="false"/>
      <protection locked="true" hidden="false"/>
    </xf>
    <xf numFmtId="164" fontId="78" fillId="2" borderId="0" xfId="0" applyFont="true" applyBorder="false" applyAlignment="true" applyProtection="false">
      <alignment horizontal="general" vertical="bottom" textRotation="0" wrapText="false" indent="0" shrinkToFit="false"/>
      <protection locked="true" hidden="false"/>
    </xf>
    <xf numFmtId="169" fontId="78" fillId="2" borderId="0" xfId="0" applyFont="true" applyBorder="false" applyAlignment="true" applyProtection="false">
      <alignment horizontal="general" vertical="bottom" textRotation="0" wrapText="false" indent="0" shrinkToFit="false"/>
      <protection locked="true" hidden="false"/>
    </xf>
    <xf numFmtId="191" fontId="0" fillId="0" borderId="0" xfId="0" applyFont="false" applyBorder="false" applyAlignment="true" applyProtection="false">
      <alignment horizontal="general" vertical="bottom" textRotation="0" wrapText="false" indent="0" shrinkToFit="false"/>
      <protection locked="true" hidden="false"/>
    </xf>
    <xf numFmtId="193" fontId="0" fillId="0" borderId="0" xfId="0" applyFont="false" applyBorder="false" applyAlignment="true" applyProtection="false">
      <alignment horizontal="general" vertical="bottom" textRotation="0" wrapText="false" indent="0" shrinkToFit="false"/>
      <protection locked="true" hidden="false"/>
    </xf>
    <xf numFmtId="164" fontId="9" fillId="2" borderId="10" xfId="0" applyFont="true" applyBorder="true" applyAlignment="true" applyProtection="false">
      <alignment horizontal="general" vertical="bottom" textRotation="0" wrapText="false" indent="0" shrinkToFit="false"/>
      <protection locked="true" hidden="false"/>
    </xf>
    <xf numFmtId="164" fontId="9" fillId="2" borderId="11" xfId="0" applyFont="true" applyBorder="true" applyAlignment="true" applyProtection="false">
      <alignment horizontal="general" vertical="bottom" textRotation="0" wrapText="false" indent="0" shrinkToFit="false"/>
      <protection locked="true" hidden="false"/>
    </xf>
    <xf numFmtId="164" fontId="9" fillId="2" borderId="12" xfId="0" applyFont="true" applyBorder="true" applyAlignment="true" applyProtection="false">
      <alignment horizontal="general" vertical="bottom" textRotation="0" wrapText="false" indent="0" shrinkToFit="false"/>
      <protection locked="true" hidden="false"/>
    </xf>
    <xf numFmtId="164" fontId="0" fillId="0" borderId="13" xfId="0" applyFont="false" applyBorder="true" applyAlignment="true" applyProtection="false">
      <alignment horizontal="general" vertical="bottom" textRotation="0" wrapText="false" indent="0" shrinkToFit="false"/>
      <protection locked="true" hidden="false"/>
    </xf>
    <xf numFmtId="164" fontId="79" fillId="0" borderId="0" xfId="0" applyFont="true" applyBorder="false" applyAlignment="true" applyProtection="false">
      <alignment horizontal="center" vertical="bottom" textRotation="0" wrapText="false" indent="0" shrinkToFit="false"/>
      <protection locked="true" hidden="false"/>
    </xf>
    <xf numFmtId="164" fontId="0" fillId="0" borderId="14" xfId="0" applyFont="false" applyBorder="true" applyAlignment="true" applyProtection="false">
      <alignment horizontal="general" vertical="bottom" textRotation="0" wrapText="false" indent="0" shrinkToFit="false"/>
      <protection locked="true" hidden="false"/>
    </xf>
    <xf numFmtId="175" fontId="0" fillId="0" borderId="0" xfId="0" applyFont="false" applyBorder="false" applyAlignment="true" applyProtection="false">
      <alignment horizontal="center" vertical="bottom" textRotation="0" wrapText="false" indent="0" shrinkToFit="false"/>
      <protection locked="true" hidden="false"/>
    </xf>
    <xf numFmtId="164" fontId="0" fillId="0" borderId="15" xfId="0" applyFont="false" applyBorder="true" applyAlignment="true" applyProtection="false">
      <alignment horizontal="general" vertical="bottom" textRotation="0" wrapText="false" indent="0" shrinkToFit="false"/>
      <protection locked="true" hidden="false"/>
    </xf>
    <xf numFmtId="164" fontId="70" fillId="0" borderId="16" xfId="0" applyFont="true" applyBorder="true" applyAlignment="true" applyProtection="false">
      <alignment horizontal="general" vertical="bottom" textRotation="0" wrapText="false" indent="0" shrinkToFit="false"/>
      <protection locked="true" hidden="false"/>
    </xf>
    <xf numFmtId="164" fontId="0" fillId="0" borderId="16" xfId="0" applyFont="false" applyBorder="true" applyAlignment="true" applyProtection="false">
      <alignment horizontal="general" vertical="bottom" textRotation="0" wrapText="false" indent="0" shrinkToFit="false"/>
      <protection locked="true" hidden="false"/>
    </xf>
    <xf numFmtId="164" fontId="79" fillId="0" borderId="16" xfId="0" applyFont="true" applyBorder="true" applyAlignment="true" applyProtection="false">
      <alignment horizontal="center" vertical="bottom" textRotation="0" wrapText="false" indent="0" shrinkToFit="false"/>
      <protection locked="true" hidden="false"/>
    </xf>
    <xf numFmtId="164" fontId="0" fillId="0" borderId="17" xfId="0" applyFont="false" applyBorder="true" applyAlignment="true" applyProtection="false">
      <alignment horizontal="general" vertical="bottom" textRotation="0" wrapText="false" indent="0" shrinkToFit="false"/>
      <protection locked="true" hidden="false"/>
    </xf>
    <xf numFmtId="164" fontId="80" fillId="2" borderId="0" xfId="0" applyFont="true" applyBorder="true" applyAlignment="true" applyProtection="false">
      <alignment horizontal="center" vertical="bottom" textRotation="0" wrapText="false" indent="0" shrinkToFit="false"/>
      <protection locked="true" hidden="false"/>
    </xf>
    <xf numFmtId="164" fontId="80" fillId="2" borderId="0" xfId="0" applyFont="true" applyBorder="false" applyAlignment="true" applyProtection="false">
      <alignment horizontal="center" vertical="bottom" textRotation="0" wrapText="false" indent="0" shrinkToFit="false"/>
      <protection locked="true" hidden="false"/>
    </xf>
    <xf numFmtId="164" fontId="79" fillId="0" borderId="0" xfId="0" applyFont="true" applyBorder="false" applyAlignment="true" applyProtection="false">
      <alignment horizontal="general" vertical="bottom" textRotation="0" wrapText="false" indent="0" shrinkToFit="false"/>
      <protection locked="true" hidden="false"/>
    </xf>
    <xf numFmtId="164" fontId="73" fillId="15" borderId="0" xfId="0" applyFont="true" applyBorder="false" applyAlignment="true" applyProtection="false">
      <alignment horizontal="general" vertical="bottom" textRotation="0" wrapText="false" indent="0" shrinkToFit="false"/>
      <protection locked="true" hidden="false"/>
    </xf>
    <xf numFmtId="194" fontId="79" fillId="0" borderId="0" xfId="0" applyFont="true" applyBorder="false" applyAlignment="true" applyProtection="false">
      <alignment horizontal="general" vertical="bottom" textRotation="0" wrapText="false" indent="0" shrinkToFit="false"/>
      <protection locked="true" hidden="false"/>
    </xf>
    <xf numFmtId="164" fontId="81" fillId="3" borderId="0" xfId="0" applyFont="true" applyBorder="true" applyAlignment="true" applyProtection="false">
      <alignment horizontal="center" vertical="bottom" textRotation="0" wrapText="false" indent="0" shrinkToFit="false"/>
      <protection locked="true" hidden="false"/>
    </xf>
    <xf numFmtId="164" fontId="81" fillId="0" borderId="0" xfId="0" applyFont="true" applyBorder="false" applyAlignment="true" applyProtection="false">
      <alignment horizontal="general" vertical="bottom" textRotation="0" wrapText="false" indent="0" shrinkToFit="false"/>
      <protection locked="true" hidden="false"/>
    </xf>
    <xf numFmtId="164" fontId="82" fillId="2" borderId="0" xfId="0" applyFont="true" applyBorder="false" applyAlignment="true" applyProtection="false">
      <alignment horizontal="center" vertical="bottom" textRotation="0" wrapText="false" indent="0" shrinkToFit="false"/>
      <protection locked="true" hidden="false"/>
    </xf>
    <xf numFmtId="164" fontId="82" fillId="2" borderId="0" xfId="0" applyFont="true" applyBorder="false" applyAlignment="true" applyProtection="false">
      <alignment horizontal="general" vertical="bottom" textRotation="0" wrapText="false" indent="0" shrinkToFit="false"/>
      <protection locked="true" hidden="false"/>
    </xf>
    <xf numFmtId="195" fontId="73" fillId="0" borderId="0" xfId="0" applyFont="true" applyBorder="false" applyAlignment="true" applyProtection="false">
      <alignment horizontal="general" vertical="bottom" textRotation="0" wrapText="false" indent="0" shrinkToFit="false"/>
      <protection locked="true" hidden="false"/>
    </xf>
    <xf numFmtId="196" fontId="73" fillId="0" borderId="0" xfId="0" applyFont="true" applyBorder="false" applyAlignment="true" applyProtection="false">
      <alignment horizontal="general" vertical="bottom" textRotation="0" wrapText="false" indent="0" shrinkToFit="false"/>
      <protection locked="true" hidden="false"/>
    </xf>
    <xf numFmtId="164" fontId="0" fillId="18" borderId="0" xfId="0" applyFont="true" applyBorder="false" applyAlignment="true" applyProtection="false">
      <alignment horizontal="center" vertical="bottom" textRotation="0" wrapText="false" indent="0" shrinkToFit="false"/>
      <protection locked="true" hidden="false"/>
    </xf>
    <xf numFmtId="164" fontId="73" fillId="18" borderId="0" xfId="0" applyFont="true" applyBorder="false" applyAlignment="true" applyProtection="false">
      <alignment horizontal="general" vertical="bottom" textRotation="0" wrapText="false" indent="0" shrinkToFit="false"/>
      <protection locked="true" hidden="false"/>
    </xf>
    <xf numFmtId="195" fontId="73" fillId="18" borderId="0" xfId="0" applyFont="true" applyBorder="false" applyAlignment="true" applyProtection="false">
      <alignment horizontal="general" vertical="bottom" textRotation="0" wrapText="false" indent="0" shrinkToFit="false"/>
      <protection locked="true" hidden="false"/>
    </xf>
    <xf numFmtId="196" fontId="73" fillId="18" borderId="0" xfId="0" applyFont="true" applyBorder="false" applyAlignment="true" applyProtection="false">
      <alignment horizontal="general" vertical="bottom" textRotation="0" wrapText="false" indent="0" shrinkToFit="false"/>
      <protection locked="true" hidden="false"/>
    </xf>
    <xf numFmtId="169" fontId="0" fillId="18" borderId="0" xfId="0" applyFont="false" applyBorder="false" applyAlignment="true" applyProtection="false">
      <alignment horizontal="general" vertical="bottom" textRotation="0" wrapText="false" indent="0" shrinkToFit="false"/>
      <protection locked="true" hidden="false"/>
    </xf>
    <xf numFmtId="169" fontId="0" fillId="18" borderId="0" xfId="0" applyFont="true" applyBorder="false" applyAlignment="true" applyProtection="false">
      <alignment horizontal="center" vertical="bottom" textRotation="0" wrapText="false" indent="0" shrinkToFit="false"/>
      <protection locked="true" hidden="false"/>
    </xf>
    <xf numFmtId="164" fontId="81" fillId="2" borderId="0" xfId="0" applyFont="true" applyBorder="false" applyAlignment="true" applyProtection="false">
      <alignment horizontal="general" vertical="bottom" textRotation="0" wrapText="false" indent="0" shrinkToFit="false"/>
      <protection locked="true" hidden="false"/>
    </xf>
    <xf numFmtId="175" fontId="81" fillId="2" borderId="0" xfId="0" applyFont="true" applyBorder="false" applyAlignment="true" applyProtection="false">
      <alignment horizontal="center" vertical="bottom" textRotation="0" wrapText="false" indent="0" shrinkToFit="false"/>
      <protection locked="true" hidden="false"/>
    </xf>
    <xf numFmtId="171" fontId="81" fillId="2" borderId="0" xfId="0" applyFont="true" applyBorder="false" applyAlignment="true" applyProtection="false">
      <alignment horizontal="center" vertical="bottom" textRotation="0" wrapText="false" indent="0" shrinkToFit="false"/>
      <protection locked="true" hidden="false"/>
    </xf>
    <xf numFmtId="169" fontId="81" fillId="2"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97" fontId="0" fillId="0" borderId="0" xfId="0" applyFont="false" applyBorder="fals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left" vertical="bottom" textRotation="0" wrapText="false" indent="0" shrinkToFit="false"/>
      <protection locked="true" hidden="false"/>
    </xf>
    <xf numFmtId="169" fontId="34" fillId="0" borderId="0" xfId="0" applyFont="true" applyBorder="false" applyAlignment="true" applyProtection="false">
      <alignment horizontal="general" vertical="bottom" textRotation="0" wrapText="false" indent="0" shrinkToFit="false"/>
      <protection locked="true" hidden="false"/>
    </xf>
    <xf numFmtId="169" fontId="75" fillId="19" borderId="0" xfId="0" applyFont="true" applyBorder="false" applyAlignment="true" applyProtection="false">
      <alignment horizontal="general" vertical="bottom" textRotation="0" wrapText="false" indent="0" shrinkToFit="false"/>
      <protection locked="true" hidden="false"/>
    </xf>
    <xf numFmtId="166" fontId="79" fillId="0" borderId="0" xfId="0" applyFont="true" applyBorder="false" applyAlignment="true" applyProtection="false">
      <alignment horizontal="general" vertical="bottom" textRotation="0" wrapText="false" indent="0" shrinkToFit="false"/>
      <protection locked="true" hidden="false"/>
    </xf>
    <xf numFmtId="197" fontId="79" fillId="0" borderId="0" xfId="0" applyFont="true" applyBorder="false" applyAlignment="true" applyProtection="false">
      <alignment horizontal="general" vertical="bottom" textRotation="0" wrapText="false" indent="0" shrinkToFit="false"/>
      <protection locked="true" hidden="false"/>
    </xf>
    <xf numFmtId="169" fontId="79" fillId="0" borderId="0" xfId="0" applyFont="true" applyBorder="false" applyAlignment="true" applyProtection="false">
      <alignment horizontal="general" vertical="bottom" textRotation="0" wrapText="false" indent="0" shrinkToFit="false"/>
      <protection locked="true" hidden="false"/>
    </xf>
    <xf numFmtId="167" fontId="79" fillId="0" borderId="0" xfId="0" applyFont="true" applyBorder="false" applyAlignment="true" applyProtection="false">
      <alignment horizontal="general" vertical="bottom" textRotation="0" wrapText="false" indent="0" shrinkToFit="false"/>
      <protection locked="true" hidden="false"/>
    </xf>
    <xf numFmtId="164" fontId="82" fillId="3" borderId="0" xfId="0" applyFont="true" applyBorder="true" applyAlignment="true" applyProtection="false">
      <alignment horizontal="center" vertical="bottom" textRotation="0" wrapText="false" indent="0" shrinkToFit="false"/>
      <protection locked="true" hidden="false"/>
    </xf>
    <xf numFmtId="164" fontId="83" fillId="0" borderId="0" xfId="0" applyFont="true" applyBorder="false" applyAlignment="true" applyProtection="false">
      <alignment horizontal="general" vertical="bottom" textRotation="0" wrapText="false" indent="0" shrinkToFit="false"/>
      <protection locked="true" hidden="false"/>
    </xf>
    <xf numFmtId="164" fontId="84"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6" fontId="21" fillId="0" borderId="0" xfId="0" applyFont="true" applyBorder="false" applyAlignment="true" applyProtection="false">
      <alignment horizontal="general" vertical="bottom" textRotation="0" wrapText="false" indent="0" shrinkToFit="false"/>
      <protection locked="true" hidden="false"/>
    </xf>
    <xf numFmtId="164" fontId="87"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right" vertical="bottom" textRotation="0" wrapText="false" indent="0" shrinkToFit="false"/>
      <protection locked="true" hidden="false"/>
    </xf>
    <xf numFmtId="169" fontId="34" fillId="0" borderId="0" xfId="0" applyFont="true" applyBorder="false" applyAlignment="true" applyProtection="false">
      <alignment horizontal="right" vertical="bottom" textRotation="0" wrapText="false" indent="0" shrinkToFit="false"/>
      <protection locked="true" hidden="false"/>
    </xf>
    <xf numFmtId="164" fontId="0" fillId="18" borderId="0" xfId="0" applyFont="true" applyBorder="false" applyAlignment="true" applyProtection="false">
      <alignment horizontal="general" vertical="bottom" textRotation="0" wrapText="false" indent="0" shrinkToFit="false"/>
      <protection locked="true" hidden="false"/>
    </xf>
    <xf numFmtId="169" fontId="34" fillId="18" borderId="0" xfId="0" applyFont="true" applyBorder="false" applyAlignment="true" applyProtection="false">
      <alignment horizontal="right" vertical="bottom" textRotation="0" wrapText="false" indent="0" shrinkToFit="false"/>
      <protection locked="true" hidden="false"/>
    </xf>
    <xf numFmtId="169" fontId="34" fillId="6" borderId="0" xfId="0" applyFont="true" applyBorder="false" applyAlignment="true" applyProtection="false">
      <alignment horizontal="right" vertical="bottom" textRotation="0" wrapText="false" indent="0" shrinkToFit="false"/>
      <protection locked="true" hidden="false"/>
    </xf>
    <xf numFmtId="164" fontId="70" fillId="18"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9" fontId="9" fillId="2" borderId="0" xfId="0" applyFont="true" applyBorder="false" applyAlignment="true" applyProtection="false">
      <alignment horizontal="right" vertical="bottom" textRotation="0" wrapText="false" indent="0" shrinkToFit="false"/>
      <protection locked="true" hidden="false"/>
    </xf>
    <xf numFmtId="164" fontId="9" fillId="3" borderId="0" xfId="0" applyFont="true" applyBorder="fals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right" vertical="bottom" textRotation="0" wrapText="false" indent="0" shrinkToFit="false"/>
      <protection locked="true" hidden="false"/>
    </xf>
    <xf numFmtId="164" fontId="70" fillId="14" borderId="0" xfId="0" applyFont="true" applyBorder="false" applyAlignment="true" applyProtection="false">
      <alignment horizontal="general" vertical="bottom" textRotation="0" wrapText="false" indent="0" shrinkToFit="false"/>
      <protection locked="true" hidden="false"/>
    </xf>
    <xf numFmtId="166" fontId="70" fillId="14" borderId="0" xfId="0" applyFont="true" applyBorder="false" applyAlignment="true" applyProtection="false">
      <alignment horizontal="right" vertical="bottom" textRotation="0" wrapText="false" indent="0" shrinkToFit="false"/>
      <protection locked="true" hidden="false"/>
    </xf>
    <xf numFmtId="169" fontId="55" fillId="0" borderId="0" xfId="0" applyFont="true" applyBorder="false" applyAlignment="true" applyProtection="false">
      <alignment horizontal="general" vertical="bottom" textRotation="0" wrapText="false" indent="0" shrinkToFit="false"/>
      <protection locked="true" hidden="false"/>
    </xf>
    <xf numFmtId="165" fontId="21" fillId="0" borderId="0" xfId="0" applyFont="true" applyBorder="false" applyAlignment="true" applyProtection="false">
      <alignment horizontal="general" vertical="bottom" textRotation="0" wrapText="false" indent="0" shrinkToFit="false"/>
      <protection locked="true" hidden="false"/>
    </xf>
    <xf numFmtId="164" fontId="89" fillId="2" borderId="0" xfId="0" applyFont="true" applyBorder="false" applyAlignment="true" applyProtection="false">
      <alignment horizontal="general" vertical="bottom" textRotation="0" wrapText="false" indent="0" shrinkToFit="false"/>
      <protection locked="true" hidden="false"/>
    </xf>
    <xf numFmtId="164" fontId="70" fillId="2" borderId="0" xfId="0" applyFont="true" applyBorder="false" applyAlignment="true" applyProtection="false">
      <alignment horizontal="right" vertical="bottom" textRotation="0" wrapText="false" indent="0" shrinkToFit="false"/>
      <protection locked="true" hidden="false"/>
    </xf>
    <xf numFmtId="164" fontId="75" fillId="15" borderId="0" xfId="0" applyFont="true" applyBorder="false" applyAlignment="true" applyProtection="false">
      <alignment horizontal="center" vertical="bottom" textRotation="0" wrapText="false" indent="0" shrinkToFit="false"/>
      <protection locked="true" hidden="false"/>
    </xf>
    <xf numFmtId="164" fontId="25" fillId="2" borderId="0" xfId="0" applyFont="true" applyBorder="false" applyAlignment="true" applyProtection="false">
      <alignment horizontal="general" vertical="bottom" textRotation="0" wrapText="false" indent="0" shrinkToFit="false"/>
      <protection locked="true" hidden="false"/>
    </xf>
    <xf numFmtId="164" fontId="25" fillId="2" borderId="0" xfId="0" applyFont="true" applyBorder="false" applyAlignment="true" applyProtection="false">
      <alignment horizontal="center" vertical="bottom" textRotation="0" wrapText="false" indent="0" shrinkToFit="false"/>
      <protection locked="true" hidden="false"/>
    </xf>
    <xf numFmtId="164" fontId="71" fillId="6" borderId="0" xfId="0" applyFont="true" applyBorder="false" applyAlignment="true" applyProtection="false">
      <alignment horizontal="center" vertical="bottom" textRotation="0" wrapText="false" indent="0" shrinkToFit="false"/>
      <protection locked="true" hidden="false"/>
    </xf>
    <xf numFmtId="164" fontId="71" fillId="6" borderId="0" xfId="0" applyFont="true" applyBorder="false" applyAlignment="true" applyProtection="false">
      <alignment horizontal="general" vertical="bottom" textRotation="0" wrapText="false" indent="0" shrinkToFit="false"/>
      <protection locked="true" hidden="false"/>
    </xf>
    <xf numFmtId="193" fontId="71" fillId="6" borderId="0" xfId="0" applyFont="true" applyBorder="false" applyAlignment="true" applyProtection="false">
      <alignment horizontal="general" vertical="bottom" textRotation="0" wrapText="false" indent="0" shrinkToFit="false"/>
      <protection locked="true" hidden="false"/>
    </xf>
    <xf numFmtId="164" fontId="90" fillId="6" borderId="0" xfId="0" applyFont="true" applyBorder="false" applyAlignment="true" applyProtection="false">
      <alignment horizontal="general" vertical="bottom" textRotation="0" wrapText="false" indent="0" shrinkToFit="false"/>
      <protection locked="true" hidden="false"/>
    </xf>
    <xf numFmtId="193" fontId="91" fillId="16" borderId="0" xfId="0" applyFont="true" applyBorder="false" applyAlignment="true" applyProtection="false">
      <alignment horizontal="general" vertical="bottom" textRotation="0" wrapText="false" indent="0" shrinkToFit="false"/>
      <protection locked="true" hidden="false"/>
    </xf>
    <xf numFmtId="164" fontId="71" fillId="18" borderId="0" xfId="0" applyFont="true" applyBorder="false" applyAlignment="true" applyProtection="false">
      <alignment horizontal="center" vertical="bottom" textRotation="0" wrapText="false" indent="0" shrinkToFit="false"/>
      <protection locked="true" hidden="false"/>
    </xf>
    <xf numFmtId="164" fontId="71" fillId="18" borderId="0" xfId="0" applyFont="true" applyBorder="false" applyAlignment="true" applyProtection="false">
      <alignment horizontal="general" vertical="bottom" textRotation="0" wrapText="false" indent="0" shrinkToFit="false"/>
      <protection locked="true" hidden="false"/>
    </xf>
    <xf numFmtId="193" fontId="71" fillId="18" borderId="0" xfId="0" applyFont="true" applyBorder="false" applyAlignment="true" applyProtection="false">
      <alignment horizontal="general" vertical="bottom" textRotation="0" wrapText="false" indent="0" shrinkToFit="false"/>
      <protection locked="true" hidden="false"/>
    </xf>
    <xf numFmtId="164" fontId="90" fillId="18" borderId="0" xfId="0" applyFont="true" applyBorder="false" applyAlignment="true" applyProtection="false">
      <alignment horizontal="general" vertical="bottom" textRotation="0" wrapText="false" indent="0" shrinkToFit="false"/>
      <protection locked="true" hidden="false"/>
    </xf>
    <xf numFmtId="164" fontId="92" fillId="16" borderId="0" xfId="0" applyFont="true" applyBorder="false" applyAlignment="true" applyProtection="false">
      <alignment horizontal="center" vertical="bottom" textRotation="0" wrapText="false" indent="0" shrinkToFit="false"/>
      <protection locked="true" hidden="false"/>
    </xf>
    <xf numFmtId="164" fontId="92" fillId="16" borderId="0" xfId="0" applyFont="true" applyBorder="false" applyAlignment="true" applyProtection="false">
      <alignment horizontal="general" vertical="bottom" textRotation="0" wrapText="false" indent="0" shrinkToFit="false"/>
      <protection locked="true" hidden="false"/>
    </xf>
    <xf numFmtId="193" fontId="92" fillId="16" borderId="0" xfId="0" applyFont="true" applyBorder="false" applyAlignment="true" applyProtection="false">
      <alignment horizontal="general" vertical="bottom" textRotation="0" wrapText="false" indent="0" shrinkToFit="false"/>
      <protection locked="true" hidden="false"/>
    </xf>
    <xf numFmtId="164" fontId="93" fillId="16" borderId="0" xfId="0" applyFont="true" applyBorder="false" applyAlignment="true" applyProtection="false">
      <alignment horizontal="general" vertical="bottom" textRotation="0" wrapText="false" indent="0" shrinkToFit="false"/>
      <protection locked="true" hidden="false"/>
    </xf>
    <xf numFmtId="164" fontId="94" fillId="6" borderId="0" xfId="0" applyFont="true" applyBorder="false" applyAlignment="true" applyProtection="false">
      <alignment horizontal="center" vertical="bottom" textRotation="0" wrapText="false" indent="0" shrinkToFit="false"/>
      <protection locked="true" hidden="false"/>
    </xf>
    <xf numFmtId="164" fontId="94" fillId="6" borderId="0" xfId="0" applyFont="true" applyBorder="false" applyAlignment="true" applyProtection="false">
      <alignment horizontal="general" vertical="bottom" textRotation="0" wrapText="false" indent="0" shrinkToFit="false"/>
      <protection locked="true" hidden="false"/>
    </xf>
    <xf numFmtId="193" fontId="94" fillId="6" borderId="0" xfId="0" applyFont="true" applyBorder="false" applyAlignment="true" applyProtection="false">
      <alignment horizontal="right" vertical="bottom" textRotation="0" wrapText="false" indent="0" shrinkToFit="false"/>
      <protection locked="true" hidden="false"/>
    </xf>
    <xf numFmtId="193" fontId="91" fillId="16" borderId="0" xfId="0" applyFont="true" applyBorder="false" applyAlignment="true" applyProtection="false">
      <alignment horizontal="right" vertical="bottom" textRotation="0" wrapText="false" indent="0" shrinkToFit="false"/>
      <protection locked="true" hidden="false"/>
    </xf>
    <xf numFmtId="164" fontId="94" fillId="18" borderId="0" xfId="0" applyFont="true" applyBorder="false" applyAlignment="true" applyProtection="false">
      <alignment horizontal="center" vertical="bottom" textRotation="0" wrapText="false" indent="0" shrinkToFit="false"/>
      <protection locked="true" hidden="false"/>
    </xf>
    <xf numFmtId="164" fontId="94" fillId="18" borderId="0" xfId="0" applyFont="true" applyBorder="false" applyAlignment="true" applyProtection="false">
      <alignment horizontal="general" vertical="bottom" textRotation="0" wrapText="false" indent="0" shrinkToFit="false"/>
      <protection locked="true" hidden="false"/>
    </xf>
    <xf numFmtId="193" fontId="94" fillId="18" borderId="0" xfId="0" applyFont="true" applyBorder="false" applyAlignment="true" applyProtection="false">
      <alignment horizontal="right" vertical="bottom" textRotation="0" wrapText="false" indent="0" shrinkToFit="false"/>
      <protection locked="true" hidden="false"/>
    </xf>
    <xf numFmtId="164" fontId="78" fillId="2" borderId="0" xfId="0" applyFont="true" applyBorder="true" applyAlignment="true" applyProtection="false">
      <alignment horizontal="general" vertical="bottom" textRotation="0" wrapText="false" indent="0" shrinkToFit="false"/>
      <protection locked="true" hidden="false"/>
    </xf>
    <xf numFmtId="164" fontId="9" fillId="3" borderId="0" xfId="0" applyFont="true" applyBorder="true" applyAlignment="true" applyProtection="false">
      <alignment horizontal="general" vertical="bottom" textRotation="0" wrapText="false" indent="0" shrinkToFit="false"/>
      <protection locked="true" hidden="false"/>
    </xf>
    <xf numFmtId="164" fontId="71" fillId="0" borderId="0" xfId="0" applyFont="true" applyBorder="false" applyAlignment="true" applyProtection="false">
      <alignment horizontal="general" vertical="bottom" textRotation="0" wrapText="false" indent="0" shrinkToFit="false"/>
      <protection locked="true" hidden="false"/>
    </xf>
    <xf numFmtId="166" fontId="74" fillId="0" borderId="0" xfId="0" applyFont="true" applyBorder="false" applyAlignment="true" applyProtection="false">
      <alignment horizontal="general" vertical="bottom" textRotation="0" wrapText="false" indent="0" shrinkToFit="false"/>
      <protection locked="true" hidden="false"/>
    </xf>
    <xf numFmtId="169" fontId="95" fillId="0" borderId="0" xfId="0" applyFont="true" applyBorder="false" applyAlignment="true" applyProtection="false">
      <alignment horizontal="general" vertical="bottom" textRotation="0" wrapText="false" indent="0" shrinkToFit="false"/>
      <protection locked="true" hidden="false"/>
    </xf>
    <xf numFmtId="169" fontId="71" fillId="0" borderId="0" xfId="0" applyFont="true" applyBorder="false" applyAlignment="true" applyProtection="false">
      <alignment horizontal="general" vertical="bottom" textRotation="0" wrapText="false" indent="0" shrinkToFit="false"/>
      <protection locked="true" hidden="false"/>
    </xf>
    <xf numFmtId="166" fontId="74" fillId="18" borderId="0" xfId="0" applyFont="true" applyBorder="false" applyAlignment="true" applyProtection="false">
      <alignment horizontal="general" vertical="bottom" textRotation="0" wrapText="false" indent="0" shrinkToFit="false"/>
      <protection locked="true" hidden="false"/>
    </xf>
    <xf numFmtId="169" fontId="95" fillId="18" borderId="0" xfId="0" applyFont="true" applyBorder="false" applyAlignment="true" applyProtection="false">
      <alignment horizontal="general" vertical="bottom" textRotation="0" wrapText="false" indent="0" shrinkToFit="false"/>
      <protection locked="true" hidden="false"/>
    </xf>
    <xf numFmtId="169" fontId="71" fillId="18" borderId="0" xfId="0" applyFont="true" applyBorder="false" applyAlignment="true" applyProtection="false">
      <alignment horizontal="general" vertical="bottom" textRotation="0" wrapText="false" indent="0" shrinkToFit="false"/>
      <protection locked="true" hidden="false"/>
    </xf>
    <xf numFmtId="164" fontId="94" fillId="0" borderId="0" xfId="0" applyFont="true" applyBorder="false" applyAlignment="true" applyProtection="false">
      <alignment horizontal="general" vertical="bottom" textRotation="0" wrapText="false" indent="0" shrinkToFit="false"/>
      <protection locked="true" hidden="false"/>
    </xf>
    <xf numFmtId="169" fontId="94" fillId="0" borderId="0" xfId="0" applyFont="true" applyBorder="false" applyAlignment="true" applyProtection="false">
      <alignment horizontal="general" vertical="bottom" textRotation="0" wrapText="false" indent="0" shrinkToFit="false"/>
      <protection locked="true" hidden="false"/>
    </xf>
    <xf numFmtId="169" fontId="94" fillId="18" borderId="0" xfId="0" applyFont="true" applyBorder="false" applyAlignment="true" applyProtection="false">
      <alignment horizontal="general" vertical="bottom" textRotation="0" wrapText="false" indent="0" shrinkToFit="false"/>
      <protection locked="true" hidden="false"/>
    </xf>
    <xf numFmtId="164" fontId="71" fillId="10" borderId="0" xfId="0" applyFont="true" applyBorder="false" applyAlignment="true" applyProtection="false">
      <alignment horizontal="general" vertical="bottom" textRotation="0" wrapText="false" indent="0" shrinkToFit="false"/>
      <protection locked="true" hidden="false"/>
    </xf>
    <xf numFmtId="164" fontId="92" fillId="10" borderId="0" xfId="0" applyFont="true" applyBorder="false" applyAlignment="true" applyProtection="false">
      <alignment horizontal="general" vertical="bottom" textRotation="0" wrapText="false" indent="0" shrinkToFit="false"/>
      <protection locked="true" hidden="false"/>
    </xf>
    <xf numFmtId="166" fontId="96" fillId="10" borderId="0" xfId="0" applyFont="true" applyBorder="false" applyAlignment="true" applyProtection="false">
      <alignment horizontal="general" vertical="bottom" textRotation="0" wrapText="false" indent="0" shrinkToFit="false"/>
      <protection locked="true" hidden="false"/>
    </xf>
    <xf numFmtId="169" fontId="96" fillId="10" borderId="0" xfId="0" applyFont="true" applyBorder="false" applyAlignment="true" applyProtection="false">
      <alignment horizontal="general" vertical="bottom" textRotation="0" wrapText="false" indent="0" shrinkToFit="false"/>
      <protection locked="true" hidden="false"/>
    </xf>
    <xf numFmtId="166" fontId="74" fillId="2" borderId="0" xfId="0" applyFont="true" applyBorder="false" applyAlignment="true" applyProtection="false">
      <alignment horizontal="general" vertical="bottom" textRotation="0" wrapText="false" indent="0" shrinkToFit="false"/>
      <protection locked="true" hidden="false"/>
    </xf>
    <xf numFmtId="198" fontId="97" fillId="2" borderId="0" xfId="0" applyFont="true" applyBorder="false" applyAlignment="true" applyProtection="false">
      <alignment horizontal="general" vertical="bottom" textRotation="0" wrapText="false" indent="0" shrinkToFit="false"/>
      <protection locked="true" hidden="false"/>
    </xf>
    <xf numFmtId="198" fontId="97" fillId="0" borderId="0" xfId="0" applyFont="true" applyBorder="false" applyAlignment="true" applyProtection="false">
      <alignment horizontal="general" vertical="bottom" textRotation="0" wrapText="false" indent="0" shrinkToFit="false"/>
      <protection locked="true" hidden="false"/>
    </xf>
    <xf numFmtId="164" fontId="95" fillId="0" borderId="0" xfId="0" applyFont="true" applyBorder="false" applyAlignment="true" applyProtection="false">
      <alignment horizontal="general" vertical="bottom" textRotation="0" wrapText="false" indent="0" shrinkToFit="false"/>
      <protection locked="true" hidden="false"/>
    </xf>
    <xf numFmtId="198" fontId="97" fillId="18" borderId="0" xfId="0" applyFont="true" applyBorder="false" applyAlignment="true" applyProtection="false">
      <alignment horizontal="general" vertical="bottom" textRotation="0" wrapText="false" indent="0" shrinkToFit="false"/>
      <protection locked="true" hidden="false"/>
    </xf>
    <xf numFmtId="164" fontId="95" fillId="18" borderId="0" xfId="0" applyFont="true" applyBorder="false" applyAlignment="true" applyProtection="false">
      <alignment horizontal="general" vertical="bottom" textRotation="0" wrapText="false" indent="0" shrinkToFit="false"/>
      <protection locked="true" hidden="false"/>
    </xf>
    <xf numFmtId="169" fontId="71" fillId="10" borderId="0" xfId="0" applyFont="true" applyBorder="false" applyAlignment="true" applyProtection="false">
      <alignment horizontal="general" vertical="bottom" textRotation="0" wrapText="false" indent="0" shrinkToFit="false"/>
      <protection locked="true" hidden="false"/>
    </xf>
    <xf numFmtId="169" fontId="92" fillId="1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general" vertical="bottom" textRotation="0" wrapText="false" indent="0" shrinkToFit="false"/>
      <protection locked="true" hidden="false"/>
    </xf>
    <xf numFmtId="169" fontId="70"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9" fontId="76" fillId="0" borderId="0" xfId="0" applyFont="true" applyBorder="false" applyAlignment="true" applyProtection="false">
      <alignment horizontal="general" vertical="bottom" textRotation="0" wrapText="false" indent="0" shrinkToFit="false"/>
      <protection locked="true" hidden="false"/>
    </xf>
    <xf numFmtId="164" fontId="76" fillId="0" borderId="0" xfId="0" applyFont="true" applyBorder="false" applyAlignment="true" applyProtection="false">
      <alignment horizontal="general" vertical="bottom" textRotation="0" wrapText="false" indent="0" shrinkToFit="false"/>
      <protection locked="true" hidden="false"/>
    </xf>
    <xf numFmtId="164" fontId="98" fillId="15" borderId="0" xfId="0" applyFont="true" applyBorder="false" applyAlignment="true" applyProtection="false">
      <alignment horizontal="general" vertical="bottom" textRotation="0" wrapText="false" indent="0" shrinkToFit="false"/>
      <protection locked="true" hidden="false"/>
    </xf>
    <xf numFmtId="187" fontId="99" fillId="16" borderId="0" xfId="0" applyFont="true" applyBorder="false" applyAlignment="tru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general" vertical="bottom" textRotation="0" wrapText="false" indent="0" shrinkToFit="false"/>
      <protection locked="true" hidden="false"/>
    </xf>
    <xf numFmtId="164" fontId="92" fillId="13" borderId="0" xfId="0" applyFont="true" applyBorder="false" applyAlignment="true" applyProtection="false">
      <alignment horizontal="general" vertical="bottom" textRotation="0" wrapText="false" indent="0" shrinkToFit="false"/>
      <protection locked="true" hidden="false"/>
    </xf>
    <xf numFmtId="187" fontId="0" fillId="0" borderId="0" xfId="0" applyFont="false" applyBorder="false" applyAlignment="true" applyProtection="false">
      <alignment horizontal="general" vertical="bottom" textRotation="0" wrapText="false" indent="0" shrinkToFit="false"/>
      <protection locked="true" hidden="false"/>
    </xf>
    <xf numFmtId="199" fontId="73" fillId="0" borderId="0" xfId="0" applyFont="true" applyBorder="false" applyAlignment="true" applyProtection="false">
      <alignment horizontal="general" vertical="bottom" textRotation="0" wrapText="false" indent="0" shrinkToFit="false"/>
      <protection locked="true" hidden="false"/>
    </xf>
    <xf numFmtId="187" fontId="70" fillId="0" borderId="0" xfId="0" applyFont="true" applyBorder="false" applyAlignment="true" applyProtection="false">
      <alignment horizontal="general" vertical="bottom" textRotation="0" wrapText="false" indent="0" shrinkToFit="false"/>
      <protection locked="true" hidden="false"/>
    </xf>
    <xf numFmtId="164" fontId="90" fillId="0" borderId="0" xfId="0" applyFont="true" applyBorder="false" applyAlignment="true" applyProtection="false">
      <alignment horizontal="general" vertical="bottom" textRotation="0" wrapText="false" indent="0" shrinkToFit="false"/>
      <protection locked="true" hidden="false"/>
    </xf>
    <xf numFmtId="187" fontId="0" fillId="18" borderId="0" xfId="0" applyFont="false" applyBorder="false" applyAlignment="true" applyProtection="false">
      <alignment horizontal="general" vertical="bottom" textRotation="0" wrapText="false" indent="0" shrinkToFit="false"/>
      <protection locked="true" hidden="false"/>
    </xf>
    <xf numFmtId="199" fontId="73" fillId="18" borderId="0" xfId="0" applyFont="true" applyBorder="false" applyAlignment="true" applyProtection="false">
      <alignment horizontal="general" vertical="bottom" textRotation="0" wrapText="false" indent="0" shrinkToFit="false"/>
      <protection locked="true" hidden="false"/>
    </xf>
    <xf numFmtId="187" fontId="70" fillId="18" borderId="0" xfId="0" applyFont="true" applyBorder="false" applyAlignment="true" applyProtection="false">
      <alignment horizontal="general" vertical="bottom" textRotation="0" wrapText="false" indent="0" shrinkToFit="false"/>
      <protection locked="true" hidden="false"/>
    </xf>
    <xf numFmtId="187" fontId="73" fillId="18" borderId="0" xfId="0" applyFont="true" applyBorder="false" applyAlignment="true" applyProtection="false">
      <alignment horizontal="general" vertical="bottom" textRotation="0" wrapText="false" indent="0" shrinkToFit="false"/>
      <protection locked="true" hidden="false"/>
    </xf>
    <xf numFmtId="164" fontId="70" fillId="13" borderId="0" xfId="0" applyFont="true" applyBorder="false" applyAlignment="tru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left" vertical="bottom" textRotation="0" wrapText="false" indent="0" shrinkToFit="false"/>
      <protection locked="true" hidden="false"/>
    </xf>
    <xf numFmtId="164" fontId="0" fillId="18" borderId="0" xfId="0" applyFont="true" applyBorder="false" applyAlignment="true" applyProtection="false">
      <alignment horizontal="left" vertical="bottom" textRotation="0" wrapText="false" indent="0" shrinkToFit="false"/>
      <protection locked="true" hidden="false"/>
    </xf>
    <xf numFmtId="187" fontId="0" fillId="6" borderId="0" xfId="0" applyFont="false" applyBorder="false" applyAlignment="tru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center" vertical="bottom" textRotation="0" wrapText="false" indent="0" shrinkToFit="false"/>
      <protection locked="true" hidden="false"/>
    </xf>
    <xf numFmtId="187" fontId="70" fillId="6" borderId="0" xfId="0" applyFont="true" applyBorder="false" applyAlignment="true" applyProtection="false">
      <alignment horizontal="general" vertical="bottom" textRotation="0" wrapText="false" indent="0" shrinkToFit="false"/>
      <protection locked="true" hidden="false"/>
    </xf>
    <xf numFmtId="164" fontId="9" fillId="20" borderId="0" xfId="0" applyFont="true" applyBorder="false" applyAlignment="true" applyProtection="false">
      <alignment horizontal="general" vertical="bottom" textRotation="0" wrapText="false" indent="0" shrinkToFit="false"/>
      <protection locked="true" hidden="false"/>
    </xf>
    <xf numFmtId="164" fontId="0" fillId="20" borderId="0" xfId="0" applyFont="false" applyBorder="false" applyAlignment="true" applyProtection="false">
      <alignment horizontal="general" vertical="bottom" textRotation="0" wrapText="false" indent="0" shrinkToFit="false"/>
      <protection locked="true" hidden="false"/>
    </xf>
    <xf numFmtId="164" fontId="54" fillId="2" borderId="0" xfId="0" applyFont="true" applyBorder="true" applyAlignment="true" applyProtection="false">
      <alignment horizontal="center" vertical="bottom" textRotation="0" wrapText="false" indent="0" shrinkToFit="false"/>
      <protection locked="true" hidden="false"/>
    </xf>
    <xf numFmtId="164" fontId="100" fillId="0" borderId="0" xfId="0" applyFont="true" applyBorder="false" applyAlignment="true" applyProtection="false">
      <alignment horizontal="general" vertical="bottom" textRotation="0" wrapText="false" indent="0" shrinkToFit="false"/>
      <protection locked="true" hidden="false"/>
    </xf>
    <xf numFmtId="164" fontId="73" fillId="6" borderId="0" xfId="0" applyFont="true" applyBorder="false" applyAlignment="true" applyProtection="false">
      <alignment horizontal="general" vertical="bottom" textRotation="0" wrapText="false" indent="0" shrinkToFit="false"/>
      <protection locked="true" hidden="false"/>
    </xf>
    <xf numFmtId="166" fontId="74" fillId="6" borderId="0" xfId="0" applyFont="true" applyBorder="false" applyAlignment="true" applyProtection="false">
      <alignment horizontal="general" vertical="bottom" textRotation="0" wrapText="false" indent="0" shrinkToFit="false"/>
      <protection locked="true" hidden="false"/>
    </xf>
    <xf numFmtId="169" fontId="70" fillId="6" borderId="0" xfId="0" applyFont="true" applyBorder="false" applyAlignment="true" applyProtection="false">
      <alignment horizontal="general" vertical="bottom" textRotation="0" wrapText="false" indent="0" shrinkToFit="false"/>
      <protection locked="true" hidden="false"/>
    </xf>
    <xf numFmtId="185" fontId="0" fillId="6" borderId="0" xfId="0" applyFont="false" applyBorder="false" applyAlignment="true" applyProtection="false">
      <alignment horizontal="general" vertical="bottom" textRotation="0" wrapText="false" indent="0" shrinkToFit="false"/>
      <protection locked="true" hidden="false"/>
    </xf>
    <xf numFmtId="164" fontId="74" fillId="6" borderId="0" xfId="0" applyFont="true" applyBorder="false" applyAlignment="true" applyProtection="false">
      <alignment horizontal="general" vertical="bottom" textRotation="0" wrapText="true" indent="0" shrinkToFit="false"/>
      <protection locked="true" hidden="false"/>
    </xf>
    <xf numFmtId="164" fontId="101" fillId="21" borderId="0" xfId="0" applyFont="true" applyBorder="false" applyAlignment="true" applyProtection="false">
      <alignment horizontal="center" vertical="bottom" textRotation="0" wrapText="false" indent="0" shrinkToFit="false"/>
      <protection locked="true" hidden="false"/>
    </xf>
    <xf numFmtId="189" fontId="73" fillId="6" borderId="0" xfId="0" applyFont="true" applyBorder="false" applyAlignment="true" applyProtection="false">
      <alignment horizontal="general" vertical="bottom" textRotation="0" wrapText="false" indent="0" shrinkToFit="false"/>
      <protection locked="true" hidden="false"/>
    </xf>
    <xf numFmtId="169" fontId="70" fillId="18" borderId="0" xfId="0" applyFont="true" applyBorder="false" applyAlignment="true" applyProtection="false">
      <alignment horizontal="general" vertical="bottom" textRotation="0" wrapText="false" indent="0" shrinkToFit="false"/>
      <protection locked="true" hidden="false"/>
    </xf>
    <xf numFmtId="185" fontId="0" fillId="18" borderId="0" xfId="0" applyFont="false" applyBorder="false" applyAlignment="true" applyProtection="false">
      <alignment horizontal="general" vertical="bottom" textRotation="0" wrapText="false" indent="0" shrinkToFit="false"/>
      <protection locked="true" hidden="false"/>
    </xf>
    <xf numFmtId="164" fontId="74" fillId="18" borderId="0" xfId="0" applyFont="true" applyBorder="false" applyAlignment="true" applyProtection="false">
      <alignment horizontal="general" vertical="bottom" textRotation="0" wrapText="true" indent="0" shrinkToFit="false"/>
      <protection locked="true" hidden="false"/>
    </xf>
    <xf numFmtId="189" fontId="73" fillId="18" borderId="0" xfId="0" applyFont="true" applyBorder="false" applyAlignment="true" applyProtection="false">
      <alignment horizontal="general" vertical="bottom" textRotation="0" wrapText="false" indent="0" shrinkToFit="false"/>
      <protection locked="true" hidden="false"/>
    </xf>
    <xf numFmtId="164" fontId="102"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9" fontId="9" fillId="2" borderId="0" xfId="0" applyFont="true" applyBorder="false" applyAlignment="true" applyProtection="false">
      <alignment horizontal="general" vertical="bottom" textRotation="0" wrapText="false" indent="0" shrinkToFit="false"/>
      <protection locked="true" hidden="false"/>
    </xf>
    <xf numFmtId="185" fontId="9" fillId="2"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true" indent="0" shrinkToFit="false"/>
      <protection locked="true" hidden="false"/>
    </xf>
    <xf numFmtId="164" fontId="18" fillId="3" borderId="0" xfId="0" applyFont="true" applyBorder="fals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general" vertical="bottom" textRotation="0" wrapText="true" indent="0" shrinkToFit="false"/>
      <protection locked="true" hidden="false"/>
    </xf>
    <xf numFmtId="164" fontId="70" fillId="21" borderId="0" xfId="0" applyFont="true" applyBorder="false" applyAlignment="true" applyProtection="false">
      <alignment horizontal="general" vertical="bottom" textRotation="0" wrapText="false" indent="0" shrinkToFit="false"/>
      <protection locked="true" hidden="false"/>
    </xf>
    <xf numFmtId="164" fontId="70" fillId="22" borderId="0" xfId="0" applyFont="true" applyBorder="false" applyAlignment="true" applyProtection="false">
      <alignment horizontal="general" vertical="bottom" textRotation="0" wrapText="false" indent="0" shrinkToFit="false"/>
      <protection locked="true" hidden="false"/>
    </xf>
    <xf numFmtId="164" fontId="66" fillId="0" borderId="0" xfId="0" applyFont="true" applyBorder="true" applyAlignment="true" applyProtection="false">
      <alignment horizontal="general" vertical="bottom" textRotation="0" wrapText="false" indent="0" shrinkToFit="false"/>
      <protection locked="true" hidden="false"/>
    </xf>
    <xf numFmtId="166" fontId="103" fillId="0" borderId="0" xfId="0" applyFont="true" applyBorder="false" applyAlignment="true" applyProtection="false">
      <alignment horizontal="general" vertical="bottom" textRotation="0" wrapText="false" indent="0" shrinkToFit="false"/>
      <protection locked="true" hidden="false"/>
    </xf>
    <xf numFmtId="166" fontId="58" fillId="0" borderId="0" xfId="0" applyFont="true" applyBorder="false" applyAlignment="true" applyProtection="false">
      <alignment horizontal="general" vertical="bottom" textRotation="0" wrapText="false" indent="0" shrinkToFit="false"/>
      <protection locked="true" hidden="false"/>
    </xf>
    <xf numFmtId="164" fontId="18" fillId="3" borderId="18" xfId="0" applyFont="true" applyBorder="true" applyAlignment="true" applyProtection="false">
      <alignment horizontal="general" vertical="bottom" textRotation="0" wrapText="true" indent="0" shrinkToFit="false"/>
      <protection locked="true" hidden="false"/>
    </xf>
    <xf numFmtId="164" fontId="0" fillId="0" borderId="19" xfId="0" applyFont="false" applyBorder="true" applyAlignment="true" applyProtection="false">
      <alignment horizontal="general" vertical="bottom" textRotation="0" wrapText="true" indent="0" shrinkToFit="false"/>
      <protection locked="true" hidden="false"/>
    </xf>
    <xf numFmtId="164" fontId="0" fillId="0" borderId="19" xfId="0" applyFont="false" applyBorder="true" applyAlignment="tru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0" fillId="23" borderId="21" xfId="0" applyFont="true" applyBorder="true" applyAlignment="true" applyProtection="false">
      <alignment horizontal="general" vertical="bottom" textRotation="0" wrapText="true" indent="0" shrinkToFit="false"/>
      <protection locked="true" hidden="false"/>
    </xf>
    <xf numFmtId="164" fontId="0" fillId="23" borderId="0" xfId="0" applyFont="false" applyBorder="false" applyAlignment="true" applyProtection="false">
      <alignment horizontal="general" vertical="bottom" textRotation="0" wrapText="true" indent="0" shrinkToFit="false"/>
      <protection locked="true" hidden="false"/>
    </xf>
    <xf numFmtId="164" fontId="56" fillId="12" borderId="0" xfId="0" applyFont="true" applyBorder="false" applyAlignment="true" applyProtection="false">
      <alignment horizontal="center" vertical="bottom" textRotation="0" wrapText="false" indent="0" shrinkToFit="false"/>
      <protection locked="true" hidden="false"/>
    </xf>
    <xf numFmtId="164" fontId="0" fillId="23" borderId="0" xfId="0" applyFont="false" applyBorder="false" applyAlignment="true" applyProtection="false">
      <alignment horizontal="general" vertical="bottom" textRotation="0" wrapText="false" indent="0" shrinkToFit="false"/>
      <protection locked="true" hidden="false"/>
    </xf>
    <xf numFmtId="164" fontId="0" fillId="23" borderId="22" xfId="0" applyFont="false" applyBorder="true" applyAlignment="true" applyProtection="false">
      <alignment horizontal="general" vertical="bottom" textRotation="0" wrapText="false" indent="0" shrinkToFit="false"/>
      <protection locked="true" hidden="false"/>
    </xf>
    <xf numFmtId="164" fontId="9" fillId="2" borderId="23" xfId="0" applyFont="true" applyBorder="true" applyAlignment="true" applyProtection="false">
      <alignment horizontal="center" vertical="bottom" textRotation="0" wrapText="false" indent="0" shrinkToFit="false"/>
      <protection locked="true" hidden="false"/>
    </xf>
    <xf numFmtId="164" fontId="9" fillId="2" borderId="23" xfId="0" applyFont="true" applyBorder="true" applyAlignment="true" applyProtection="false">
      <alignment horizontal="left" vertical="bottom" textRotation="0" wrapText="false" indent="0" shrinkToFit="false"/>
      <protection locked="true" hidden="false"/>
    </xf>
    <xf numFmtId="164" fontId="55" fillId="23" borderId="21" xfId="0" applyFont="true" applyBorder="true" applyAlignment="true" applyProtection="false">
      <alignment horizontal="center" vertical="bottom" textRotation="0" wrapText="true" indent="0" shrinkToFit="false"/>
      <protection locked="true" hidden="false"/>
    </xf>
    <xf numFmtId="200" fontId="0" fillId="23" borderId="0" xfId="0" applyFont="false" applyBorder="false" applyAlignment="true" applyProtection="false">
      <alignment horizontal="center" vertical="bottom" textRotation="0" wrapText="false" indent="0" shrinkToFit="false"/>
      <protection locked="true" hidden="false"/>
    </xf>
    <xf numFmtId="164" fontId="0" fillId="0" borderId="24" xfId="0" applyFont="false" applyBorder="true" applyAlignment="true" applyProtection="false">
      <alignment horizontal="general" vertical="bottom" textRotation="0" wrapText="false" indent="0" shrinkToFit="false"/>
      <protection locked="true" hidden="false"/>
    </xf>
    <xf numFmtId="164" fontId="0" fillId="0" borderId="24" xfId="0" applyFont="false" applyBorder="true" applyAlignment="true" applyProtection="false">
      <alignment horizontal="center" vertical="bottom" textRotation="0" wrapText="false" indent="0" shrinkToFit="false"/>
      <protection locked="true" hidden="false"/>
    </xf>
    <xf numFmtId="169" fontId="0" fillId="0" borderId="24" xfId="0" applyFont="false" applyBorder="true" applyAlignment="true" applyProtection="false">
      <alignment horizontal="left" vertical="bottom" textRotation="0" wrapText="false" indent="0" shrinkToFit="false"/>
      <protection locked="true" hidden="false"/>
    </xf>
    <xf numFmtId="201" fontId="73" fillId="0" borderId="24" xfId="0" applyFont="true" applyBorder="true" applyAlignment="true" applyProtection="false">
      <alignment horizontal="center" vertical="bottom" textRotation="0" wrapText="false" indent="0" shrinkToFit="false"/>
      <protection locked="true" hidden="false"/>
    </xf>
    <xf numFmtId="169" fontId="0" fillId="23" borderId="0" xfId="0" applyFont="false" applyBorder="false" applyAlignment="true" applyProtection="false">
      <alignment horizontal="general" vertical="bottom" textRotation="0" wrapText="false" indent="0" shrinkToFit="false"/>
      <protection locked="true" hidden="false"/>
    </xf>
    <xf numFmtId="164" fontId="0" fillId="18" borderId="24" xfId="0" applyFont="false" applyBorder="true" applyAlignment="true" applyProtection="false">
      <alignment horizontal="general" vertical="bottom" textRotation="0" wrapText="false" indent="0" shrinkToFit="false"/>
      <protection locked="true" hidden="false"/>
    </xf>
    <xf numFmtId="164" fontId="0" fillId="18" borderId="24" xfId="0" applyFont="false" applyBorder="true" applyAlignment="true" applyProtection="false">
      <alignment horizontal="center" vertical="bottom" textRotation="0" wrapText="false" indent="0" shrinkToFit="false"/>
      <protection locked="true" hidden="false"/>
    </xf>
    <xf numFmtId="169" fontId="0" fillId="18" borderId="24" xfId="0" applyFont="false" applyBorder="true" applyAlignment="true" applyProtection="false">
      <alignment horizontal="left" vertical="bottom" textRotation="0" wrapText="false" indent="0" shrinkToFit="false"/>
      <protection locked="true" hidden="false"/>
    </xf>
    <xf numFmtId="201" fontId="73" fillId="18" borderId="24" xfId="0" applyFont="true" applyBorder="true" applyAlignment="true" applyProtection="false">
      <alignment horizontal="center" vertical="bottom" textRotation="0" wrapText="false" indent="0" shrinkToFit="false"/>
      <protection locked="true" hidden="false"/>
    </xf>
    <xf numFmtId="166" fontId="58" fillId="23" borderId="0" xfId="0" applyFont="true" applyBorder="false" applyAlignment="true" applyProtection="false">
      <alignment horizontal="general" vertical="bottom" textRotation="0" wrapText="false" indent="0" shrinkToFit="false"/>
      <protection locked="true" hidden="false"/>
    </xf>
    <xf numFmtId="166" fontId="0" fillId="23" borderId="0" xfId="0" applyFont="false" applyBorder="false" applyAlignment="true" applyProtection="false">
      <alignment horizontal="general" vertical="bottom" textRotation="0" wrapText="false" indent="0" shrinkToFit="false"/>
      <protection locked="true" hidden="false"/>
    </xf>
    <xf numFmtId="185" fontId="0" fillId="23" borderId="0" xfId="0" applyFont="false" applyBorder="false" applyAlignment="true" applyProtection="false">
      <alignment horizontal="center" vertical="bottom" textRotation="0" wrapText="false" indent="0" shrinkToFit="false"/>
      <protection locked="true" hidden="false"/>
    </xf>
    <xf numFmtId="164" fontId="70" fillId="23" borderId="25" xfId="0" applyFont="true" applyBorder="true" applyAlignment="true" applyProtection="false">
      <alignment horizontal="general" vertical="bottom" textRotation="0" wrapText="true" indent="0" shrinkToFit="false"/>
      <protection locked="true" hidden="false"/>
    </xf>
    <xf numFmtId="164" fontId="0" fillId="23" borderId="26" xfId="0" applyFont="false" applyBorder="true" applyAlignment="true" applyProtection="false">
      <alignment horizontal="general" vertical="bottom" textRotation="0" wrapText="true" indent="0" shrinkToFit="false"/>
      <protection locked="true" hidden="false"/>
    </xf>
    <xf numFmtId="200" fontId="0" fillId="23" borderId="26" xfId="0" applyFont="false" applyBorder="true" applyAlignment="true" applyProtection="false">
      <alignment horizontal="center" vertical="bottom" textRotation="0" wrapText="false" indent="0" shrinkToFit="false"/>
      <protection locked="true" hidden="false"/>
    </xf>
    <xf numFmtId="164" fontId="0" fillId="23" borderId="26" xfId="0" applyFont="false" applyBorder="true" applyAlignment="true" applyProtection="false">
      <alignment horizontal="general" vertical="bottom" textRotation="0" wrapText="false" indent="0" shrinkToFit="false"/>
      <protection locked="true" hidden="false"/>
    </xf>
    <xf numFmtId="164" fontId="0" fillId="23" borderId="27" xfId="0" applyFont="false" applyBorder="true" applyAlignment="true" applyProtection="false">
      <alignment horizontal="general" vertical="bottom" textRotation="0" wrapText="false" indent="0" shrinkToFit="false"/>
      <protection locked="true" hidden="false"/>
    </xf>
    <xf numFmtId="164" fontId="0" fillId="18" borderId="28" xfId="0" applyFont="false" applyBorder="true" applyAlignment="true" applyProtection="false">
      <alignment horizontal="general" vertical="bottom" textRotation="0" wrapText="false" indent="0" shrinkToFit="false"/>
      <protection locked="true" hidden="false"/>
    </xf>
    <xf numFmtId="164" fontId="0" fillId="18" borderId="28" xfId="0" applyFont="false" applyBorder="true" applyAlignment="true" applyProtection="false">
      <alignment horizontal="center" vertical="bottom" textRotation="0" wrapText="false" indent="0" shrinkToFit="false"/>
      <protection locked="true" hidden="false"/>
    </xf>
    <xf numFmtId="169" fontId="0" fillId="18" borderId="28" xfId="0" applyFont="false" applyBorder="true" applyAlignment="true" applyProtection="false">
      <alignment horizontal="left" vertical="bottom" textRotation="0" wrapText="false" indent="0" shrinkToFit="false"/>
      <protection locked="true" hidden="false"/>
    </xf>
    <xf numFmtId="201" fontId="73" fillId="18" borderId="28" xfId="0" applyFont="true" applyBorder="true" applyAlignment="true" applyProtection="false">
      <alignment horizontal="center" vertical="bottom" textRotation="0" wrapText="false" indent="0" shrinkToFit="false"/>
      <protection locked="true" hidden="false"/>
    </xf>
    <xf numFmtId="164" fontId="104" fillId="16" borderId="24" xfId="0" applyFont="true" applyBorder="true" applyAlignment="true" applyProtection="false">
      <alignment horizontal="center" vertical="bottom" textRotation="0" wrapText="false" indent="0" shrinkToFit="false"/>
      <protection locked="true" hidden="false"/>
    </xf>
    <xf numFmtId="164" fontId="105" fillId="24" borderId="24" xfId="0" applyFont="true" applyBorder="true" applyAlignment="true" applyProtection="false">
      <alignment horizontal="center" vertical="bottom" textRotation="0" wrapText="false" indent="0" shrinkToFit="false"/>
      <protection locked="true" hidden="false"/>
    </xf>
    <xf numFmtId="164" fontId="105" fillId="24" borderId="28" xfId="0" applyFont="true" applyBorder="true" applyAlignment="true" applyProtection="false">
      <alignment horizontal="center" vertical="bottom" textRotation="0" wrapText="false" indent="0" shrinkToFit="false"/>
      <protection locked="true" hidden="false"/>
    </xf>
    <xf numFmtId="164" fontId="57" fillId="13" borderId="0" xfId="0" applyFont="true" applyBorder="false" applyAlignment="true" applyProtection="false">
      <alignment horizontal="general" vertical="bottom" textRotation="0" wrapText="false" indent="0" shrinkToFit="false"/>
      <protection locked="true" hidden="false"/>
    </xf>
    <xf numFmtId="200" fontId="0" fillId="0" borderId="0" xfId="0" applyFont="false" applyBorder="false" applyAlignment="true" applyProtection="false">
      <alignment horizontal="center" vertical="bottom" textRotation="0" wrapText="false" indent="0" shrinkToFit="false"/>
      <protection locked="true" hidden="false"/>
    </xf>
    <xf numFmtId="185" fontId="0" fillId="0" borderId="0" xfId="0" applyFont="false" applyBorder="false" applyAlignment="true" applyProtection="false">
      <alignment horizontal="center" vertical="bottom" textRotation="0" wrapText="false" indent="0" shrinkToFit="false"/>
      <protection locked="true" hidden="false"/>
    </xf>
    <xf numFmtId="164" fontId="70" fillId="0" borderId="0" xfId="0" applyFont="true" applyBorder="false" applyAlignment="true" applyProtection="false">
      <alignment horizontal="general" vertical="center" textRotation="0" wrapText="true" indent="0" shrinkToFit="false"/>
      <protection locked="true" hidden="false"/>
    </xf>
    <xf numFmtId="164" fontId="79" fillId="0" borderId="0" xfId="0" applyFont="true" applyBorder="true" applyAlignment="true" applyProtection="false">
      <alignment horizontal="general" vertical="center" textRotation="0" wrapText="true" indent="0" shrinkToFit="false"/>
      <protection locked="true" hidden="false"/>
    </xf>
    <xf numFmtId="194" fontId="79" fillId="0" borderId="0" xfId="0" applyFont="true" applyBorder="true" applyAlignment="true" applyProtection="false">
      <alignment horizontal="general" vertical="center" textRotation="0" wrapText="true" indent="0" shrinkToFit="false"/>
      <protection locked="true" hidden="false"/>
    </xf>
    <xf numFmtId="164" fontId="34" fillId="0" borderId="0" xfId="0" applyFont="true" applyBorder="true" applyAlignment="true" applyProtection="false">
      <alignment horizontal="general" vertical="center" textRotation="0" wrapText="true" indent="0" shrinkToFit="false"/>
      <protection locked="true" hidden="false"/>
    </xf>
    <xf numFmtId="164" fontId="55" fillId="0" borderId="0" xfId="0" applyFont="true" applyBorder="false" applyAlignment="true" applyProtection="false">
      <alignment horizontal="general" vertical="center" textRotation="0" wrapText="true" indent="0" shrinkToFit="false"/>
      <protection locked="true" hidden="false"/>
    </xf>
    <xf numFmtId="164" fontId="73" fillId="15" borderId="0" xfId="0" applyFont="true" applyBorder="true" applyAlignment="true" applyProtection="false">
      <alignment horizontal="general" vertical="bottom" textRotation="0" wrapText="false" indent="0" shrinkToFit="false"/>
      <protection locked="true" hidden="false"/>
    </xf>
    <xf numFmtId="164" fontId="18" fillId="2" borderId="0" xfId="0" applyFont="true" applyBorder="false" applyAlignment="true" applyProtection="false">
      <alignment horizontal="general" vertical="bottom" textRotation="0" wrapText="false" indent="0" shrinkToFit="false"/>
      <protection locked="true" hidden="false"/>
    </xf>
    <xf numFmtId="164" fontId="70" fillId="18" borderId="0" xfId="0" applyFont="true" applyBorder="false" applyAlignment="true" applyProtection="false">
      <alignment horizontal="general" vertical="center" textRotation="0" wrapText="true" indent="0" shrinkToFit="false"/>
      <protection locked="true" hidden="false"/>
    </xf>
    <xf numFmtId="164" fontId="74" fillId="18" borderId="0" xfId="0" applyFont="true" applyBorder="true" applyAlignment="true" applyProtection="false">
      <alignment horizontal="general" vertical="center" textRotation="0" wrapText="true" indent="0" shrinkToFit="false"/>
      <protection locked="true" hidden="false"/>
    </xf>
    <xf numFmtId="164" fontId="74" fillId="0" borderId="0" xfId="0" applyFont="true" applyBorder="true" applyAlignment="true" applyProtection="false">
      <alignment horizontal="general" vertical="center" textRotation="0" wrapText="true" indent="0" shrinkToFit="false"/>
      <protection locked="true" hidden="false"/>
    </xf>
    <xf numFmtId="164" fontId="70" fillId="18" borderId="0" xfId="0" applyFont="true" applyBorder="false" applyAlignment="true" applyProtection="false">
      <alignment horizontal="center" vertical="bottom" textRotation="0" wrapText="false" indent="0" shrinkToFit="false"/>
      <protection locked="true" hidden="false"/>
    </xf>
    <xf numFmtId="164" fontId="0" fillId="18" borderId="0" xfId="0" applyFont="true" applyBorder="true" applyAlignment="true" applyProtection="false">
      <alignment horizontal="general" vertical="top" textRotation="0" wrapText="true" indent="0" shrinkToFit="false"/>
      <protection locked="true" hidden="false"/>
    </xf>
    <xf numFmtId="164" fontId="7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9" fillId="0" borderId="0" xfId="0" applyFont="true" applyBorder="true" applyAlignment="true" applyProtection="false">
      <alignment horizontal="general" vertical="top" textRotation="0" wrapText="true" indent="0" shrinkToFit="false"/>
      <protection locked="true" hidden="false"/>
    </xf>
    <xf numFmtId="164" fontId="79" fillId="18" borderId="0" xfId="0" applyFont="true" applyBorder="true" applyAlignment="true" applyProtection="false">
      <alignment horizontal="general" vertical="top" textRotation="0" wrapText="true" indent="0" shrinkToFit="false"/>
      <protection locked="true" hidden="false"/>
    </xf>
    <xf numFmtId="164" fontId="70" fillId="16" borderId="0" xfId="0" applyFont="true" applyBorder="false" applyAlignment="true" applyProtection="false">
      <alignment horizontal="center" vertical="bottom" textRotation="0" wrapText="false" indent="0" shrinkToFit="false"/>
      <protection locked="true" hidden="false"/>
    </xf>
    <xf numFmtId="164" fontId="0" fillId="16" borderId="0" xfId="0" applyFont="true" applyBorder="true" applyAlignment="true" applyProtection="false">
      <alignment horizontal="general" vertical="top" textRotation="0" wrapText="true" indent="0" shrinkToFit="false"/>
      <protection locked="true" hidden="false"/>
    </xf>
    <xf numFmtId="164" fontId="70" fillId="13" borderId="0" xfId="0" applyFont="true" applyBorder="false" applyAlignment="true" applyProtection="false">
      <alignment horizontal="center" vertical="bottom" textRotation="0" wrapText="false" indent="0" shrinkToFit="false"/>
      <protection locked="true" hidden="false"/>
    </xf>
    <xf numFmtId="164" fontId="70" fillId="13" borderId="0" xfId="0" applyFont="true" applyBorder="false" applyAlignment="true" applyProtection="false">
      <alignment horizontal="right" vertical="bottom" textRotation="0" wrapText="false" indent="0" shrinkToFit="false"/>
      <protection locked="true" hidden="false"/>
    </xf>
    <xf numFmtId="192" fontId="0" fillId="18" borderId="0" xfId="0" applyFont="false" applyBorder="false" applyAlignment="true" applyProtection="false">
      <alignment horizontal="center" vertical="bottom" textRotation="0" wrapText="false" indent="0" shrinkToFit="false"/>
      <protection locked="true" hidden="false"/>
    </xf>
    <xf numFmtId="166" fontId="0" fillId="18" borderId="0" xfId="0" applyFont="false" applyBorder="false" applyAlignment="true" applyProtection="false">
      <alignment horizontal="right" vertical="bottom" textRotation="0" wrapText="false" indent="0" shrinkToFit="false"/>
      <protection locked="true" hidden="false"/>
    </xf>
    <xf numFmtId="192" fontId="0" fillId="6" borderId="0" xfId="0" applyFont="true" applyBorder="false" applyAlignment="true" applyProtection="false">
      <alignment horizontal="center" vertical="bottom" textRotation="0" wrapText="false" indent="0" shrinkToFit="false"/>
      <protection locked="true" hidden="false"/>
    </xf>
    <xf numFmtId="166" fontId="0" fillId="6" borderId="0" xfId="0" applyFont="false" applyBorder="false" applyAlignment="true" applyProtection="false">
      <alignment horizontal="right" vertical="bottom" textRotation="0" wrapText="false" indent="0" shrinkToFit="false"/>
      <protection locked="true" hidden="false"/>
    </xf>
    <xf numFmtId="164" fontId="70" fillId="16" borderId="29" xfId="0" applyFont="true" applyBorder="true" applyAlignment="true" applyProtection="false">
      <alignment horizontal="general" vertical="bottom" textRotation="0" wrapText="false" indent="0" shrinkToFit="false"/>
      <protection locked="true" hidden="false"/>
    </xf>
    <xf numFmtId="166" fontId="70" fillId="16" borderId="29" xfId="0" applyFont="true" applyBorder="true" applyAlignment="true" applyProtection="false">
      <alignment horizontal="right" vertical="bottom" textRotation="0" wrapText="false" indent="0" shrinkToFit="false"/>
      <protection locked="true" hidden="false"/>
    </xf>
    <xf numFmtId="164" fontId="5" fillId="0" borderId="30" xfId="0" applyFont="true" applyBorder="true" applyAlignment="true" applyProtection="false">
      <alignment horizontal="general" vertical="top" textRotation="0" wrapText="true" indent="0" shrinkToFit="false"/>
      <protection locked="true" hidden="false"/>
    </xf>
    <xf numFmtId="164" fontId="70" fillId="24" borderId="0" xfId="0" applyFont="true" applyBorder="false" applyAlignment="true" applyProtection="false">
      <alignment horizontal="center" vertical="bottom" textRotation="0" wrapText="false" indent="0" shrinkToFit="false"/>
      <protection locked="true" hidden="false"/>
    </xf>
    <xf numFmtId="164" fontId="0" fillId="24" borderId="0" xfId="0" applyFont="true" applyBorder="true" applyAlignment="true" applyProtection="false">
      <alignment horizontal="general" vertical="top" textRotation="0" wrapText="true" indent="0" shrinkToFit="false"/>
      <protection locked="true" hidden="false"/>
    </xf>
    <xf numFmtId="164" fontId="70" fillId="13" borderId="0" xfId="0" applyFont="true" applyBorder="false" applyAlignment="true" applyProtection="false">
      <alignment horizontal="center" vertical="top" textRotation="0" wrapText="true" indent="0" shrinkToFit="false"/>
      <protection locked="true" hidden="false"/>
    </xf>
    <xf numFmtId="164" fontId="70" fillId="18" borderId="0" xfId="0" applyFont="true" applyBorder="false" applyAlignment="true" applyProtection="false">
      <alignment horizontal="center" vertical="top" textRotation="0" wrapText="true" indent="0" shrinkToFit="false"/>
      <protection locked="true" hidden="false"/>
    </xf>
    <xf numFmtId="164" fontId="0" fillId="18" borderId="0" xfId="0" applyFont="true" applyBorder="false" applyAlignment="true" applyProtection="false">
      <alignment horizontal="general" vertical="top" textRotation="0" wrapText="true" indent="0" shrinkToFit="false"/>
      <protection locked="true" hidden="false"/>
    </xf>
    <xf numFmtId="164" fontId="0" fillId="18" borderId="0" xfId="0" applyFont="true" applyBorder="false" applyAlignment="true" applyProtection="false">
      <alignment horizontal="center" vertical="top" textRotation="0" wrapText="true" indent="0" shrinkToFit="false"/>
      <protection locked="true" hidden="false"/>
    </xf>
    <xf numFmtId="164" fontId="70" fillId="0" borderId="0" xfId="0" applyFont="true" applyBorder="fals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center" vertical="top" textRotation="0" wrapText="true" indent="0" shrinkToFit="false"/>
      <protection locked="true" hidden="false"/>
    </xf>
    <xf numFmtId="164" fontId="106" fillId="25" borderId="0" xfId="0" applyFont="true" applyBorder="false" applyAlignment="true" applyProtection="false">
      <alignment horizontal="center" vertical="top" textRotation="0" wrapText="true" indent="0" shrinkToFit="false"/>
      <protection locked="true" hidden="false"/>
    </xf>
    <xf numFmtId="164" fontId="107" fillId="26" borderId="0" xfId="0" applyFont="true" applyBorder="false" applyAlignment="true" applyProtection="false">
      <alignment horizontal="center" vertical="top" textRotation="0" wrapText="true" indent="0" shrinkToFit="false"/>
      <protection locked="true" hidden="false"/>
    </xf>
    <xf numFmtId="164" fontId="55" fillId="13" borderId="31" xfId="0" applyFont="true" applyBorder="true" applyAlignment="true" applyProtection="false">
      <alignment horizontal="left" vertical="bottom" textRotation="0" wrapText="false" indent="0" shrinkToFit="false"/>
      <protection locked="true" hidden="false"/>
    </xf>
    <xf numFmtId="164" fontId="55" fillId="13" borderId="31" xfId="0" applyFont="true" applyBorder="true" applyAlignment="true" applyProtection="false">
      <alignment horizontal="center" vertical="bottom" textRotation="0" wrapText="false" indent="0" shrinkToFit="false"/>
      <protection locked="true" hidden="false"/>
    </xf>
    <xf numFmtId="164" fontId="55" fillId="6" borderId="31" xfId="0" applyFont="true" applyBorder="true" applyAlignment="true" applyProtection="false">
      <alignment horizontal="general" vertical="bottom" textRotation="0" wrapText="false" indent="0" shrinkToFit="false"/>
      <protection locked="true" hidden="false"/>
    </xf>
    <xf numFmtId="164" fontId="73" fillId="6" borderId="31" xfId="0" applyFont="true" applyBorder="true" applyAlignment="true" applyProtection="false">
      <alignment horizontal="general" vertical="bottom" textRotation="0" wrapText="false" indent="0" shrinkToFit="false"/>
      <protection locked="true" hidden="false"/>
    </xf>
    <xf numFmtId="194" fontId="73" fillId="6" borderId="31" xfId="0" applyFont="true" applyBorder="true" applyAlignment="true" applyProtection="false">
      <alignment horizontal="general" vertical="bottom" textRotation="0" wrapText="false" indent="0" shrinkToFit="false"/>
      <protection locked="true" hidden="false"/>
    </xf>
    <xf numFmtId="164" fontId="55" fillId="18" borderId="31" xfId="0" applyFont="true" applyBorder="true" applyAlignment="true" applyProtection="false">
      <alignment horizontal="general" vertical="bottom" textRotation="0" wrapText="false" indent="0" shrinkToFit="false"/>
      <protection locked="true" hidden="false"/>
    </xf>
    <xf numFmtId="164" fontId="73" fillId="18" borderId="31" xfId="0" applyFont="true" applyBorder="true" applyAlignment="true" applyProtection="false">
      <alignment horizontal="general" vertical="bottom" textRotation="0" wrapText="false" indent="0" shrinkToFit="false"/>
      <protection locked="true" hidden="false"/>
    </xf>
    <xf numFmtId="194" fontId="73" fillId="18" borderId="31" xfId="0" applyFont="true" applyBorder="true" applyAlignment="true" applyProtection="false">
      <alignment horizontal="general" vertical="bottom" textRotation="0" wrapText="false" indent="0" shrinkToFit="false"/>
      <protection locked="true" hidden="false"/>
    </xf>
    <xf numFmtId="164" fontId="34" fillId="6" borderId="0" xfId="0" applyFont="true" applyBorder="true" applyAlignment="true" applyProtection="false">
      <alignment horizontal="general" vertical="top" textRotation="0" wrapText="true" indent="0" shrinkToFit="false"/>
      <protection locked="true" hidden="false"/>
    </xf>
    <xf numFmtId="164" fontId="34" fillId="18" borderId="0" xfId="0" applyFont="true" applyBorder="true" applyAlignment="true" applyProtection="false">
      <alignment horizontal="general" vertical="top" textRotation="0" wrapText="true" indent="0" shrinkToFit="false"/>
      <protection locked="true" hidden="false"/>
    </xf>
    <xf numFmtId="164" fontId="56" fillId="15" borderId="0" xfId="0" applyFont="true" applyBorder="false" applyAlignment="true" applyProtection="false">
      <alignment horizontal="general" vertical="bottom" textRotation="0" wrapText="false" indent="0" shrinkToFit="false"/>
      <protection locked="true" hidden="false"/>
    </xf>
    <xf numFmtId="169" fontId="108" fillId="16" borderId="0" xfId="0" applyFont="true" applyBorder="false" applyAlignment="true" applyProtection="false">
      <alignment horizontal="general" vertical="bottom" textRotation="0" wrapText="false" indent="0" shrinkToFit="false"/>
      <protection locked="true" hidden="false"/>
    </xf>
    <xf numFmtId="175" fontId="0" fillId="6" borderId="0" xfId="0" applyFont="false" applyBorder="false" applyAlignment="true" applyProtection="false">
      <alignment horizontal="general" vertical="bottom" textRotation="0" wrapText="false" indent="0" shrinkToFit="false"/>
      <protection locked="true" hidden="false"/>
    </xf>
    <xf numFmtId="171" fontId="0" fillId="6" borderId="0" xfId="0" applyFont="false" applyBorder="false" applyAlignment="true" applyProtection="false">
      <alignment horizontal="center" vertical="bottom" textRotation="0" wrapText="false" indent="0" shrinkToFit="false"/>
      <protection locked="true" hidden="false"/>
    </xf>
    <xf numFmtId="166" fontId="0" fillId="6" borderId="0" xfId="0" applyFont="false" applyBorder="false" applyAlignment="true" applyProtection="false">
      <alignment horizontal="general" vertical="bottom" textRotation="0" wrapText="false" indent="0" shrinkToFit="false"/>
      <protection locked="true" hidden="false"/>
    </xf>
    <xf numFmtId="197" fontId="0" fillId="6" borderId="0" xfId="0" applyFont="false" applyBorder="false" applyAlignment="true" applyProtection="false">
      <alignment horizontal="general" vertical="bottom" textRotation="0" wrapText="false" indent="0" shrinkToFit="false"/>
      <protection locked="true" hidden="false"/>
    </xf>
    <xf numFmtId="164" fontId="100" fillId="6" borderId="0" xfId="0" applyFont="true" applyBorder="false" applyAlignment="true" applyProtection="false">
      <alignment horizontal="general" vertical="bottom" textRotation="0" wrapText="false" indent="0" shrinkToFit="false"/>
      <protection locked="true" hidden="false"/>
    </xf>
    <xf numFmtId="175" fontId="0" fillId="18" borderId="0" xfId="0" applyFont="false" applyBorder="false" applyAlignment="true" applyProtection="false">
      <alignment horizontal="general" vertical="bottom" textRotation="0" wrapText="false" indent="0" shrinkToFit="false"/>
      <protection locked="true" hidden="false"/>
    </xf>
    <xf numFmtId="171" fontId="0" fillId="18" borderId="0" xfId="0" applyFont="false" applyBorder="false" applyAlignment="true" applyProtection="false">
      <alignment horizontal="center" vertical="bottom" textRotation="0" wrapText="false" indent="0" shrinkToFit="false"/>
      <protection locked="true" hidden="false"/>
    </xf>
    <xf numFmtId="166" fontId="0" fillId="18" borderId="0" xfId="0" applyFont="false" applyBorder="false" applyAlignment="true" applyProtection="false">
      <alignment horizontal="general" vertical="bottom" textRotation="0" wrapText="false" indent="0" shrinkToFit="false"/>
      <protection locked="true" hidden="false"/>
    </xf>
    <xf numFmtId="197" fontId="0" fillId="18" borderId="0" xfId="0" applyFont="false" applyBorder="false" applyAlignment="true" applyProtection="false">
      <alignment horizontal="general" vertical="bottom" textRotation="0" wrapText="false" indent="0" shrinkToFit="false"/>
      <protection locked="true" hidden="false"/>
    </xf>
    <xf numFmtId="164" fontId="100" fillId="18" borderId="0" xfId="0" applyFont="true" applyBorder="false" applyAlignment="true" applyProtection="false">
      <alignment horizontal="general" vertical="bottom" textRotation="0" wrapText="false" indent="0" shrinkToFit="false"/>
      <protection locked="true" hidden="false"/>
    </xf>
    <xf numFmtId="202" fontId="0" fillId="0" borderId="0" xfId="0" applyFont="fals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69" fontId="0" fillId="14" borderId="0" xfId="0" applyFont="false" applyBorder="false" applyAlignment="true" applyProtection="false">
      <alignment horizontal="general" vertical="bottom" textRotation="0" wrapText="false" indent="0" shrinkToFit="false"/>
      <protection locked="true" hidden="false"/>
    </xf>
    <xf numFmtId="202" fontId="0" fillId="14" borderId="0" xfId="0" applyFont="false" applyBorder="false" applyAlignment="true" applyProtection="false">
      <alignment horizontal="general" vertical="bottom" textRotation="0" wrapText="false" indent="0" shrinkToFit="false"/>
      <protection locked="true" hidden="false"/>
    </xf>
    <xf numFmtId="203" fontId="0" fillId="14" borderId="0" xfId="0" applyFont="false" applyBorder="false" applyAlignment="true" applyProtection="false">
      <alignment horizontal="general" vertical="bottom" textRotation="0" wrapText="false" indent="0" shrinkToFit="false"/>
      <protection locked="true" hidden="false"/>
    </xf>
    <xf numFmtId="164" fontId="109" fillId="0" borderId="0" xfId="0" applyFont="true" applyBorder="false" applyAlignment="true" applyProtection="false">
      <alignment horizontal="general" vertical="bottom" textRotation="0" wrapText="false" indent="0" shrinkToFit="false"/>
      <protection locked="true" hidden="false"/>
    </xf>
    <xf numFmtId="164" fontId="58" fillId="13" borderId="0" xfId="0" applyFont="true" applyBorder="false" applyAlignment="true" applyProtection="false">
      <alignment horizontal="general" vertical="bottom" textRotation="0" wrapText="false" indent="0" shrinkToFit="false"/>
      <protection locked="true" hidden="false"/>
    </xf>
    <xf numFmtId="166" fontId="73" fillId="0" borderId="0" xfId="0" applyFont="true" applyBorder="false" applyAlignment="true" applyProtection="false">
      <alignment horizontal="general" vertical="bottom" textRotation="0" wrapText="false" indent="0" shrinkToFit="false"/>
      <protection locked="true" hidden="false"/>
    </xf>
    <xf numFmtId="166" fontId="75" fillId="0" borderId="0" xfId="0" applyFont="true" applyBorder="false" applyAlignment="true" applyProtection="false">
      <alignment horizontal="general" vertical="bottom" textRotation="0" wrapText="false" indent="0" shrinkToFit="false"/>
      <protection locked="true" hidden="false"/>
    </xf>
    <xf numFmtId="166" fontId="73" fillId="18" borderId="0" xfId="0" applyFont="true" applyBorder="false" applyAlignment="true" applyProtection="false">
      <alignment horizontal="general" vertical="bottom" textRotation="0" wrapText="false" indent="0" shrinkToFit="false"/>
      <protection locked="true" hidden="false"/>
    </xf>
    <xf numFmtId="166" fontId="75" fillId="18" borderId="0" xfId="0" applyFont="true" applyBorder="false" applyAlignment="true" applyProtection="false">
      <alignment horizontal="general" vertical="bottom" textRotation="0" wrapText="false" indent="0" shrinkToFit="false"/>
      <protection locked="true" hidden="false"/>
    </xf>
    <xf numFmtId="167" fontId="73" fillId="0" borderId="0" xfId="0" applyFont="true" applyBorder="false" applyAlignment="true" applyProtection="false">
      <alignment horizontal="general" vertical="bottom" textRotation="0" wrapText="false" indent="0" shrinkToFit="false"/>
      <protection locked="true" hidden="false"/>
    </xf>
    <xf numFmtId="167" fontId="75" fillId="0" borderId="0" xfId="0" applyFont="true" applyBorder="false" applyAlignment="true" applyProtection="false">
      <alignment horizontal="general" vertical="bottom" textRotation="0" wrapText="false" indent="0" shrinkToFit="false"/>
      <protection locked="true" hidden="false"/>
    </xf>
    <xf numFmtId="187" fontId="75" fillId="18" borderId="0" xfId="0" applyFont="true" applyBorder="false" applyAlignment="true" applyProtection="false">
      <alignment horizontal="general" vertical="bottom" textRotation="0" wrapText="false" indent="0" shrinkToFit="false"/>
      <protection locked="true" hidden="false"/>
    </xf>
    <xf numFmtId="204" fontId="73" fillId="0" borderId="0" xfId="0" applyFont="true" applyBorder="false" applyAlignment="true" applyProtection="false">
      <alignment horizontal="general" vertical="bottom" textRotation="0" wrapText="false" indent="0" shrinkToFit="false"/>
      <protection locked="true" hidden="false"/>
    </xf>
    <xf numFmtId="204" fontId="75" fillId="0" borderId="0" xfId="0" applyFont="true" applyBorder="false" applyAlignment="true" applyProtection="false">
      <alignment horizontal="general" vertical="bottom" textRotation="0" wrapText="false" indent="0" shrinkToFit="false"/>
      <protection locked="true" hidden="false"/>
    </xf>
    <xf numFmtId="167" fontId="73" fillId="18" borderId="0" xfId="0" applyFont="true" applyBorder="false" applyAlignment="true" applyProtection="false">
      <alignment horizontal="general" vertical="bottom" textRotation="0" wrapText="false" indent="0" shrinkToFit="false"/>
      <protection locked="true" hidden="false"/>
    </xf>
    <xf numFmtId="167" fontId="75" fillId="18" borderId="0" xfId="0" applyFont="true" applyBorder="false" applyAlignment="true" applyProtection="false">
      <alignment horizontal="general" vertical="bottom" textRotation="0" wrapText="false" indent="0" shrinkToFit="false"/>
      <protection locked="true" hidden="false"/>
    </xf>
    <xf numFmtId="205" fontId="73" fillId="0" borderId="0" xfId="0" applyFont="true" applyBorder="false" applyAlignment="true" applyProtection="false">
      <alignment horizontal="general" vertical="bottom" textRotation="0" wrapText="false" indent="0" shrinkToFit="false"/>
      <protection locked="true" hidden="false"/>
    </xf>
    <xf numFmtId="205" fontId="75" fillId="0" borderId="0" xfId="0" applyFont="true" applyBorder="false" applyAlignment="true" applyProtection="false">
      <alignment horizontal="general" vertical="bottom" textRotation="0" wrapText="false" indent="0" shrinkToFit="false"/>
      <protection locked="true" hidden="false"/>
    </xf>
    <xf numFmtId="168" fontId="73" fillId="18" borderId="0" xfId="0" applyFont="true" applyBorder="false" applyAlignment="true" applyProtection="false">
      <alignment horizontal="general" vertical="bottom" textRotation="0" wrapText="false" indent="0" shrinkToFit="false"/>
      <protection locked="true" hidden="false"/>
    </xf>
    <xf numFmtId="168" fontId="75" fillId="18" borderId="0" xfId="0" applyFont="true" applyBorder="false" applyAlignment="true" applyProtection="false">
      <alignment horizontal="general" vertical="bottom" textRotation="0" wrapText="false" indent="0" shrinkToFit="false"/>
      <protection locked="true" hidden="false"/>
    </xf>
    <xf numFmtId="206" fontId="73" fillId="18" borderId="0" xfId="0" applyFont="true" applyBorder="false" applyAlignment="true" applyProtection="false">
      <alignment horizontal="general" vertical="bottom" textRotation="0" wrapText="false" indent="0" shrinkToFit="false"/>
      <protection locked="true" hidden="false"/>
    </xf>
    <xf numFmtId="206" fontId="75" fillId="18" borderId="0" xfId="0" applyFont="true" applyBorder="false" applyAlignment="true" applyProtection="false">
      <alignment horizontal="general" vertical="bottom" textRotation="0" wrapText="false" indent="0" shrinkToFit="false"/>
      <protection locked="true" hidden="false"/>
    </xf>
    <xf numFmtId="171" fontId="103" fillId="0" borderId="0" xfId="0" applyFont="true" applyBorder="false" applyAlignment="true" applyProtection="false">
      <alignment horizontal="general" vertical="bottom" textRotation="0" wrapText="false" indent="0" shrinkToFit="false"/>
      <protection locked="true" hidden="false"/>
    </xf>
    <xf numFmtId="175" fontId="103" fillId="0" borderId="0" xfId="0" applyFont="true" applyBorder="false" applyAlignment="true" applyProtection="false">
      <alignment horizontal="general" vertical="bottom" textRotation="0" wrapText="false" indent="0" shrinkToFit="false"/>
      <protection locked="true" hidden="false"/>
    </xf>
    <xf numFmtId="187" fontId="56" fillId="12" borderId="2" xfId="0" applyFont="true" applyBorder="true" applyAlignment="true" applyProtection="false">
      <alignment horizontal="general" vertical="bottom" textRotation="0" wrapText="false" indent="0" shrinkToFit="false"/>
      <protection locked="true" hidden="false"/>
    </xf>
    <xf numFmtId="177" fontId="56" fillId="12" borderId="2" xfId="0" applyFont="true" applyBorder="true" applyAlignment="true" applyProtection="false">
      <alignment horizontal="general" vertical="bottom" textRotation="0" wrapText="false" indent="0" shrinkToFit="false"/>
      <protection locked="true" hidden="false"/>
    </xf>
    <xf numFmtId="200" fontId="56" fillId="12" borderId="2" xfId="0" applyFont="true" applyBorder="true" applyAlignment="true" applyProtection="false">
      <alignment horizontal="general" vertical="bottom" textRotation="0" wrapText="false" indent="0" shrinkToFit="false"/>
      <protection locked="true" hidden="false"/>
    </xf>
    <xf numFmtId="164" fontId="103" fillId="0" borderId="0" xfId="0" applyFont="true" applyBorder="false" applyAlignment="true" applyProtection="false">
      <alignment horizontal="general" vertical="bottom" textRotation="0" wrapText="false" indent="0" shrinkToFit="false"/>
      <protection locked="true" hidden="false"/>
    </xf>
    <xf numFmtId="187" fontId="103" fillId="0" borderId="0" xfId="0" applyFont="true" applyBorder="false" applyAlignment="true" applyProtection="false">
      <alignment horizontal="general" vertical="bottom" textRotation="0" wrapText="false" indent="0" shrinkToFit="false"/>
      <protection locked="true" hidden="false"/>
    </xf>
    <xf numFmtId="164" fontId="110" fillId="2" borderId="0" xfId="0" applyFont="true" applyBorder="false" applyAlignment="true" applyProtection="false">
      <alignment horizontal="center"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75" fontId="56" fillId="12" borderId="2" xfId="0" applyFont="true" applyBorder="true" applyAlignment="tru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general" vertical="bottom" textRotation="0" wrapText="false" indent="0" shrinkToFit="false"/>
      <protection locked="true" hidden="false"/>
    </xf>
    <xf numFmtId="207" fontId="11" fillId="0" borderId="0" xfId="0" applyFont="true" applyBorder="false" applyAlignment="true" applyProtection="false">
      <alignment horizontal="general" vertical="bottom" textRotation="0" wrapText="false" indent="0" shrinkToFit="false"/>
      <protection locked="true" hidden="false"/>
    </xf>
    <xf numFmtId="171" fontId="58" fillId="0" borderId="0" xfId="0" applyFont="true" applyBorder="false" applyAlignment="true" applyProtection="false">
      <alignment horizontal="general" vertical="bottom" textRotation="0" wrapText="false" indent="0" shrinkToFit="false"/>
      <protection locked="true" hidden="false"/>
    </xf>
    <xf numFmtId="164" fontId="103" fillId="0" borderId="0" xfId="0" applyFont="true" applyBorder="true" applyAlignment="true" applyProtection="false">
      <alignment horizontal="general" vertical="bottom" textRotation="0" wrapText="false" indent="0" shrinkToFit="false"/>
      <protection locked="true" hidden="false"/>
    </xf>
    <xf numFmtId="167" fontId="103" fillId="0" borderId="0" xfId="0" applyFont="true" applyBorder="false" applyAlignment="true" applyProtection="false">
      <alignment horizontal="general" vertical="bottom" textRotation="0" wrapText="false" indent="0" shrinkToFit="false"/>
      <protection locked="true" hidden="false"/>
    </xf>
    <xf numFmtId="193" fontId="103" fillId="0" borderId="0" xfId="0" applyFont="true" applyBorder="false" applyAlignment="true" applyProtection="false">
      <alignment horizontal="general" vertical="bottom" textRotation="0" wrapText="false" indent="0" shrinkToFit="false"/>
      <protection locked="true" hidden="false"/>
    </xf>
    <xf numFmtId="164" fontId="110" fillId="3" borderId="0" xfId="0" applyFont="true" applyBorder="false" applyAlignment="true" applyProtection="false">
      <alignment horizontal="general" vertical="bottom" textRotation="0" wrapText="false" indent="0" shrinkToFit="false"/>
      <protection locked="true" hidden="false"/>
    </xf>
    <xf numFmtId="164" fontId="60" fillId="13" borderId="0" xfId="0" applyFont="true" applyBorder="false" applyAlignment="true" applyProtection="false">
      <alignment horizontal="general" vertical="bottom" textRotation="0" wrapText="false" indent="0" shrinkToFit="false"/>
      <protection locked="true" hidden="false"/>
    </xf>
    <xf numFmtId="208"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32" xfId="0" applyFont="false" applyBorder="true" applyAlignment="true" applyProtection="false">
      <alignment horizontal="general" vertical="bottom" textRotation="0" wrapText="false" indent="0" shrinkToFit="false"/>
      <protection locked="true" hidden="false"/>
    </xf>
    <xf numFmtId="164" fontId="0" fillId="0" borderId="33" xfId="0" applyFont="false" applyBorder="true" applyAlignment="true" applyProtection="false">
      <alignment horizontal="general" vertical="bottom" textRotation="0" wrapText="false" indent="0" shrinkToFit="false"/>
      <protection locked="true" hidden="false"/>
    </xf>
    <xf numFmtId="164" fontId="0" fillId="0" borderId="34" xfId="0" applyFont="false" applyBorder="true" applyAlignment="true" applyProtection="false">
      <alignment horizontal="general" vertical="bottom" textRotation="0" wrapText="false" indent="0" shrinkToFit="false"/>
      <protection locked="true" hidden="false"/>
    </xf>
    <xf numFmtId="164" fontId="111" fillId="0" borderId="35" xfId="0" applyFont="true" applyBorder="true" applyAlignment="true" applyProtection="false">
      <alignment horizontal="center" vertical="center" textRotation="0" wrapText="false" indent="0" shrinkToFit="false"/>
      <protection locked="true" hidden="false"/>
    </xf>
    <xf numFmtId="164" fontId="112" fillId="0" borderId="35" xfId="0" applyFont="true" applyBorder="true" applyAlignment="true" applyProtection="false">
      <alignment horizontal="center" vertical="center" textRotation="0" wrapText="false" indent="0" shrinkToFit="false"/>
      <protection locked="true" hidden="false"/>
    </xf>
    <xf numFmtId="164" fontId="0" fillId="0" borderId="36" xfId="0" applyFont="false" applyBorder="true" applyAlignment="true" applyProtection="false">
      <alignment horizontal="general" vertical="bottom" textRotation="0" wrapText="false" indent="0" shrinkToFit="false"/>
      <protection locked="true" hidden="false"/>
    </xf>
    <xf numFmtId="164" fontId="0" fillId="0" borderId="37" xfId="0" applyFont="false" applyBorder="true" applyAlignment="true" applyProtection="false">
      <alignment horizontal="general" vertical="bottom" textRotation="0" wrapText="false" indent="0" shrinkToFit="false"/>
      <protection locked="true" hidden="false"/>
    </xf>
    <xf numFmtId="164" fontId="113" fillId="0" borderId="35" xfId="0" applyFont="true" applyBorder="true" applyAlignment="true" applyProtection="false">
      <alignment horizontal="center" vertical="center" textRotation="0" wrapText="false" indent="0" shrinkToFit="false"/>
      <protection locked="true" hidden="false"/>
    </xf>
    <xf numFmtId="164" fontId="114" fillId="0" borderId="35" xfId="0" applyFont="true" applyBorder="true" applyAlignment="true" applyProtection="false">
      <alignment horizontal="center" vertical="center" textRotation="0" wrapText="false" indent="0" shrinkToFit="false"/>
      <protection locked="true" hidden="false"/>
    </xf>
    <xf numFmtId="164" fontId="9" fillId="2" borderId="36" xfId="0" applyFont="true" applyBorder="true" applyAlignment="true" applyProtection="false">
      <alignment horizontal="general" vertical="bottom" textRotation="0" wrapText="false" indent="0" shrinkToFit="false"/>
      <protection locked="true" hidden="false"/>
    </xf>
    <xf numFmtId="164" fontId="0" fillId="2" borderId="37" xfId="0" applyFont="false" applyBorder="true" applyAlignment="true" applyProtection="false">
      <alignment horizontal="general" vertical="bottom" textRotation="0" wrapText="false" indent="0" shrinkToFit="false"/>
      <protection locked="true" hidden="false"/>
    </xf>
    <xf numFmtId="164" fontId="70" fillId="0" borderId="36" xfId="0" applyFont="true" applyBorder="true" applyAlignment="true" applyProtection="false">
      <alignment horizontal="general" vertical="bottom" textRotation="0" wrapText="false" indent="0" shrinkToFit="false"/>
      <protection locked="true" hidden="false"/>
    </xf>
    <xf numFmtId="164" fontId="79" fillId="0" borderId="0" xfId="0" applyFont="true" applyBorder="true" applyAlignment="true" applyProtection="false">
      <alignment horizontal="left" vertical="bottom" textRotation="0" wrapText="false" indent="0" shrinkToFit="false"/>
      <protection locked="true" hidden="false"/>
    </xf>
    <xf numFmtId="164" fontId="73" fillId="12" borderId="38" xfId="0" applyFont="true" applyBorder="true" applyAlignment="true" applyProtection="false">
      <alignment horizontal="left" vertical="bottom" textRotation="0" wrapText="false" indent="0" shrinkToFit="false"/>
      <protection locked="true" hidden="false"/>
    </xf>
    <xf numFmtId="164" fontId="79" fillId="0" borderId="37" xfId="0" applyFont="true" applyBorder="true" applyAlignment="true" applyProtection="false">
      <alignment horizontal="center" vertical="bottom" textRotation="0" wrapText="false" indent="0" shrinkToFit="false"/>
      <protection locked="true" hidden="false"/>
    </xf>
    <xf numFmtId="164" fontId="71" fillId="0" borderId="36" xfId="0" applyFont="true" applyBorder="true" applyAlignment="true" applyProtection="false">
      <alignment horizontal="general" vertical="bottom" textRotation="0" wrapText="false" indent="0" shrinkToFit="false"/>
      <protection locked="true" hidden="false"/>
    </xf>
    <xf numFmtId="164" fontId="109" fillId="0" borderId="36" xfId="0" applyFont="true" applyBorder="true" applyAlignment="true" applyProtection="false">
      <alignment horizontal="general" vertical="bottom" textRotation="0" wrapText="false" indent="0" shrinkToFit="false"/>
      <protection locked="true" hidden="false"/>
    </xf>
    <xf numFmtId="164" fontId="9" fillId="2" borderId="39" xfId="0" applyFont="true" applyBorder="true" applyAlignment="true" applyProtection="false">
      <alignment horizontal="general" vertical="bottom" textRotation="0" wrapText="false" indent="0" shrinkToFit="false"/>
      <protection locked="true" hidden="false"/>
    </xf>
    <xf numFmtId="164" fontId="0" fillId="2" borderId="40" xfId="0" applyFont="false" applyBorder="true" applyAlignment="true" applyProtection="false">
      <alignment horizontal="general" vertical="bottom" textRotation="0" wrapText="false" indent="0" shrinkToFit="false"/>
      <protection locked="true" hidden="false"/>
    </xf>
    <xf numFmtId="164" fontId="0" fillId="2" borderId="41" xfId="0" applyFont="false" applyBorder="true" applyAlignment="true" applyProtection="false">
      <alignment horizontal="general" vertical="bottom" textRotation="0" wrapText="false" indent="0" shrinkToFit="false"/>
      <protection locked="true" hidden="false"/>
    </xf>
    <xf numFmtId="164" fontId="0" fillId="0" borderId="42" xfId="0" applyFont="false" applyBorder="true" applyAlignment="true" applyProtection="false">
      <alignment horizontal="general" vertical="bottom" textRotation="0" wrapText="false" indent="0" shrinkToFit="false"/>
      <protection locked="true" hidden="false"/>
    </xf>
    <xf numFmtId="164" fontId="0" fillId="0" borderId="43" xfId="0" applyFont="false" applyBorder="true" applyAlignment="true" applyProtection="false">
      <alignment horizontal="general" vertical="bottom" textRotation="0" wrapText="false" indent="0" shrinkToFit="false"/>
      <protection locked="true" hidden="false"/>
    </xf>
    <xf numFmtId="164" fontId="0" fillId="0" borderId="44" xfId="0" applyFont="false" applyBorder="true" applyAlignment="true" applyProtection="false">
      <alignment horizontal="general" vertical="bottom" textRotation="0" wrapText="false" indent="0" shrinkToFit="false"/>
      <protection locked="true" hidden="false"/>
    </xf>
    <xf numFmtId="164" fontId="115" fillId="0" borderId="0" xfId="0" applyFont="true" applyBorder="false" applyAlignment="true" applyProtection="false">
      <alignment horizontal="general" vertical="bottom" textRotation="0" wrapText="false" indent="0" shrinkToFit="false"/>
      <protection locked="true" hidden="false"/>
    </xf>
    <xf numFmtId="164" fontId="116" fillId="0" borderId="0" xfId="0" applyFont="true" applyBorder="false" applyAlignment="true" applyProtection="false">
      <alignment horizontal="general" vertical="bottom" textRotation="0" wrapText="false" indent="0" shrinkToFit="false"/>
      <protection locked="true" hidden="false"/>
    </xf>
    <xf numFmtId="164" fontId="92" fillId="0" borderId="0" xfId="0" applyFont="true" applyBorder="false" applyAlignment="true" applyProtection="false">
      <alignment horizontal="general" vertical="bottom" textRotation="0" wrapText="false" indent="0" shrinkToFit="false"/>
      <protection locked="true" hidden="false"/>
    </xf>
    <xf numFmtId="164" fontId="117" fillId="0" borderId="0" xfId="0" applyFont="true" applyBorder="false" applyAlignment="true" applyProtection="false">
      <alignment horizontal="general" vertical="bottom" textRotation="0" wrapText="false" indent="0" shrinkToFit="false"/>
      <protection locked="true" hidden="false"/>
    </xf>
    <xf numFmtId="164" fontId="117" fillId="0" borderId="45" xfId="0" applyFont="true" applyBorder="true" applyAlignment="true" applyProtection="false">
      <alignment horizontal="left" vertical="bottom" textRotation="0" wrapText="false" indent="0" shrinkToFit="false"/>
      <protection locked="true" hidden="false"/>
    </xf>
    <xf numFmtId="164" fontId="95" fillId="12" borderId="2" xfId="0" applyFont="true" applyBorder="true" applyAlignment="true" applyProtection="false">
      <alignment horizontal="left" vertical="bottom" textRotation="0" wrapText="false" indent="0" shrinkToFit="false"/>
      <protection locked="true" hidden="false"/>
    </xf>
    <xf numFmtId="189" fontId="117" fillId="0" borderId="0" xfId="0" applyFont="true" applyBorder="false" applyAlignment="true" applyProtection="false">
      <alignment horizontal="general" vertical="bottom" textRotation="0" wrapText="false" indent="0" shrinkToFit="false"/>
      <protection locked="true" hidden="false"/>
    </xf>
    <xf numFmtId="209" fontId="117" fillId="0" borderId="46" xfId="0" applyFont="true" applyBorder="true" applyAlignment="true" applyProtection="false">
      <alignment horizontal="left" vertical="bottom" textRotation="0" wrapText="false" indent="0" shrinkToFit="false"/>
      <protection locked="true" hidden="false"/>
    </xf>
    <xf numFmtId="164" fontId="117" fillId="0" borderId="0" xfId="0" applyFont="true" applyBorder="true" applyAlignment="true" applyProtection="false">
      <alignment horizontal="left" vertical="bottom" textRotation="0" wrapText="false" indent="0" shrinkToFit="false"/>
      <protection locked="true" hidden="false"/>
    </xf>
    <xf numFmtId="209" fontId="95" fillId="12" borderId="2" xfId="0" applyFont="true" applyBorder="true" applyAlignment="true" applyProtection="false">
      <alignment horizontal="left" vertical="bottom" textRotation="0" wrapText="false" indent="0" shrinkToFit="false"/>
      <protection locked="true" hidden="false"/>
    </xf>
    <xf numFmtId="164" fontId="118" fillId="0" borderId="0" xfId="0" applyFont="true" applyBorder="false" applyAlignment="true" applyProtection="false">
      <alignment horizontal="general" vertical="bottom" textRotation="0" wrapText="false" indent="0" shrinkToFit="false"/>
      <protection locked="true" hidden="false"/>
    </xf>
    <xf numFmtId="164" fontId="25" fillId="3" borderId="2" xfId="0" applyFont="true" applyBorder="true" applyAlignment="true" applyProtection="false">
      <alignment horizontal="center" vertical="bottom" textRotation="0" wrapText="false" indent="0" shrinkToFit="false"/>
      <protection locked="true" hidden="false"/>
    </xf>
    <xf numFmtId="164" fontId="25" fillId="3" borderId="2" xfId="0" applyFont="true" applyBorder="true" applyAlignment="true" applyProtection="false">
      <alignment horizontal="left" vertical="bottom" textRotation="0" wrapText="false" indent="0" shrinkToFit="false"/>
      <protection locked="true" hidden="false"/>
    </xf>
    <xf numFmtId="164" fontId="71" fillId="0" borderId="2" xfId="0" applyFont="true" applyBorder="true" applyAlignment="true" applyProtection="false">
      <alignment horizontal="center" vertical="bottom" textRotation="0" wrapText="false" indent="0" shrinkToFit="false"/>
      <protection locked="true" hidden="false"/>
    </xf>
    <xf numFmtId="164" fontId="94" fillId="0" borderId="2" xfId="0" applyFont="true" applyBorder="true" applyAlignment="true" applyProtection="false">
      <alignment horizontal="general" vertical="bottom" textRotation="0" wrapText="false" indent="0" shrinkToFit="false"/>
      <protection locked="true" hidden="false"/>
    </xf>
    <xf numFmtId="166" fontId="95" fillId="12" borderId="2" xfId="0" applyFont="true" applyBorder="true" applyAlignment="true" applyProtection="false">
      <alignment horizontal="left" vertical="bottom" textRotation="0" wrapText="false" indent="0" shrinkToFit="false"/>
      <protection locked="true" hidden="false"/>
    </xf>
    <xf numFmtId="164" fontId="90" fillId="0" borderId="2" xfId="0" applyFont="true" applyBorder="true" applyAlignment="true" applyProtection="false">
      <alignment horizontal="general" vertical="bottom" textRotation="0" wrapText="false" indent="0" shrinkToFit="false"/>
      <protection locked="true" hidden="false"/>
    </xf>
    <xf numFmtId="164" fontId="70" fillId="13" borderId="2" xfId="0" applyFont="true" applyBorder="true" applyAlignment="true" applyProtection="false">
      <alignment horizontal="general" vertical="bottom" textRotation="0" wrapText="false" indent="0" shrinkToFit="false"/>
      <protection locked="true" hidden="false"/>
    </xf>
    <xf numFmtId="164" fontId="70" fillId="13" borderId="2" xfId="0" applyFont="true" applyBorder="true" applyAlignment="true" applyProtection="false">
      <alignment horizontal="right" vertical="bottom" textRotation="0" wrapText="false" indent="0" shrinkToFit="false"/>
      <protection locked="true" hidden="false"/>
    </xf>
    <xf numFmtId="166" fontId="70" fillId="13" borderId="2" xfId="0" applyFont="true" applyBorder="true" applyAlignment="true" applyProtection="false">
      <alignment horizontal="general" vertical="bottom" textRotation="0" wrapText="false" indent="0" shrinkToFit="false"/>
      <protection locked="true" hidden="false"/>
    </xf>
    <xf numFmtId="164" fontId="25" fillId="3" borderId="2" xfId="0" applyFont="true" applyBorder="true" applyAlignment="true" applyProtection="false">
      <alignment horizontal="general" vertical="bottom" textRotation="0" wrapText="false" indent="0" shrinkToFit="false"/>
      <protection locked="true" hidden="false"/>
    </xf>
    <xf numFmtId="164" fontId="71" fillId="0" borderId="2" xfId="0" applyFont="true" applyBorder="true" applyAlignment="true" applyProtection="false">
      <alignment horizontal="general" vertical="bottom" textRotation="0" wrapText="false" indent="0" shrinkToFit="false"/>
      <protection locked="true" hidden="false"/>
    </xf>
    <xf numFmtId="193" fontId="95" fillId="12" borderId="2" xfId="0" applyFont="true" applyBorder="true" applyAlignment="true" applyProtection="false">
      <alignment horizontal="left" vertical="bottom" textRotation="0" wrapText="false" indent="0" shrinkToFit="false"/>
      <protection locked="true" hidden="false"/>
    </xf>
    <xf numFmtId="164" fontId="95" fillId="12" borderId="2" xfId="0" applyFont="true" applyBorder="true" applyAlignment="true" applyProtection="false">
      <alignment horizontal="general" vertical="bottom" textRotation="0" wrapText="false" indent="0" shrinkToFit="false"/>
      <protection locked="true" hidden="false"/>
    </xf>
    <xf numFmtId="164" fontId="0" fillId="0" borderId="47" xfId="0" applyFont="false" applyBorder="true" applyAlignment="true" applyProtection="false">
      <alignment horizontal="left" vertical="bottom" textRotation="0" wrapText="false" indent="0" shrinkToFit="false"/>
      <protection locked="true" hidden="false"/>
    </xf>
    <xf numFmtId="164" fontId="95" fillId="12" borderId="48" xfId="0" applyFont="true" applyBorder="true" applyAlignment="true" applyProtection="false">
      <alignment horizontal="left" vertical="bottom" textRotation="0" wrapText="false" indent="0" shrinkToFit="false"/>
      <protection locked="true" hidden="false"/>
    </xf>
    <xf numFmtId="164" fontId="54"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4" fontId="119" fillId="0" borderId="0" xfId="0" applyFont="true" applyBorder="false" applyAlignment="true" applyProtection="false">
      <alignment horizontal="general" vertical="bottom" textRotation="0" wrapText="false" indent="0" shrinkToFit="false"/>
      <protection locked="true" hidden="false"/>
    </xf>
    <xf numFmtId="164" fontId="110" fillId="27" borderId="49" xfId="0" applyFont="true" applyBorder="true" applyAlignment="true" applyProtection="false">
      <alignment horizontal="general" vertical="bottom" textRotation="0" wrapText="false" indent="0" shrinkToFit="false"/>
      <protection locked="true" hidden="false"/>
    </xf>
    <xf numFmtId="164" fontId="0" fillId="27" borderId="50" xfId="0" applyFont="false" applyBorder="true" applyAlignment="true" applyProtection="false">
      <alignment horizontal="general" vertical="bottom" textRotation="0" wrapText="false" indent="0" shrinkToFit="false"/>
      <protection locked="true" hidden="false"/>
    </xf>
    <xf numFmtId="164" fontId="0" fillId="27" borderId="51" xfId="0" applyFont="false" applyBorder="true" applyAlignment="true" applyProtection="false">
      <alignment horizontal="general" vertical="bottom" textRotation="0" wrapText="false" indent="0" shrinkToFit="false"/>
      <protection locked="true" hidden="false"/>
    </xf>
    <xf numFmtId="164" fontId="108" fillId="28" borderId="52" xfId="0" applyFont="true" applyBorder="true" applyAlignment="true" applyProtection="false">
      <alignment horizontal="left" vertical="bottom" textRotation="0" wrapText="false" indent="0" shrinkToFit="false"/>
      <protection locked="true" hidden="false"/>
    </xf>
    <xf numFmtId="164" fontId="0" fillId="28" borderId="53" xfId="0" applyFont="false" applyBorder="true" applyAlignment="true" applyProtection="false">
      <alignment horizontal="general" vertical="bottom" textRotation="0" wrapText="false" indent="0" shrinkToFit="false"/>
      <protection locked="true" hidden="false"/>
    </xf>
    <xf numFmtId="169" fontId="108" fillId="28" borderId="52" xfId="0" applyFont="true" applyBorder="true" applyAlignment="true" applyProtection="false">
      <alignment horizontal="general" vertical="bottom" textRotation="0" wrapText="false" indent="0" shrinkToFit="false"/>
      <protection locked="true" hidden="false"/>
    </xf>
    <xf numFmtId="169" fontId="120" fillId="28" borderId="52" xfId="0" applyFont="true" applyBorder="true" applyAlignment="true" applyProtection="false">
      <alignment horizontal="general" vertical="bottom" textRotation="0" wrapText="false" indent="0" shrinkToFit="false"/>
      <protection locked="true" hidden="false"/>
    </xf>
    <xf numFmtId="182" fontId="108" fillId="28" borderId="52" xfId="0" applyFont="true" applyBorder="true" applyAlignment="true" applyProtection="false">
      <alignment horizontal="center" vertical="bottom" textRotation="0" wrapText="false" indent="0" shrinkToFit="false"/>
      <protection locked="true" hidden="false"/>
    </xf>
    <xf numFmtId="164" fontId="0" fillId="28" borderId="54" xfId="0" applyFont="false" applyBorder="true" applyAlignment="true" applyProtection="false">
      <alignment horizontal="general" vertical="bottom" textRotation="0" wrapText="false" indent="0" shrinkToFit="false"/>
      <protection locked="true" hidden="false"/>
    </xf>
    <xf numFmtId="164" fontId="9" fillId="2" borderId="55" xfId="0" applyFont="true" applyBorder="true" applyAlignment="true" applyProtection="false">
      <alignment horizontal="center" vertical="bottom" textRotation="0" wrapText="false" indent="0" shrinkToFit="false"/>
      <protection locked="true" hidden="false"/>
    </xf>
    <xf numFmtId="164" fontId="9" fillId="2" borderId="56" xfId="0" applyFont="true" applyBorder="true" applyAlignment="true" applyProtection="false">
      <alignment horizontal="left" vertical="bottom" textRotation="0" wrapText="false" indent="0" shrinkToFit="false"/>
      <protection locked="true" hidden="false"/>
    </xf>
    <xf numFmtId="164" fontId="9" fillId="2" borderId="56" xfId="0" applyFont="true" applyBorder="true" applyAlignment="true" applyProtection="false">
      <alignment horizontal="center" vertical="bottom" textRotation="0" wrapText="false" indent="0" shrinkToFit="false"/>
      <protection locked="true" hidden="false"/>
    </xf>
    <xf numFmtId="164" fontId="9" fillId="2" borderId="56" xfId="0" applyFont="true" applyBorder="true" applyAlignment="true" applyProtection="false">
      <alignment horizontal="center" vertical="center" textRotation="0" wrapText="true" indent="0" shrinkToFit="false"/>
      <protection locked="true" hidden="false"/>
    </xf>
    <xf numFmtId="164" fontId="9" fillId="2" borderId="57" xfId="0" applyFont="true" applyBorder="true" applyAlignment="true" applyProtection="false">
      <alignment horizontal="left" vertical="bottom" textRotation="0" wrapText="false" indent="0" shrinkToFit="false"/>
      <protection locked="true" hidden="false"/>
    </xf>
    <xf numFmtId="164" fontId="0" fillId="6" borderId="58" xfId="0" applyFont="false" applyBorder="true" applyAlignment="true" applyProtection="false">
      <alignment horizontal="center" vertical="bottom" textRotation="0" wrapText="false" indent="0" shrinkToFit="false"/>
      <protection locked="true" hidden="false"/>
    </xf>
    <xf numFmtId="169" fontId="79" fillId="6" borderId="0" xfId="0" applyFont="true" applyBorder="false" applyAlignment="true" applyProtection="false">
      <alignment horizontal="general" vertical="bottom" textRotation="0" wrapText="false" indent="0" shrinkToFit="false"/>
      <protection locked="true" hidden="false"/>
    </xf>
    <xf numFmtId="210" fontId="0" fillId="6" borderId="0" xfId="0" applyFont="false" applyBorder="false" applyAlignment="true" applyProtection="false">
      <alignment horizontal="center" vertical="bottom" textRotation="0" wrapText="false" indent="0" shrinkToFit="false"/>
      <protection locked="true" hidden="false"/>
    </xf>
    <xf numFmtId="164" fontId="121" fillId="6" borderId="59" xfId="0" applyFont="true" applyBorder="true" applyAlignment="true" applyProtection="false">
      <alignment horizontal="general" vertical="bottom" textRotation="0" wrapText="false" indent="0" shrinkToFit="false"/>
      <protection locked="true" hidden="false"/>
    </xf>
    <xf numFmtId="164" fontId="0" fillId="18" borderId="58" xfId="0" applyFont="false" applyBorder="true" applyAlignment="true" applyProtection="false">
      <alignment horizontal="center" vertical="bottom" textRotation="0" wrapText="false" indent="0" shrinkToFit="false"/>
      <protection locked="true" hidden="false"/>
    </xf>
    <xf numFmtId="169" fontId="79" fillId="18" borderId="0" xfId="0" applyFont="true" applyBorder="false" applyAlignment="true" applyProtection="false">
      <alignment horizontal="general" vertical="bottom" textRotation="0" wrapText="false" indent="0" shrinkToFit="false"/>
      <protection locked="true" hidden="false"/>
    </xf>
    <xf numFmtId="210" fontId="0" fillId="18" borderId="0" xfId="0" applyFont="false" applyBorder="false" applyAlignment="true" applyProtection="false">
      <alignment horizontal="center" vertical="bottom" textRotation="0" wrapText="false" indent="0" shrinkToFit="false"/>
      <protection locked="true" hidden="false"/>
    </xf>
    <xf numFmtId="164" fontId="121" fillId="18" borderId="59" xfId="0" applyFont="true" applyBorder="true" applyAlignment="true" applyProtection="false">
      <alignment horizontal="general" vertical="bottom" textRotation="0" wrapText="false" indent="0" shrinkToFit="false"/>
      <protection locked="true" hidden="false"/>
    </xf>
    <xf numFmtId="164" fontId="0" fillId="0" borderId="60" xfId="0" applyFont="false" applyBorder="true" applyAlignment="true" applyProtection="false">
      <alignment horizontal="general" vertical="bottom" textRotation="0" wrapText="false" indent="0" shrinkToFit="false"/>
      <protection locked="true" hidden="false"/>
    </xf>
    <xf numFmtId="164" fontId="9" fillId="2" borderId="61" xfId="0" applyFont="true" applyBorder="true" applyAlignment="true" applyProtection="false">
      <alignment horizontal="general" vertical="bottom" textRotation="0" wrapText="false" indent="0" shrinkToFit="false"/>
      <protection locked="true" hidden="false"/>
    </xf>
    <xf numFmtId="169" fontId="9" fillId="2" borderId="61" xfId="0" applyFont="true" applyBorder="true" applyAlignment="true" applyProtection="false">
      <alignment horizontal="general" vertical="bottom" textRotation="0" wrapText="false" indent="0" shrinkToFit="false"/>
      <protection locked="true" hidden="false"/>
    </xf>
    <xf numFmtId="210" fontId="9" fillId="2" borderId="61" xfId="0" applyFont="true" applyBorder="true" applyAlignment="true" applyProtection="false">
      <alignment horizontal="center" vertical="bottom" textRotation="0" wrapText="false" indent="0" shrinkToFit="false"/>
      <protection locked="true" hidden="false"/>
    </xf>
    <xf numFmtId="164" fontId="0" fillId="0" borderId="62" xfId="0" applyFont="false" applyBorder="true" applyAlignment="true" applyProtection="false">
      <alignment horizontal="general" vertical="bottom" textRotation="0" wrapText="false" indent="0" shrinkToFit="false"/>
      <protection locked="true" hidden="false"/>
    </xf>
    <xf numFmtId="164" fontId="57" fillId="3" borderId="0" xfId="0" applyFont="true" applyBorder="false" applyAlignment="true" applyProtection="false">
      <alignment horizontal="general" vertical="bottom" textRotation="0" wrapText="false" indent="0" shrinkToFit="false"/>
      <protection locked="true" hidden="false"/>
    </xf>
    <xf numFmtId="164" fontId="118" fillId="2" borderId="10" xfId="0" applyFont="true" applyBorder="true" applyAlignment="true" applyProtection="false">
      <alignment horizontal="general" vertical="bottom" textRotation="0" wrapText="false" indent="0" shrinkToFit="false"/>
      <protection locked="true" hidden="false"/>
    </xf>
    <xf numFmtId="164" fontId="9" fillId="2" borderId="11" xfId="0" applyFont="true" applyBorder="true" applyAlignment="true" applyProtection="false">
      <alignment horizontal="center" vertical="bottom" textRotation="0" wrapText="false" indent="0" shrinkToFit="false"/>
      <protection locked="true" hidden="false"/>
    </xf>
    <xf numFmtId="164" fontId="9" fillId="2" borderId="12" xfId="0" applyFont="true" applyBorder="true" applyAlignment="true" applyProtection="false">
      <alignment horizontal="left" vertical="bottom" textRotation="0" wrapText="false" indent="0" shrinkToFit="false"/>
      <protection locked="true" hidden="false"/>
    </xf>
    <xf numFmtId="164" fontId="70" fillId="0" borderId="13" xfId="0" applyFont="true" applyBorder="true" applyAlignment="true" applyProtection="false">
      <alignment horizontal="general" vertical="bottom" textRotation="0" wrapText="false" indent="0" shrinkToFit="false"/>
      <protection locked="true" hidden="false"/>
    </xf>
    <xf numFmtId="210" fontId="0" fillId="0" borderId="0" xfId="0" applyFont="false" applyBorder="false" applyAlignment="true" applyProtection="false">
      <alignment horizontal="center" vertical="bottom" textRotation="0" wrapText="false" indent="0" shrinkToFit="false"/>
      <protection locked="true" hidden="false"/>
    </xf>
    <xf numFmtId="164" fontId="122" fillId="0" borderId="14" xfId="0" applyFont="true" applyBorder="true" applyAlignment="true" applyProtection="false">
      <alignment horizontal="general" vertical="bottom" textRotation="0" wrapText="false" indent="0" shrinkToFit="false"/>
      <protection locked="true" hidden="false"/>
    </xf>
    <xf numFmtId="164" fontId="70" fillId="0" borderId="15" xfId="0" applyFont="true" applyBorder="true" applyAlignment="true" applyProtection="false">
      <alignment horizontal="general" vertical="bottom" textRotation="0" wrapText="false" indent="0" shrinkToFit="false"/>
      <protection locked="true" hidden="false"/>
    </xf>
    <xf numFmtId="169" fontId="0" fillId="0" borderId="16" xfId="0" applyFont="false" applyBorder="true" applyAlignment="true" applyProtection="false">
      <alignment horizontal="general" vertical="bottom" textRotation="0" wrapText="false" indent="0" shrinkToFit="false"/>
      <protection locked="true" hidden="false"/>
    </xf>
    <xf numFmtId="210" fontId="0" fillId="0" borderId="16" xfId="0" applyFont="false" applyBorder="true" applyAlignment="true" applyProtection="false">
      <alignment horizontal="center" vertical="bottom" textRotation="0" wrapText="false" indent="0" shrinkToFit="false"/>
      <protection locked="true" hidden="false"/>
    </xf>
    <xf numFmtId="182" fontId="70" fillId="0" borderId="16" xfId="0" applyFont="true" applyBorder="true" applyAlignment="true" applyProtection="false">
      <alignment horizontal="center" vertical="bottom" textRotation="0" wrapText="false" indent="0" shrinkToFit="false"/>
      <protection locked="true" hidden="false"/>
    </xf>
    <xf numFmtId="164" fontId="122" fillId="0" borderId="17" xfId="0" applyFont="true" applyBorder="true" applyAlignment="true" applyProtection="false">
      <alignment horizontal="general" vertical="bottom" textRotation="0" wrapText="false" indent="0" shrinkToFit="false"/>
      <protection locked="true" hidden="false"/>
    </xf>
    <xf numFmtId="164" fontId="123" fillId="0" borderId="0" xfId="0" applyFont="true" applyBorder="false" applyAlignment="true" applyProtection="false">
      <alignment horizontal="general" vertical="bottom" textRotation="0" wrapText="false" indent="0" shrinkToFit="false"/>
      <protection locked="true" hidden="false"/>
    </xf>
    <xf numFmtId="164" fontId="59" fillId="0" borderId="0" xfId="0" applyFont="true" applyBorder="false" applyAlignment="true" applyProtection="false">
      <alignment horizontal="right" vertical="bottom" textRotation="0" wrapText="false" indent="0" shrinkToFit="false"/>
      <protection locked="true" hidden="false"/>
    </xf>
    <xf numFmtId="177" fontId="124" fillId="12" borderId="2" xfId="0" applyFont="true" applyBorder="true" applyAlignment="true" applyProtection="false">
      <alignment horizontal="center" vertical="bottom" textRotation="0" wrapText="false" indent="0" shrinkToFit="false"/>
      <protection locked="true" hidden="false"/>
    </xf>
    <xf numFmtId="177" fontId="12" fillId="0" borderId="0" xfId="0" applyFont="true" applyBorder="false" applyAlignment="true" applyProtection="false">
      <alignment horizontal="general" vertical="bottom" textRotation="0" wrapText="false" indent="0" shrinkToFit="false"/>
      <protection locked="true" hidden="false"/>
    </xf>
    <xf numFmtId="164" fontId="66" fillId="0" borderId="0" xfId="0" applyFont="true" applyBorder="false" applyAlignment="true" applyProtection="false">
      <alignment horizontal="center" vertical="bottom" textRotation="0" wrapText="false" indent="0" shrinkToFit="false"/>
      <protection locked="true" hidden="false"/>
    </xf>
    <xf numFmtId="164" fontId="60" fillId="0" borderId="0" xfId="0" applyFont="true" applyBorder="false" applyAlignment="true" applyProtection="false">
      <alignment horizontal="general" vertical="bottom" textRotation="0" wrapText="false" indent="0" shrinkToFit="false"/>
      <protection locked="true" hidden="false"/>
    </xf>
    <xf numFmtId="165" fontId="124" fillId="12" borderId="2" xfId="0" applyFont="true" applyBorder="true" applyAlignment="true" applyProtection="false">
      <alignment horizontal="center" vertical="bottom" textRotation="0" wrapText="false" indent="0" shrinkToFit="false"/>
      <protection locked="true" hidden="false"/>
    </xf>
    <xf numFmtId="187" fontId="11" fillId="0" borderId="0" xfId="0" applyFont="true" applyBorder="false" applyAlignment="true" applyProtection="false">
      <alignment horizontal="center" vertical="bottom" textRotation="0" wrapText="false" indent="0" shrinkToFit="false"/>
      <protection locked="true" hidden="false"/>
    </xf>
    <xf numFmtId="200" fontId="124" fillId="12" borderId="2" xfId="0" applyFont="true" applyBorder="true" applyAlignment="true" applyProtection="false">
      <alignment horizontal="center" vertical="bottom" textRotation="0" wrapText="false" indent="0" shrinkToFit="false"/>
      <protection locked="true" hidden="false"/>
    </xf>
    <xf numFmtId="187" fontId="58" fillId="0" borderId="0" xfId="0" applyFont="true" applyBorder="false" applyAlignment="true" applyProtection="false">
      <alignment horizontal="general" vertical="bottom" textRotation="0" wrapText="false" indent="0" shrinkToFit="false"/>
      <protection locked="true" hidden="false"/>
    </xf>
    <xf numFmtId="200" fontId="66" fillId="0" borderId="0" xfId="0" applyFont="true" applyBorder="false" applyAlignment="true" applyProtection="false">
      <alignment horizontal="center" vertical="bottom" textRotation="0" wrapText="false" indent="0" shrinkToFit="false"/>
      <protection locked="true" hidden="false"/>
    </xf>
    <xf numFmtId="164" fontId="110" fillId="2" borderId="2" xfId="0" applyFont="true" applyBorder="true" applyAlignment="true" applyProtection="false">
      <alignment horizontal="center" vertical="bottom" textRotation="0" wrapText="true" indent="0" shrinkToFit="false"/>
      <protection locked="true" hidden="false"/>
    </xf>
    <xf numFmtId="164" fontId="110" fillId="2" borderId="2" xfId="0" applyFont="true" applyBorder="true" applyAlignment="true" applyProtection="false">
      <alignment horizontal="general" vertical="bottom" textRotation="0" wrapText="true" indent="0" shrinkToFit="false"/>
      <protection locked="true" hidden="false"/>
    </xf>
    <xf numFmtId="182" fontId="0" fillId="0" borderId="2" xfId="0" applyFont="false" applyBorder="true" applyAlignment="true" applyProtection="false">
      <alignment horizontal="center" vertical="bottom" textRotation="0" wrapText="false" indent="0" shrinkToFit="false"/>
      <protection locked="true" hidden="false"/>
    </xf>
    <xf numFmtId="164" fontId="79" fillId="0" borderId="2" xfId="0" applyFont="true" applyBorder="true" applyAlignment="true" applyProtection="false">
      <alignment horizontal="general" vertical="bottom" textRotation="0" wrapText="false" indent="0" shrinkToFit="false"/>
      <protection locked="true" hidden="false"/>
    </xf>
    <xf numFmtId="165" fontId="0" fillId="0" borderId="2" xfId="0" applyFont="false" applyBorder="true" applyAlignment="true" applyProtection="false">
      <alignment horizontal="general" vertical="bottom" textRotation="0" wrapText="false" indent="0" shrinkToFit="false"/>
      <protection locked="true" hidden="false"/>
    </xf>
    <xf numFmtId="211" fontId="79" fillId="0" borderId="2" xfId="0" applyFont="true" applyBorder="true" applyAlignment="true" applyProtection="false">
      <alignment horizontal="general" vertical="bottom" textRotation="0" wrapText="false" indent="0" shrinkToFit="false"/>
      <protection locked="true" hidden="false"/>
    </xf>
    <xf numFmtId="184" fontId="0" fillId="0" borderId="2" xfId="0" applyFont="false" applyBorder="true" applyAlignment="true" applyProtection="false">
      <alignment horizontal="general" vertical="bottom" textRotation="0" wrapText="false" indent="0" shrinkToFit="false"/>
      <protection locked="true" hidden="false"/>
    </xf>
    <xf numFmtId="212" fontId="0" fillId="0" borderId="2" xfId="0" applyFont="false" applyBorder="true" applyAlignment="true" applyProtection="false">
      <alignment horizontal="general" vertical="bottom" textRotation="0" wrapText="false" indent="0" shrinkToFit="false"/>
      <protection locked="true" hidden="false"/>
    </xf>
    <xf numFmtId="182" fontId="0" fillId="18" borderId="2" xfId="0" applyFont="false" applyBorder="true" applyAlignment="true" applyProtection="false">
      <alignment horizontal="center" vertical="bottom" textRotation="0" wrapText="false" indent="0" shrinkToFit="false"/>
      <protection locked="true" hidden="false"/>
    </xf>
    <xf numFmtId="164" fontId="79" fillId="18" borderId="2" xfId="0" applyFont="true" applyBorder="true" applyAlignment="true" applyProtection="false">
      <alignment horizontal="general" vertical="bottom" textRotation="0" wrapText="false" indent="0" shrinkToFit="false"/>
      <protection locked="true" hidden="false"/>
    </xf>
    <xf numFmtId="165" fontId="0" fillId="18" borderId="2" xfId="0" applyFont="false" applyBorder="true" applyAlignment="true" applyProtection="false">
      <alignment horizontal="general" vertical="bottom" textRotation="0" wrapText="false" indent="0" shrinkToFit="false"/>
      <protection locked="true" hidden="false"/>
    </xf>
    <xf numFmtId="211" fontId="79" fillId="18" borderId="2" xfId="0" applyFont="true" applyBorder="true" applyAlignment="true" applyProtection="false">
      <alignment horizontal="general" vertical="bottom" textRotation="0" wrapText="false" indent="0" shrinkToFit="false"/>
      <protection locked="true" hidden="false"/>
    </xf>
    <xf numFmtId="184" fontId="0" fillId="18" borderId="2" xfId="0" applyFont="false" applyBorder="true" applyAlignment="true" applyProtection="false">
      <alignment horizontal="general" vertical="bottom" textRotation="0" wrapText="false" indent="0" shrinkToFit="false"/>
      <protection locked="true" hidden="false"/>
    </xf>
    <xf numFmtId="212" fontId="0" fillId="18" borderId="2" xfId="0" applyFont="false" applyBorder="tru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7" fontId="125" fillId="0" borderId="0" xfId="0" applyFont="true" applyBorder="false" applyAlignment="true" applyProtection="false">
      <alignment horizontal="general" vertical="bottom" textRotation="0" wrapText="false" indent="0" shrinkToFit="false"/>
      <protection locked="true" hidden="false"/>
    </xf>
    <xf numFmtId="165" fontId="79" fillId="0" borderId="0" xfId="0" applyFont="true" applyBorder="false" applyAlignment="true" applyProtection="false">
      <alignment horizontal="general" vertical="bottom" textRotation="0" wrapText="false" indent="0" shrinkToFit="false"/>
      <protection locked="true" hidden="false"/>
    </xf>
    <xf numFmtId="164" fontId="126" fillId="0" borderId="0" xfId="0" applyFont="true" applyBorder="false" applyAlignment="true" applyProtection="false">
      <alignment horizontal="general" vertical="bottom" textRotation="0" wrapText="false" indent="0" shrinkToFit="false"/>
      <protection locked="true" hidden="false"/>
    </xf>
    <xf numFmtId="164" fontId="110" fillId="2" borderId="63" xfId="0" applyFont="true" applyBorder="true" applyAlignment="true" applyProtection="false">
      <alignment horizontal="general" vertical="bottom" textRotation="0" wrapText="false" indent="0" shrinkToFit="false"/>
      <protection locked="true" hidden="false"/>
    </xf>
    <xf numFmtId="164" fontId="110" fillId="2" borderId="63" xfId="0" applyFont="true" applyBorder="true" applyAlignment="true" applyProtection="false">
      <alignment horizontal="center" vertical="bottom" textRotation="0" wrapText="false" indent="0" shrinkToFit="false"/>
      <protection locked="true" hidden="false"/>
    </xf>
    <xf numFmtId="164" fontId="110" fillId="2" borderId="63" xfId="0" applyFont="true" applyBorder="true" applyAlignment="true" applyProtection="false">
      <alignment horizontal="center" vertical="center" textRotation="0" wrapText="true" indent="0" shrinkToFit="false"/>
      <protection locked="true" hidden="false"/>
    </xf>
    <xf numFmtId="164" fontId="71" fillId="0" borderId="63" xfId="0" applyFont="true" applyBorder="true" applyAlignment="true" applyProtection="false">
      <alignment horizontal="general" vertical="bottom" textRotation="0" wrapText="false" indent="0" shrinkToFit="false"/>
      <protection locked="true" hidden="false"/>
    </xf>
    <xf numFmtId="165" fontId="71" fillId="0" borderId="63" xfId="0" applyFont="true" applyBorder="true" applyAlignment="true" applyProtection="false">
      <alignment horizontal="general" vertical="bottom" textRotation="0" wrapText="false" indent="0" shrinkToFit="false"/>
      <protection locked="true" hidden="false"/>
    </xf>
    <xf numFmtId="211" fontId="71" fillId="0" borderId="63" xfId="0" applyFont="true" applyBorder="true" applyAlignment="true" applyProtection="false">
      <alignment horizontal="general" vertical="bottom" textRotation="0" wrapText="false" indent="0" shrinkToFit="false"/>
      <protection locked="true" hidden="false"/>
    </xf>
    <xf numFmtId="210" fontId="71" fillId="0" borderId="63" xfId="0" applyFont="true" applyBorder="true" applyAlignment="true" applyProtection="false">
      <alignment horizontal="general" vertical="bottom" textRotation="0" wrapText="false" indent="0" shrinkToFit="false"/>
      <protection locked="true" hidden="false"/>
    </xf>
    <xf numFmtId="164" fontId="71" fillId="18" borderId="63" xfId="0" applyFont="true" applyBorder="true" applyAlignment="true" applyProtection="false">
      <alignment horizontal="general" vertical="bottom" textRotation="0" wrapText="false" indent="0" shrinkToFit="false"/>
      <protection locked="true" hidden="false"/>
    </xf>
    <xf numFmtId="165" fontId="71" fillId="18" borderId="63" xfId="0" applyFont="true" applyBorder="true" applyAlignment="true" applyProtection="false">
      <alignment horizontal="general" vertical="bottom" textRotation="0" wrapText="false" indent="0" shrinkToFit="false"/>
      <protection locked="true" hidden="false"/>
    </xf>
    <xf numFmtId="211" fontId="71" fillId="18" borderId="63" xfId="0" applyFont="true" applyBorder="true" applyAlignment="true" applyProtection="false">
      <alignment horizontal="general" vertical="bottom" textRotation="0" wrapText="false" indent="0" shrinkToFit="false"/>
      <protection locked="true" hidden="false"/>
    </xf>
    <xf numFmtId="210" fontId="71" fillId="18" borderId="63" xfId="0" applyFont="true" applyBorder="true" applyAlignment="true" applyProtection="false">
      <alignment horizontal="general" vertical="bottom" textRotation="0" wrapText="false" indent="0" shrinkToFit="false"/>
      <protection locked="true" hidden="false"/>
    </xf>
    <xf numFmtId="164" fontId="25" fillId="2" borderId="63" xfId="0" applyFont="true" applyBorder="true" applyAlignment="true" applyProtection="false">
      <alignment horizontal="general" vertical="bottom" textRotation="0" wrapText="false" indent="0" shrinkToFit="false"/>
      <protection locked="true" hidden="false"/>
    </xf>
    <xf numFmtId="165" fontId="25" fillId="2" borderId="63" xfId="0" applyFont="true" applyBorder="true" applyAlignment="true" applyProtection="false">
      <alignment horizontal="general" vertical="bottom" textRotation="0" wrapText="false" indent="0" shrinkToFit="false"/>
      <protection locked="true" hidden="false"/>
    </xf>
    <xf numFmtId="211" fontId="25" fillId="2" borderId="63" xfId="0" applyFont="true" applyBorder="true" applyAlignment="true" applyProtection="false">
      <alignment horizontal="general" vertical="bottom" textRotation="0" wrapText="false" indent="0" shrinkToFit="false"/>
      <protection locked="true" hidden="false"/>
    </xf>
    <xf numFmtId="210" fontId="25" fillId="2" borderId="63" xfId="0" applyFont="true" applyBorder="true" applyAlignment="true" applyProtection="false">
      <alignment horizontal="general" vertical="bottom" textRotation="0" wrapText="false" indent="0" shrinkToFit="false"/>
      <protection locked="true" hidden="false"/>
    </xf>
    <xf numFmtId="164" fontId="110" fillId="2" borderId="63" xfId="0" applyFont="true" applyBorder="true" applyAlignment="true" applyProtection="false">
      <alignment horizontal="left" vertical="center" textRotation="0" wrapText="true" indent="0" shrinkToFit="false"/>
      <protection locked="true" hidden="false"/>
    </xf>
    <xf numFmtId="164" fontId="94" fillId="6" borderId="63" xfId="0" applyFont="true" applyBorder="true" applyAlignment="true" applyProtection="false">
      <alignment horizontal="general" vertical="bottom" textRotation="0" wrapText="false" indent="0" shrinkToFit="false"/>
      <protection locked="true" hidden="false"/>
    </xf>
    <xf numFmtId="192" fontId="95" fillId="12" borderId="63" xfId="0" applyFont="true" applyBorder="true" applyAlignment="true" applyProtection="false">
      <alignment horizontal="center" vertical="bottom" textRotation="0" wrapText="false" indent="0" shrinkToFit="false"/>
      <protection locked="true" hidden="false"/>
    </xf>
    <xf numFmtId="164" fontId="94" fillId="18" borderId="63" xfId="0" applyFont="true" applyBorder="true" applyAlignment="true" applyProtection="false">
      <alignment horizontal="general" vertical="bottom" textRotation="0" wrapText="false" indent="0" shrinkToFit="false"/>
      <protection locked="true" hidden="false"/>
    </xf>
    <xf numFmtId="200" fontId="95" fillId="12" borderId="63" xfId="0" applyFont="true" applyBorder="true" applyAlignment="true" applyProtection="false">
      <alignment horizontal="center" vertical="bottom" textRotation="0" wrapText="false" indent="0" shrinkToFit="false"/>
      <protection locked="true" hidden="false"/>
    </xf>
    <xf numFmtId="176" fontId="95" fillId="12" borderId="63" xfId="0" applyFont="true" applyBorder="true" applyAlignment="true" applyProtection="false">
      <alignment horizontal="center" vertical="bottom" textRotation="0" wrapText="false" indent="0" shrinkToFit="false"/>
      <protection locked="true" hidden="false"/>
    </xf>
    <xf numFmtId="213" fontId="95" fillId="12" borderId="63" xfId="0" applyFont="true" applyBorder="true" applyAlignment="true" applyProtection="false">
      <alignment horizontal="center" vertical="bottom" textRotation="0" wrapText="false" indent="0" shrinkToFit="false"/>
      <protection locked="true" hidden="false"/>
    </xf>
    <xf numFmtId="177" fontId="95" fillId="12" borderId="63" xfId="0" applyFont="true" applyBorder="true" applyAlignment="true" applyProtection="false">
      <alignment horizontal="center" vertical="bottom" textRotation="0" wrapText="false" indent="0" shrinkToFit="false"/>
      <protection locked="true" hidden="false"/>
    </xf>
    <xf numFmtId="187" fontId="95" fillId="12" borderId="63" xfId="0" applyFont="true" applyBorder="true" applyAlignment="true" applyProtection="false">
      <alignment horizontal="center" vertical="bottom" textRotation="0" wrapText="false" indent="0" shrinkToFit="false"/>
      <protection locked="true" hidden="false"/>
    </xf>
    <xf numFmtId="164" fontId="91" fillId="18" borderId="63" xfId="0" applyFont="true" applyBorder="true" applyAlignment="true" applyProtection="false">
      <alignment horizontal="general" vertical="bottom" textRotation="0" wrapText="false" indent="0" shrinkToFit="false"/>
      <protection locked="true" hidden="false"/>
    </xf>
    <xf numFmtId="192" fontId="124" fillId="12" borderId="63" xfId="0" applyFont="true" applyBorder="true" applyAlignment="true" applyProtection="false">
      <alignment horizontal="center" vertical="bottom" textRotation="0" wrapText="false" indent="0" shrinkToFit="false"/>
      <protection locked="true" hidden="false"/>
    </xf>
    <xf numFmtId="214" fontId="95" fillId="12" borderId="2" xfId="0" applyFont="true" applyBorder="true" applyAlignment="true" applyProtection="false">
      <alignment horizontal="general" vertical="bottom" textRotation="0" wrapText="false" indent="0" shrinkToFit="false"/>
      <protection locked="true" hidden="false"/>
    </xf>
    <xf numFmtId="214" fontId="103" fillId="0" borderId="0" xfId="0" applyFont="true" applyBorder="true" applyAlignment="true" applyProtection="false">
      <alignment horizontal="general" vertical="bottom" textRotation="0" wrapText="false" indent="0" shrinkToFit="false"/>
      <protection locked="true" hidden="false"/>
    </xf>
    <xf numFmtId="164" fontId="110" fillId="2" borderId="2"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4" fontId="128" fillId="29" borderId="2" xfId="0" applyFont="true" applyBorder="true" applyAlignment="true" applyProtection="false">
      <alignment horizontal="center" vertical="bottom" textRotation="0" wrapText="false" indent="0" shrinkToFit="false"/>
      <protection locked="true" hidden="false"/>
    </xf>
    <xf numFmtId="165" fontId="95" fillId="12" borderId="64" xfId="0" applyFont="true" applyBorder="true" applyAlignment="true" applyProtection="false">
      <alignment horizontal="general" vertical="bottom" textRotation="0" wrapText="false" indent="0" shrinkToFit="false"/>
      <protection locked="true" hidden="false"/>
    </xf>
    <xf numFmtId="164" fontId="95" fillId="12" borderId="2" xfId="0" applyFont="true" applyBorder="true" applyAlignment="true" applyProtection="false">
      <alignment horizontal="center" vertical="bottom" textRotation="0" wrapText="false" indent="0" shrinkToFit="false"/>
      <protection locked="true" hidden="false"/>
    </xf>
    <xf numFmtId="214" fontId="11" fillId="0" borderId="0" xfId="0" applyFont="true" applyBorder="false" applyAlignment="true" applyProtection="false">
      <alignment horizontal="general" vertical="bottom" textRotation="0" wrapText="false" indent="0" shrinkToFit="false"/>
      <protection locked="true" hidden="false"/>
    </xf>
    <xf numFmtId="215" fontId="94" fillId="0" borderId="0" xfId="0" applyFont="true" applyBorder="false" applyAlignment="true" applyProtection="false">
      <alignment horizontal="center" vertical="bottom" textRotation="0" wrapText="false" indent="0" shrinkToFit="false"/>
      <protection locked="true" hidden="false"/>
    </xf>
    <xf numFmtId="164" fontId="129" fillId="0" borderId="2" xfId="0" applyFont="true" applyBorder="true" applyAlignment="true" applyProtection="false">
      <alignment horizontal="left" vertical="center" textRotation="0" wrapText="true" indent="0" shrinkToFit="false"/>
      <protection locked="true" hidden="false"/>
    </xf>
    <xf numFmtId="177" fontId="95" fillId="12" borderId="2" xfId="0" applyFont="true" applyBorder="true" applyAlignment="true" applyProtection="false">
      <alignment horizontal="center" vertical="bottom" textRotation="0" wrapText="false" indent="0" shrinkToFit="false"/>
      <protection locked="true" hidden="false"/>
    </xf>
    <xf numFmtId="165" fontId="94" fillId="0" borderId="2" xfId="0" applyFont="true" applyBorder="true" applyAlignment="true" applyProtection="false">
      <alignment horizontal="general" vertical="bottom" textRotation="0" wrapText="false" indent="0" shrinkToFit="false"/>
      <protection locked="true" hidden="false"/>
    </xf>
    <xf numFmtId="164" fontId="15" fillId="30" borderId="2" xfId="0" applyFont="true" applyBorder="true" applyAlignment="true" applyProtection="false">
      <alignment horizontal="center" vertical="bottom" textRotation="0" wrapText="false" indent="0" shrinkToFit="false"/>
      <protection locked="true" hidden="false"/>
    </xf>
    <xf numFmtId="165" fontId="95" fillId="12" borderId="65" xfId="0" applyFont="true" applyBorder="true" applyAlignment="true" applyProtection="false">
      <alignment horizontal="general" vertical="bottom" textRotation="0" wrapText="false" indent="0" shrinkToFit="false"/>
      <protection locked="true" hidden="false"/>
    </xf>
    <xf numFmtId="164" fontId="95" fillId="12" borderId="66" xfId="0" applyFont="true" applyBorder="true" applyAlignment="true" applyProtection="false">
      <alignment horizontal="center" vertical="bottom" textRotation="0" wrapText="false" indent="0" shrinkToFit="false"/>
      <protection locked="true" hidden="false"/>
    </xf>
    <xf numFmtId="214" fontId="95" fillId="12" borderId="66" xfId="0" applyFont="true" applyBorder="true" applyAlignment="true" applyProtection="false">
      <alignment horizontal="general" vertical="bottom" textRotation="0" wrapText="false" indent="0" shrinkToFit="false"/>
      <protection locked="true" hidden="false"/>
    </xf>
    <xf numFmtId="164" fontId="95" fillId="12" borderId="66" xfId="0" applyFont="true" applyBorder="true" applyAlignment="true" applyProtection="false">
      <alignment horizontal="general" vertical="bottom" textRotation="0" wrapText="false" indent="0" shrinkToFit="false"/>
      <protection locked="true" hidden="false"/>
    </xf>
    <xf numFmtId="164" fontId="15" fillId="30" borderId="67" xfId="0" applyFont="true" applyBorder="true" applyAlignment="true" applyProtection="false">
      <alignment horizontal="center" vertical="bottom" textRotation="0" wrapText="false" indent="0" shrinkToFit="false"/>
      <protection locked="true" hidden="false"/>
    </xf>
    <xf numFmtId="165" fontId="95" fillId="12" borderId="2" xfId="0" applyFont="true" applyBorder="true" applyAlignment="true" applyProtection="false">
      <alignment horizontal="general" vertical="bottom" textRotation="0" wrapText="false" indent="0" shrinkToFit="false"/>
      <protection locked="true" hidden="false"/>
    </xf>
    <xf numFmtId="214" fontId="95" fillId="12" borderId="67" xfId="0" applyFont="true" applyBorder="true" applyAlignment="true" applyProtection="false">
      <alignment horizontal="general" vertical="bottom" textRotation="0" wrapText="false" indent="0" shrinkToFit="false"/>
      <protection locked="true" hidden="false"/>
    </xf>
    <xf numFmtId="214" fontId="11" fillId="0" borderId="68" xfId="0" applyFont="true" applyBorder="true" applyAlignment="true" applyProtection="false">
      <alignment horizontal="general" vertical="bottom" textRotation="0" wrapText="false" indent="0" shrinkToFit="false"/>
      <protection locked="true" hidden="false"/>
    </xf>
    <xf numFmtId="165" fontId="11" fillId="0" borderId="69" xfId="0" applyFont="true" applyBorder="true" applyAlignment="true" applyProtection="false">
      <alignment horizontal="general" vertical="bottom" textRotation="0" wrapText="false" indent="0" shrinkToFit="false"/>
      <protection locked="true" hidden="false"/>
    </xf>
    <xf numFmtId="164" fontId="95" fillId="12" borderId="70" xfId="0" applyFont="true" applyBorder="true" applyAlignment="true" applyProtection="false">
      <alignment horizontal="general" vertical="bottom" textRotation="0" wrapText="false" indent="0" shrinkToFit="false"/>
      <protection locked="true" hidden="false"/>
    </xf>
    <xf numFmtId="164" fontId="12" fillId="0" borderId="71" xfId="0" applyFont="true" applyBorder="true" applyAlignment="true" applyProtection="false">
      <alignment horizontal="general" vertical="bottom" textRotation="0" wrapText="false" indent="0" shrinkToFit="false"/>
      <protection locked="true" hidden="false"/>
    </xf>
    <xf numFmtId="164" fontId="129" fillId="0" borderId="64" xfId="0" applyFont="true" applyBorder="true" applyAlignment="true" applyProtection="false">
      <alignment horizontal="left" vertical="center" textRotation="0" wrapText="true" indent="0" shrinkToFit="false"/>
      <protection locked="true" hidden="false"/>
    </xf>
    <xf numFmtId="164" fontId="0" fillId="13" borderId="2" xfId="0" applyFont="false" applyBorder="true" applyAlignment="true" applyProtection="false">
      <alignment horizontal="general" vertical="bottom" textRotation="0" wrapText="false" indent="0" shrinkToFit="false"/>
      <protection locked="true" hidden="false"/>
    </xf>
    <xf numFmtId="165" fontId="12" fillId="13" borderId="0" xfId="0" applyFont="true" applyBorder="fals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5" fontId="92" fillId="13" borderId="2" xfId="0" applyFont="true" applyBorder="true" applyAlignment="true" applyProtection="false">
      <alignment horizontal="general" vertical="bottom" textRotation="0" wrapText="false" indent="0" shrinkToFit="false"/>
      <protection locked="true" hidden="false"/>
    </xf>
    <xf numFmtId="166" fontId="103" fillId="0" borderId="0" xfId="0" applyFont="true" applyBorder="true" applyAlignment="true" applyProtection="false">
      <alignment horizontal="general" vertical="bottom" textRotation="0" wrapText="false" indent="0" shrinkToFit="false"/>
      <protection locked="true" hidden="false"/>
    </xf>
    <xf numFmtId="200" fontId="103" fillId="0" borderId="0" xfId="0" applyFont="true" applyBorder="true" applyAlignment="true" applyProtection="false">
      <alignment horizontal="general" vertical="bottom" textRotation="0" wrapText="false" indent="0" shrinkToFit="false"/>
      <protection locked="true" hidden="false"/>
    </xf>
    <xf numFmtId="200" fontId="0" fillId="0" borderId="0" xfId="0" applyFont="false" applyBorder="false" applyAlignment="true" applyProtection="false">
      <alignment horizontal="general" vertical="bottom" textRotation="0" wrapText="false" indent="0" shrinkToFit="false"/>
      <protection locked="true" hidden="false"/>
    </xf>
    <xf numFmtId="164" fontId="130" fillId="2" borderId="0" xfId="0" applyFont="true" applyBorder="false" applyAlignment="true" applyProtection="false">
      <alignment horizontal="general" vertical="bottom" textRotation="0" wrapText="false" indent="0" shrinkToFit="false"/>
      <protection locked="true" hidden="false"/>
    </xf>
    <xf numFmtId="214" fontId="79" fillId="16" borderId="0" xfId="0" applyFont="true" applyBorder="false" applyAlignment="true" applyProtection="false">
      <alignment horizontal="general" vertical="bottom" textRotation="0" wrapText="false" indent="0" shrinkToFit="false"/>
      <protection locked="true" hidden="false"/>
    </xf>
    <xf numFmtId="164" fontId="131" fillId="0" borderId="0" xfId="0" applyFont="true" applyBorder="false" applyAlignment="true" applyProtection="false">
      <alignment horizontal="general" vertical="bottom" textRotation="0" wrapText="false" indent="0" shrinkToFit="false"/>
      <protection locked="true" hidden="false"/>
    </xf>
    <xf numFmtId="164" fontId="131" fillId="31" borderId="0" xfId="0" applyFont="true" applyBorder="false" applyAlignment="true" applyProtection="false">
      <alignment horizontal="general" vertical="bottom" textRotation="0" wrapText="false" indent="0" shrinkToFit="false"/>
      <protection locked="true" hidden="false"/>
    </xf>
    <xf numFmtId="214" fontId="73" fillId="12" borderId="0" xfId="0" applyFont="true" applyBorder="false" applyAlignment="true" applyProtection="false">
      <alignment horizontal="general" vertical="bottom" textRotation="0" wrapText="false" indent="0" shrinkToFit="false"/>
      <protection locked="true" hidden="false"/>
    </xf>
    <xf numFmtId="164" fontId="131" fillId="32" borderId="0" xfId="0" applyFont="true" applyBorder="false" applyAlignment="true" applyProtection="false">
      <alignment horizontal="general" vertical="bottom" textRotation="0" wrapText="false" indent="0" shrinkToFit="false"/>
      <protection locked="true" hidden="false"/>
    </xf>
    <xf numFmtId="164" fontId="131" fillId="33" borderId="0" xfId="0" applyFont="true" applyBorder="false" applyAlignment="true" applyProtection="false">
      <alignment horizontal="general" vertical="bottom" textRotation="0" wrapText="false" indent="0" shrinkToFit="false"/>
      <protection locked="true" hidden="false"/>
    </xf>
    <xf numFmtId="164" fontId="132" fillId="0" borderId="0" xfId="0" applyFont="true" applyBorder="false" applyAlignment="true" applyProtection="false">
      <alignment horizontal="general" vertical="bottom" textRotation="0" wrapText="false" indent="0" shrinkToFit="false"/>
      <protection locked="true" hidden="false"/>
    </xf>
    <xf numFmtId="214" fontId="133" fillId="0" borderId="0" xfId="0" applyFont="true" applyBorder="false" applyAlignment="true" applyProtection="false">
      <alignment horizontal="general" vertical="bottom" textRotation="0" wrapText="false" indent="0" shrinkToFit="false"/>
      <protection locked="true" hidden="false"/>
    </xf>
    <xf numFmtId="214" fontId="131" fillId="0" borderId="0" xfId="0" applyFont="true" applyBorder="false" applyAlignment="true" applyProtection="false">
      <alignment horizontal="general" vertical="bottom" textRotation="0" wrapText="false" indent="0" shrinkToFit="false"/>
      <protection locked="true" hidden="false"/>
    </xf>
    <xf numFmtId="164" fontId="133" fillId="0" borderId="0" xfId="0" applyFont="true" applyBorder="false" applyAlignment="true" applyProtection="false">
      <alignment horizontal="center" vertical="bottom" textRotation="0" wrapText="false" indent="0" shrinkToFit="false"/>
      <protection locked="true" hidden="false"/>
    </xf>
    <xf numFmtId="164" fontId="110" fillId="2" borderId="72" xfId="0" applyFont="true" applyBorder="true" applyAlignment="true" applyProtection="false">
      <alignment horizontal="center" vertical="center" textRotation="0" wrapText="false" indent="0" shrinkToFit="false"/>
      <protection locked="true" hidden="false"/>
    </xf>
    <xf numFmtId="164" fontId="110" fillId="2" borderId="72" xfId="0" applyFont="true" applyBorder="true" applyAlignment="true" applyProtection="false">
      <alignment horizontal="left" vertical="center" textRotation="0" wrapText="false" indent="0" shrinkToFit="false"/>
      <protection locked="true" hidden="false"/>
    </xf>
    <xf numFmtId="164" fontId="110" fillId="2" borderId="72" xfId="0" applyFont="true" applyBorder="true" applyAlignment="true" applyProtection="false">
      <alignment horizontal="center" vertical="center" textRotation="0" wrapText="true" indent="0" shrinkToFit="false"/>
      <protection locked="true" hidden="false"/>
    </xf>
    <xf numFmtId="179" fontId="110" fillId="2" borderId="0" xfId="0" applyFont="true" applyBorder="false" applyAlignment="true" applyProtection="false">
      <alignment horizontal="center" vertical="center" textRotation="90" wrapText="false" indent="0" shrinkToFit="false"/>
      <protection locked="true" hidden="false"/>
    </xf>
    <xf numFmtId="164" fontId="134" fillId="13" borderId="72" xfId="0" applyFont="true" applyBorder="true" applyAlignment="true" applyProtection="false">
      <alignment horizontal="center" vertical="bottom" textRotation="0" wrapText="false" indent="0" shrinkToFit="false"/>
      <protection locked="true" hidden="false"/>
    </xf>
    <xf numFmtId="164" fontId="134" fillId="13" borderId="72" xfId="0" applyFont="true" applyBorder="true" applyAlignment="true" applyProtection="false">
      <alignment horizontal="left" vertical="bottom" textRotation="0" wrapText="false" indent="0" shrinkToFit="false"/>
      <protection locked="true" hidden="false"/>
    </xf>
    <xf numFmtId="200" fontId="134" fillId="13" borderId="72" xfId="0" applyFont="true" applyBorder="true" applyAlignment="true" applyProtection="false">
      <alignment horizontal="center" vertical="bottom" textRotation="0" wrapText="false" indent="0" shrinkToFit="false"/>
      <protection locked="true" hidden="false"/>
    </xf>
    <xf numFmtId="214" fontId="134" fillId="13" borderId="72" xfId="0" applyFont="true" applyBorder="true" applyAlignment="true" applyProtection="false">
      <alignment horizontal="center" vertical="bottom" textRotation="0" wrapText="false" indent="0" shrinkToFit="false"/>
      <protection locked="true" hidden="false"/>
    </xf>
    <xf numFmtId="216" fontId="134" fillId="13" borderId="72" xfId="0" applyFont="true" applyBorder="true" applyAlignment="true" applyProtection="false">
      <alignment horizontal="center" vertical="bottom" textRotation="0" wrapText="false" indent="0" shrinkToFit="false"/>
      <protection locked="true" hidden="false"/>
    </xf>
    <xf numFmtId="217" fontId="134" fillId="13" borderId="72" xfId="0" applyFont="true" applyBorder="true" applyAlignment="true" applyProtection="false">
      <alignment horizontal="center" vertical="bottom" textRotation="0" wrapText="false" indent="0" shrinkToFit="false"/>
      <protection locked="true" hidden="false"/>
    </xf>
    <xf numFmtId="177" fontId="134" fillId="13" borderId="72" xfId="0" applyFont="true" applyBorder="true" applyAlignment="true" applyProtection="false">
      <alignment horizontal="left" vertical="bottom" textRotation="0" wrapText="false" indent="0" shrinkToFit="false"/>
      <protection locked="true" hidden="false"/>
    </xf>
    <xf numFmtId="164" fontId="134" fillId="13" borderId="73" xfId="0" applyFont="true" applyBorder="true" applyAlignment="true" applyProtection="false">
      <alignment horizontal="left" vertical="bottom" textRotation="0" wrapText="false" indent="0" shrinkToFit="false"/>
      <protection locked="true" hidden="false"/>
    </xf>
    <xf numFmtId="164" fontId="0" fillId="0" borderId="74" xfId="0" applyFont="false" applyBorder="true" applyAlignment="true" applyProtection="false">
      <alignment horizontal="general" vertical="bottom" textRotation="0" wrapText="false" indent="0" shrinkToFit="false"/>
      <protection locked="true" hidden="false"/>
    </xf>
    <xf numFmtId="164" fontId="0" fillId="0" borderId="75" xfId="0" applyFont="false" applyBorder="true" applyAlignment="true" applyProtection="false">
      <alignment horizontal="general" vertical="bottom" textRotation="0" wrapText="false" indent="0" shrinkToFit="false"/>
      <protection locked="true" hidden="false"/>
    </xf>
    <xf numFmtId="164" fontId="0" fillId="0" borderId="76" xfId="0" applyFont="false" applyBorder="true" applyAlignment="true" applyProtection="false">
      <alignment horizontal="general" vertical="bottom" textRotation="0" wrapText="false" indent="0" shrinkToFit="false"/>
      <protection locked="true" hidden="false"/>
    </xf>
    <xf numFmtId="164" fontId="131" fillId="0" borderId="72" xfId="0" applyFont="true" applyBorder="true" applyAlignment="true" applyProtection="false">
      <alignment horizontal="center" vertical="bottom" textRotation="0" wrapText="false" indent="0" shrinkToFit="false"/>
      <protection locked="true" hidden="false"/>
    </xf>
    <xf numFmtId="164" fontId="131" fillId="0" borderId="72" xfId="0" applyFont="true" applyBorder="true" applyAlignment="true" applyProtection="false">
      <alignment horizontal="left" vertical="bottom" textRotation="0" wrapText="false" indent="0" shrinkToFit="false"/>
      <protection locked="true" hidden="false"/>
    </xf>
    <xf numFmtId="200" fontId="122" fillId="12" borderId="72" xfId="0" applyFont="true" applyBorder="true" applyAlignment="true" applyProtection="false">
      <alignment horizontal="center" vertical="bottom" textRotation="0" wrapText="false" indent="0" shrinkToFit="false"/>
      <protection locked="true" hidden="false"/>
    </xf>
    <xf numFmtId="214" fontId="131" fillId="0" borderId="72" xfId="0" applyFont="true" applyBorder="true" applyAlignment="true" applyProtection="false">
      <alignment horizontal="center" vertical="bottom" textRotation="0" wrapText="false" indent="0" shrinkToFit="false"/>
      <protection locked="true" hidden="false"/>
    </xf>
    <xf numFmtId="216" fontId="131" fillId="0" borderId="72" xfId="0" applyFont="true" applyBorder="true" applyAlignment="true" applyProtection="false">
      <alignment horizontal="center" vertical="bottom" textRotation="0" wrapText="false" indent="0" shrinkToFit="false"/>
      <protection locked="true" hidden="false"/>
    </xf>
    <xf numFmtId="217" fontId="131" fillId="0" borderId="72" xfId="0" applyFont="true" applyBorder="true" applyAlignment="true" applyProtection="false">
      <alignment horizontal="center" vertical="bottom" textRotation="0" wrapText="false" indent="0" shrinkToFit="false"/>
      <protection locked="true" hidden="false"/>
    </xf>
    <xf numFmtId="164" fontId="135" fillId="0" borderId="72" xfId="0" applyFont="true" applyBorder="true" applyAlignment="true" applyProtection="false">
      <alignment horizontal="left" vertical="bottom" textRotation="0" wrapText="false" indent="0" shrinkToFit="false"/>
      <protection locked="true" hidden="false"/>
    </xf>
    <xf numFmtId="177" fontId="131" fillId="0" borderId="72" xfId="0" applyFont="true" applyBorder="true" applyAlignment="true" applyProtection="false">
      <alignment horizontal="left" vertical="bottom" textRotation="0" wrapText="false" indent="0" shrinkToFit="false"/>
      <protection locked="true" hidden="false"/>
    </xf>
    <xf numFmtId="164" fontId="131" fillId="0" borderId="73" xfId="0" applyFont="true" applyBorder="true" applyAlignment="true" applyProtection="false">
      <alignment horizontal="left" vertical="bottom" textRotation="0" wrapText="false" indent="0" shrinkToFit="false"/>
      <protection locked="true" hidden="false"/>
    </xf>
    <xf numFmtId="192" fontId="131" fillId="0" borderId="72" xfId="0" applyFont="true" applyBorder="true" applyAlignment="true" applyProtection="false">
      <alignment horizontal="center" vertical="bottom" textRotation="0" wrapText="false" indent="0" shrinkToFit="false"/>
      <protection locked="true" hidden="false"/>
    </xf>
    <xf numFmtId="164" fontId="0" fillId="3" borderId="75" xfId="0" applyFont="false" applyBorder="true" applyAlignment="true" applyProtection="false">
      <alignment horizontal="general" vertical="bottom" textRotation="0" wrapText="false" indent="0" shrinkToFit="false"/>
      <protection locked="true" hidden="false"/>
    </xf>
    <xf numFmtId="164" fontId="136" fillId="0" borderId="72" xfId="0" applyFont="true" applyBorder="true" applyAlignment="true" applyProtection="false">
      <alignment horizontal="left" vertical="bottom" textRotation="0" wrapText="false" indent="0" shrinkToFit="false"/>
      <protection locked="true" hidden="false"/>
    </xf>
    <xf numFmtId="164" fontId="0" fillId="2" borderId="75" xfId="0" applyFont="false" applyBorder="true" applyAlignment="true" applyProtection="false">
      <alignment horizontal="general" vertical="bottom" textRotation="0" wrapText="false" indent="0" shrinkToFit="false"/>
      <protection locked="true" hidden="false"/>
    </xf>
    <xf numFmtId="164" fontId="0" fillId="31" borderId="75" xfId="0" applyFont="false" applyBorder="true" applyAlignment="true" applyProtection="false">
      <alignment horizontal="general" vertical="bottom" textRotation="0" wrapText="false" indent="0" shrinkToFit="false"/>
      <protection locked="true" hidden="false"/>
    </xf>
    <xf numFmtId="164" fontId="137" fillId="2" borderId="0" xfId="0" applyFont="true" applyBorder="false" applyAlignment="true" applyProtection="false">
      <alignment horizontal="general" vertical="bottom" textRotation="0" wrapText="false" indent="0" shrinkToFit="false"/>
      <protection locked="true" hidden="false"/>
    </xf>
    <xf numFmtId="164" fontId="92" fillId="0" borderId="77" xfId="0" applyFont="true" applyBorder="true" applyAlignment="true" applyProtection="false">
      <alignment horizontal="general" vertical="bottom" textRotation="0" wrapText="false" indent="0" shrinkToFit="false"/>
      <protection locked="true" hidden="false"/>
    </xf>
    <xf numFmtId="164" fontId="0" fillId="0" borderId="46" xfId="0" applyFont="false" applyBorder="true" applyAlignment="true" applyProtection="false">
      <alignment horizontal="general" vertical="bottom" textRotation="0" wrapText="false" indent="0" shrinkToFit="false"/>
      <protection locked="true" hidden="false"/>
    </xf>
    <xf numFmtId="190" fontId="117" fillId="0" borderId="65" xfId="0" applyFont="true" applyBorder="true" applyAlignment="true" applyProtection="false">
      <alignment horizontal="right" vertical="bottom" textRotation="0" wrapText="false" indent="0" shrinkToFit="false"/>
      <protection locked="true" hidden="false"/>
    </xf>
    <xf numFmtId="164" fontId="92" fillId="0" borderId="68" xfId="0" applyFont="true" applyBorder="true" applyAlignment="true" applyProtection="false">
      <alignment horizontal="general" vertical="bottom" textRotation="0" wrapText="false" indent="0" shrinkToFit="false"/>
      <protection locked="true" hidden="false"/>
    </xf>
    <xf numFmtId="190" fontId="71" fillId="0" borderId="69" xfId="0" applyFont="true" applyBorder="true" applyAlignment="true" applyProtection="false">
      <alignment horizontal="right" vertical="bottom" textRotation="0" wrapText="false" indent="0" shrinkToFit="false"/>
      <protection locked="true" hidden="false"/>
    </xf>
    <xf numFmtId="218" fontId="138" fillId="0" borderId="69" xfId="0" applyFont="true" applyBorder="true" applyAlignment="true" applyProtection="false">
      <alignment horizontal="right" vertical="bottom" textRotation="0" wrapText="false" indent="0" shrinkToFit="false"/>
      <protection locked="true" hidden="false"/>
    </xf>
    <xf numFmtId="218" fontId="71" fillId="0" borderId="69" xfId="0" applyFont="true" applyBorder="true" applyAlignment="true" applyProtection="false">
      <alignment horizontal="right" vertical="bottom" textRotation="0" wrapText="false" indent="0" shrinkToFit="false"/>
      <protection locked="true" hidden="false"/>
    </xf>
    <xf numFmtId="190" fontId="92" fillId="0" borderId="69" xfId="0" applyFont="true" applyBorder="true" applyAlignment="true" applyProtection="false">
      <alignment horizontal="right" vertical="bottom" textRotation="0" wrapText="false" indent="0" shrinkToFit="false"/>
      <protection locked="true" hidden="false"/>
    </xf>
    <xf numFmtId="166" fontId="71" fillId="0" borderId="69" xfId="0" applyFont="true" applyBorder="true" applyAlignment="true" applyProtection="false">
      <alignment horizontal="right" vertical="bottom" textRotation="0" wrapText="false" indent="0" shrinkToFit="false"/>
      <protection locked="true" hidden="false"/>
    </xf>
    <xf numFmtId="164" fontId="70" fillId="0" borderId="78" xfId="0" applyFont="true" applyBorder="true" applyAlignment="true" applyProtection="false">
      <alignment horizontal="general" vertical="bottom" textRotation="0" wrapText="false" indent="0" shrinkToFit="false"/>
      <protection locked="true" hidden="false"/>
    </xf>
    <xf numFmtId="164" fontId="0" fillId="0" borderId="45" xfId="0" applyFont="false" applyBorder="true" applyAlignment="true" applyProtection="false">
      <alignment horizontal="general" vertical="bottom" textRotation="0" wrapText="false" indent="0" shrinkToFit="false"/>
      <protection locked="true" hidden="false"/>
    </xf>
    <xf numFmtId="164" fontId="70" fillId="0" borderId="79" xfId="0" applyFont="true" applyBorder="true" applyAlignment="true" applyProtection="false">
      <alignment horizontal="right" vertical="bottom" textRotation="0" wrapText="false" indent="0" shrinkToFit="false"/>
      <protection locked="true" hidden="false"/>
    </xf>
    <xf numFmtId="164" fontId="110" fillId="2" borderId="48" xfId="0" applyFont="true" applyBorder="true" applyAlignment="true" applyProtection="false">
      <alignment horizontal="center" vertical="center" textRotation="0" wrapText="true" indent="0" shrinkToFit="false"/>
      <protection locked="true" hidden="false"/>
    </xf>
    <xf numFmtId="164" fontId="110" fillId="2" borderId="48" xfId="0" applyFont="true" applyBorder="true" applyAlignment="true" applyProtection="false">
      <alignment horizontal="left" vertical="center" textRotation="0" wrapText="true" indent="0" shrinkToFit="false"/>
      <protection locked="true" hidden="false"/>
    </xf>
    <xf numFmtId="164" fontId="131" fillId="0" borderId="2" xfId="0" applyFont="true" applyBorder="true" applyAlignment="true" applyProtection="false">
      <alignment horizontal="center" vertical="center" textRotation="0" wrapText="false" indent="0" shrinkToFit="false"/>
      <protection locked="true" hidden="false"/>
    </xf>
    <xf numFmtId="164" fontId="131" fillId="0" borderId="2" xfId="0" applyFont="true" applyBorder="true" applyAlignment="true" applyProtection="false">
      <alignment horizontal="general" vertical="center" textRotation="0" wrapText="true" indent="0" shrinkToFit="false"/>
      <protection locked="true" hidden="false"/>
    </xf>
    <xf numFmtId="200" fontId="122" fillId="12" borderId="2" xfId="0" applyFont="true" applyBorder="true" applyAlignment="true" applyProtection="false">
      <alignment horizontal="general" vertical="center" textRotation="0" wrapText="false" indent="0" shrinkToFit="false"/>
      <protection locked="true" hidden="false"/>
    </xf>
    <xf numFmtId="164" fontId="122" fillId="12" borderId="2" xfId="0" applyFont="true" applyBorder="true" applyAlignment="true" applyProtection="false">
      <alignment horizontal="center" vertical="center" textRotation="0" wrapText="false" indent="0" shrinkToFit="false"/>
      <protection locked="true" hidden="false"/>
    </xf>
    <xf numFmtId="200" fontId="129" fillId="0" borderId="2" xfId="0" applyFont="true" applyBorder="true" applyAlignment="true" applyProtection="false">
      <alignment horizontal="center" vertical="center" textRotation="0" wrapText="false" indent="0" shrinkToFit="false"/>
      <protection locked="true" hidden="false"/>
    </xf>
    <xf numFmtId="166" fontId="122" fillId="12" borderId="2" xfId="0" applyFont="true" applyBorder="true" applyAlignment="true" applyProtection="false">
      <alignment horizontal="general" vertical="center" textRotation="0" wrapText="false" indent="0" shrinkToFit="false"/>
      <protection locked="true" hidden="false"/>
    </xf>
    <xf numFmtId="166" fontId="129" fillId="0" borderId="2" xfId="0" applyFont="true" applyBorder="true" applyAlignment="true" applyProtection="false">
      <alignment horizontal="general" vertical="center" textRotation="0" wrapText="false" indent="0" shrinkToFit="false"/>
      <protection locked="true" hidden="false"/>
    </xf>
    <xf numFmtId="164" fontId="132" fillId="13" borderId="2" xfId="0" applyFont="true" applyBorder="true" applyAlignment="true" applyProtection="false">
      <alignment horizontal="general" vertical="center" textRotation="0" wrapText="false" indent="0" shrinkToFit="false"/>
      <protection locked="true" hidden="false"/>
    </xf>
    <xf numFmtId="200" fontId="132" fillId="13" borderId="2" xfId="0" applyFont="true" applyBorder="true" applyAlignment="true" applyProtection="false">
      <alignment horizontal="general" vertical="center" textRotation="0" wrapText="false" indent="0" shrinkToFit="false"/>
      <protection locked="true" hidden="false"/>
    </xf>
    <xf numFmtId="166" fontId="132" fillId="13" borderId="2" xfId="0" applyFont="true" applyBorder="true" applyAlignment="true" applyProtection="false">
      <alignment horizontal="general" vertical="center" textRotation="0" wrapText="false" indent="0" shrinkToFit="false"/>
      <protection locked="true" hidden="false"/>
    </xf>
    <xf numFmtId="164" fontId="136" fillId="0" borderId="0" xfId="0" applyFont="true" applyBorder="false" applyAlignment="true" applyProtection="false">
      <alignment horizontal="general" vertical="bottom" textRotation="0" wrapText="false" indent="0" shrinkToFit="false"/>
      <protection locked="true" hidden="false"/>
    </xf>
    <xf numFmtId="185" fontId="0" fillId="0" borderId="0" xfId="0" applyFont="false" applyBorder="false" applyAlignment="true" applyProtection="false">
      <alignment horizontal="general" vertical="bottom" textRotation="0" wrapText="false" indent="0" shrinkToFit="false"/>
      <protection locked="true" hidden="false"/>
    </xf>
    <xf numFmtId="169" fontId="73" fillId="18" borderId="0" xfId="0" applyFont="true" applyBorder="false" applyAlignment="true" applyProtection="false">
      <alignment horizontal="general" vertical="bottom" textRotation="0" wrapText="false" indent="0" shrinkToFit="false"/>
      <protection locked="true" hidden="false"/>
    </xf>
    <xf numFmtId="167" fontId="0" fillId="18" borderId="0" xfId="0" applyFont="false" applyBorder="false" applyAlignment="true" applyProtection="false">
      <alignment horizontal="general" vertical="bottom" textRotation="0" wrapText="false" indent="0" shrinkToFit="false"/>
      <protection locked="true" hidden="false"/>
    </xf>
    <xf numFmtId="164" fontId="70" fillId="2" borderId="0" xfId="0" applyFont="true" applyBorder="false" applyAlignment="true" applyProtection="false">
      <alignment horizontal="general" vertical="bottom" textRotation="0" wrapText="false" indent="0" shrinkToFit="false"/>
      <protection locked="true" hidden="false"/>
    </xf>
    <xf numFmtId="198" fontId="70" fillId="2" borderId="0" xfId="0" applyFont="true" applyBorder="false" applyAlignment="true" applyProtection="false">
      <alignment horizontal="general" vertical="bottom" textRotation="0" wrapText="false" indent="0" shrinkToFit="false"/>
      <protection locked="true" hidden="false"/>
    </xf>
    <xf numFmtId="219" fontId="70" fillId="2" borderId="0" xfId="0" applyFont="true" applyBorder="false" applyAlignment="true" applyProtection="false">
      <alignment horizontal="general" vertical="bottom" textRotation="0" wrapText="false" indent="0" shrinkToFit="false"/>
      <protection locked="true" hidden="false"/>
    </xf>
    <xf numFmtId="164" fontId="82" fillId="2" borderId="0" xfId="0" applyFont="true" applyBorder="false" applyAlignment="true" applyProtection="false">
      <alignment horizontal="right" vertical="bottom" textRotation="0" wrapText="false" indent="0" shrinkToFit="false"/>
      <protection locked="true" hidden="false"/>
    </xf>
    <xf numFmtId="189" fontId="73"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false" applyAlignment="true" applyProtection="false">
      <alignment horizontal="right" vertical="bottom" textRotation="0" wrapText="false" indent="0" shrinkToFit="false"/>
      <protection locked="true" hidden="false"/>
    </xf>
    <xf numFmtId="203" fontId="0" fillId="0" borderId="0" xfId="0" applyFont="false" applyBorder="false" applyAlignment="true" applyProtection="false">
      <alignment horizontal="center" vertical="bottom" textRotation="0" wrapText="false" indent="0" shrinkToFit="false"/>
      <protection locked="true" hidden="false"/>
    </xf>
    <xf numFmtId="190" fontId="79" fillId="0" borderId="0" xfId="0" applyFont="true" applyBorder="false" applyAlignment="true" applyProtection="false">
      <alignment horizontal="center" vertical="bottom" textRotation="0" wrapText="false" indent="0" shrinkToFit="false"/>
      <protection locked="true" hidden="false"/>
    </xf>
    <xf numFmtId="203" fontId="0" fillId="0" borderId="0" xfId="0" applyFont="false" applyBorder="false" applyAlignment="true" applyProtection="false">
      <alignment horizontal="general" vertical="bottom" textRotation="0" wrapText="false" indent="0" shrinkToFit="false"/>
      <protection locked="true" hidden="false"/>
    </xf>
    <xf numFmtId="164" fontId="75" fillId="0" borderId="0" xfId="0" applyFont="true" applyBorder="false" applyAlignment="true" applyProtection="false">
      <alignment horizontal="general" vertical="bottom" textRotation="0" wrapText="false" indent="0" shrinkToFit="false"/>
      <protection locked="true" hidden="false"/>
    </xf>
    <xf numFmtId="164" fontId="93" fillId="0" borderId="0" xfId="0" applyFont="true" applyBorder="false" applyAlignment="true" applyProtection="false">
      <alignment horizontal="general" vertical="bottom" textRotation="0" wrapText="false" indent="0" shrinkToFit="false"/>
      <protection locked="true" hidden="false"/>
    </xf>
    <xf numFmtId="198" fontId="70" fillId="0" borderId="0" xfId="0" applyFont="true" applyBorder="false" applyAlignment="true" applyProtection="false">
      <alignment horizontal="general" vertical="bottom" textRotation="0" wrapText="false" indent="0" shrinkToFit="false"/>
      <protection locked="true" hidden="false"/>
    </xf>
    <xf numFmtId="164" fontId="139" fillId="2" borderId="0" xfId="0" applyFont="true" applyBorder="false" applyAlignment="true" applyProtection="false">
      <alignment horizontal="general" vertical="bottom" textRotation="0" wrapText="false" indent="0" shrinkToFit="false"/>
      <protection locked="true" hidden="false"/>
    </xf>
    <xf numFmtId="164" fontId="132" fillId="0" borderId="0" xfId="0" applyFont="true" applyBorder="false" applyAlignment="true" applyProtection="false">
      <alignment horizontal="right" vertical="bottom" textRotation="0" wrapText="false" indent="0" shrinkToFit="false"/>
      <protection locked="true" hidden="false"/>
    </xf>
    <xf numFmtId="214" fontId="133" fillId="0" borderId="0" xfId="0" applyFont="true" applyBorder="false" applyAlignment="true" applyProtection="false">
      <alignment horizontal="center" vertical="bottom" textRotation="0" wrapText="false" indent="0" shrinkToFit="false"/>
      <protection locked="true" hidden="false"/>
    </xf>
    <xf numFmtId="164" fontId="25" fillId="2" borderId="72" xfId="0" applyFont="true" applyBorder="true" applyAlignment="true" applyProtection="false">
      <alignment horizontal="general" vertical="bottom" textRotation="0" wrapText="false" indent="0" shrinkToFit="false"/>
      <protection locked="true" hidden="false"/>
    </xf>
    <xf numFmtId="164" fontId="25" fillId="2" borderId="72" xfId="0" applyFont="true" applyBorder="true" applyAlignment="true" applyProtection="false">
      <alignment horizontal="center" vertical="bottom" textRotation="0" wrapText="false" indent="0" shrinkToFit="false"/>
      <protection locked="true" hidden="false"/>
    </xf>
    <xf numFmtId="164" fontId="92" fillId="0" borderId="72" xfId="0" applyFont="true" applyBorder="true" applyAlignment="true" applyProtection="false">
      <alignment horizontal="general" vertical="bottom" textRotation="0" wrapText="false" indent="0" shrinkToFit="false"/>
      <protection locked="true" hidden="false"/>
    </xf>
    <xf numFmtId="164" fontId="71" fillId="0" borderId="72" xfId="0" applyFont="true" applyBorder="true" applyAlignment="true" applyProtection="false">
      <alignment horizontal="center" vertical="bottom" textRotation="0" wrapText="false" indent="0" shrinkToFit="false"/>
      <protection locked="true" hidden="false"/>
    </xf>
    <xf numFmtId="214" fontId="117" fillId="0" borderId="72" xfId="0" applyFont="true" applyBorder="true" applyAlignment="true" applyProtection="false">
      <alignment horizontal="center" vertical="bottom" textRotation="0" wrapText="false" indent="0" shrinkToFit="false"/>
      <protection locked="true" hidden="false"/>
    </xf>
    <xf numFmtId="214" fontId="95" fillId="12" borderId="72" xfId="0" applyFont="true" applyBorder="true" applyAlignment="true" applyProtection="false">
      <alignment horizontal="center" vertical="bottom" textRotation="0" wrapText="false" indent="0" shrinkToFit="false"/>
      <protection locked="true" hidden="false"/>
    </xf>
    <xf numFmtId="216" fontId="71" fillId="0" borderId="72" xfId="0" applyFont="true" applyBorder="true" applyAlignment="true" applyProtection="false">
      <alignment horizontal="center" vertical="bottom" textRotation="0" wrapText="false" indent="0" shrinkToFit="false"/>
      <protection locked="true" hidden="false"/>
    </xf>
    <xf numFmtId="217" fontId="117" fillId="0" borderId="72" xfId="0" applyFont="true" applyBorder="true" applyAlignment="true" applyProtection="false">
      <alignment horizontal="center" vertical="bottom" textRotation="0" wrapText="false" indent="0" shrinkToFit="false"/>
      <protection locked="true" hidden="false"/>
    </xf>
    <xf numFmtId="164" fontId="138" fillId="0" borderId="72" xfId="0" applyFont="true" applyBorder="true" applyAlignment="true" applyProtection="false">
      <alignment horizontal="center" vertical="bottom" textRotation="0" wrapText="false" indent="0" shrinkToFit="false"/>
      <protection locked="true" hidden="false"/>
    </xf>
    <xf numFmtId="164" fontId="90" fillId="0" borderId="72" xfId="0" applyFont="true" applyBorder="true" applyAlignment="true" applyProtection="false">
      <alignment horizontal="general" vertical="bottom" textRotation="0" wrapText="true" indent="0" shrinkToFit="false"/>
      <protection locked="true" hidden="false"/>
    </xf>
    <xf numFmtId="182" fontId="71" fillId="0" borderId="0" xfId="0" applyFont="true" applyBorder="false" applyAlignment="true" applyProtection="false">
      <alignment horizontal="left" vertical="bottom" textRotation="0" wrapText="false" indent="0" shrinkToFit="false"/>
      <protection locked="true" hidden="false"/>
    </xf>
    <xf numFmtId="190" fontId="7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77" fontId="95" fillId="12" borderId="2" xfId="0" applyFont="true" applyBorder="true" applyAlignment="tru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general" vertical="bottom" textRotation="0" wrapText="false" indent="0" shrinkToFit="false"/>
      <protection locked="true" hidden="false"/>
    </xf>
    <xf numFmtId="164" fontId="94" fillId="6" borderId="2" xfId="0" applyFont="true" applyBorder="true" applyAlignment="true" applyProtection="false">
      <alignment horizontal="center" vertical="bottom" textRotation="0" wrapText="false" indent="0" shrinkToFit="false"/>
      <protection locked="true" hidden="false"/>
    </xf>
    <xf numFmtId="220" fontId="0" fillId="0" borderId="0" xfId="0" applyFont="false" applyBorder="false" applyAlignment="true" applyProtection="false">
      <alignment horizontal="general" vertical="bottom" textRotation="0" wrapText="false" indent="0" shrinkToFit="false"/>
      <protection locked="true" hidden="false"/>
    </xf>
    <xf numFmtId="164" fontId="110" fillId="2" borderId="0" xfId="0" applyFont="true" applyBorder="false" applyAlignment="true" applyProtection="false">
      <alignment horizontal="center" vertical="bottom" textRotation="0" wrapText="false" indent="0" shrinkToFit="false"/>
      <protection locked="true" hidden="false"/>
    </xf>
    <xf numFmtId="164" fontId="122" fillId="12" borderId="2" xfId="0" applyFont="true" applyBorder="true" applyAlignment="true" applyProtection="false">
      <alignment horizontal="general" vertical="bottom" textRotation="0" wrapText="false" indent="0" shrinkToFit="false"/>
      <protection locked="true" hidden="false"/>
    </xf>
    <xf numFmtId="183" fontId="95" fillId="12" borderId="2" xfId="0" applyFont="true" applyBorder="true" applyAlignment="true" applyProtection="false">
      <alignment horizontal="general" vertical="bottom" textRotation="0" wrapText="false" indent="0" shrinkToFit="false"/>
      <protection locked="true" hidden="false"/>
    </xf>
    <xf numFmtId="164" fontId="129" fillId="6" borderId="2" xfId="0" applyFont="true" applyBorder="true" applyAlignment="true" applyProtection="false">
      <alignment horizontal="center"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4" fontId="9" fillId="2" borderId="80" xfId="0" applyFont="true" applyBorder="true" applyAlignment="true" applyProtection="false">
      <alignment horizontal="center" vertical="bottom" textRotation="0" wrapText="false" indent="0" shrinkToFit="false"/>
      <protection locked="true" hidden="false"/>
    </xf>
    <xf numFmtId="164" fontId="9" fillId="2" borderId="81" xfId="0" applyFont="true" applyBorder="true" applyAlignment="true" applyProtection="false">
      <alignment horizontal="center" vertical="bottom" textRotation="0" wrapText="false" indent="0" shrinkToFit="false"/>
      <protection locked="true" hidden="false"/>
    </xf>
    <xf numFmtId="164" fontId="9" fillId="2" borderId="82" xfId="0" applyFont="true" applyBorder="true" applyAlignment="true" applyProtection="false">
      <alignment horizontal="center" vertical="bottom" textRotation="0" wrapText="false" indent="0" shrinkToFit="false"/>
      <protection locked="true" hidden="false"/>
    </xf>
    <xf numFmtId="164" fontId="71" fillId="6" borderId="83" xfId="0" applyFont="true" applyBorder="true" applyAlignment="true" applyProtection="false">
      <alignment horizontal="center" vertical="bottom" textRotation="0" wrapText="false" indent="0" shrinkToFit="false"/>
      <protection locked="true" hidden="false"/>
    </xf>
    <xf numFmtId="166" fontId="71" fillId="6" borderId="24" xfId="0" applyFont="true" applyBorder="true" applyAlignment="true" applyProtection="false">
      <alignment horizontal="general" vertical="bottom" textRotation="0" wrapText="false" indent="0" shrinkToFit="false"/>
      <protection locked="true" hidden="false"/>
    </xf>
    <xf numFmtId="166" fontId="71" fillId="6" borderId="84" xfId="0" applyFont="true" applyBorder="true" applyAlignment="true" applyProtection="false">
      <alignment horizontal="general" vertical="bottom" textRotation="0" wrapText="false" indent="0" shrinkToFit="false"/>
      <protection locked="true" hidden="false"/>
    </xf>
    <xf numFmtId="164" fontId="71" fillId="18" borderId="83" xfId="0" applyFont="true" applyBorder="true" applyAlignment="true" applyProtection="false">
      <alignment horizontal="center" vertical="bottom" textRotation="0" wrapText="false" indent="0" shrinkToFit="false"/>
      <protection locked="true" hidden="false"/>
    </xf>
    <xf numFmtId="166" fontId="71" fillId="18" borderId="24" xfId="0" applyFont="true" applyBorder="true" applyAlignment="true" applyProtection="false">
      <alignment horizontal="general" vertical="bottom" textRotation="0" wrapText="false" indent="0" shrinkToFit="false"/>
      <protection locked="true" hidden="false"/>
    </xf>
    <xf numFmtId="166" fontId="71" fillId="18" borderId="84" xfId="0" applyFont="true" applyBorder="true" applyAlignment="true" applyProtection="false">
      <alignment horizontal="general" vertical="bottom" textRotation="0" wrapText="false" indent="0" shrinkToFit="false"/>
      <protection locked="true" hidden="false"/>
    </xf>
    <xf numFmtId="164" fontId="71" fillId="6" borderId="85" xfId="0" applyFont="true" applyBorder="true" applyAlignment="true" applyProtection="false">
      <alignment horizontal="center" vertical="bottom" textRotation="0" wrapText="false" indent="0" shrinkToFit="false"/>
      <protection locked="true" hidden="false"/>
    </xf>
    <xf numFmtId="166" fontId="71" fillId="6" borderId="86" xfId="0" applyFont="true" applyBorder="true" applyAlignment="true" applyProtection="false">
      <alignment horizontal="general" vertical="bottom" textRotation="0" wrapText="false" indent="0" shrinkToFit="false"/>
      <protection locked="true" hidden="false"/>
    </xf>
    <xf numFmtId="166" fontId="71" fillId="6" borderId="87" xfId="0" applyFont="true" applyBorder="true" applyAlignment="true" applyProtection="false">
      <alignment horizontal="general" vertical="bottom" textRotation="0" wrapText="false" indent="0" shrinkToFit="false"/>
      <protection locked="true" hidden="false"/>
    </xf>
    <xf numFmtId="164" fontId="141" fillId="0" borderId="0" xfId="0" applyFont="true" applyBorder="true" applyAlignment="true" applyProtection="false">
      <alignment horizontal="general" vertical="center" textRotation="0" wrapText="true" indent="0" shrinkToFit="false"/>
      <protection locked="true" hidden="false"/>
    </xf>
    <xf numFmtId="164" fontId="66" fillId="34" borderId="0" xfId="0" applyFont="true" applyBorder="false" applyAlignment="true" applyProtection="false">
      <alignment horizontal="general" vertical="bottom" textRotation="0" wrapText="false" indent="0" shrinkToFit="false"/>
      <protection locked="true" hidden="false"/>
    </xf>
    <xf numFmtId="164" fontId="66" fillId="34" borderId="0" xfId="0" applyFont="true" applyBorder="false" applyAlignment="true" applyProtection="false">
      <alignment horizontal="right" vertical="center" textRotation="0" wrapText="false" indent="0" shrinkToFit="false"/>
      <protection locked="true" hidden="false"/>
    </xf>
    <xf numFmtId="198" fontId="79" fillId="0" borderId="0" xfId="0" applyFont="true" applyBorder="false" applyAlignment="true" applyProtection="false">
      <alignment horizontal="general" vertical="bottom" textRotation="0" wrapText="false" indent="0" shrinkToFit="false"/>
      <protection locked="true" hidden="false"/>
    </xf>
    <xf numFmtId="164" fontId="141" fillId="0" borderId="0" xfId="0" applyFont="true" applyBorder="false" applyAlignment="true" applyProtection="false">
      <alignment horizontal="general" vertical="bottom" textRotation="0" wrapText="false" indent="0" shrinkToFit="false"/>
      <protection locked="true" hidden="false"/>
    </xf>
    <xf numFmtId="198" fontId="55" fillId="0" borderId="88" xfId="0" applyFont="true" applyBorder="true" applyAlignment="true" applyProtection="false">
      <alignment horizontal="general" vertical="bottom" textRotation="0" wrapText="false" indent="0" shrinkToFit="false"/>
      <protection locked="true" hidden="false"/>
    </xf>
    <xf numFmtId="198" fontId="56" fillId="12" borderId="88" xfId="0" applyFont="true" applyBorder="true" applyAlignment="true" applyProtection="false">
      <alignment horizontal="general" vertical="bottom" textRotation="0" wrapText="false" indent="0" shrinkToFit="false"/>
      <protection locked="true" hidden="false"/>
    </xf>
    <xf numFmtId="164" fontId="142" fillId="0" borderId="0" xfId="0" applyFont="true" applyBorder="false" applyAlignment="true" applyProtection="false">
      <alignment horizontal="right" vertical="center" textRotation="0" wrapText="false" indent="0" shrinkToFit="false"/>
      <protection locked="true" hidden="false"/>
    </xf>
    <xf numFmtId="198" fontId="34" fillId="0" borderId="0" xfId="0" applyFont="true" applyBorder="false" applyAlignment="true" applyProtection="false">
      <alignment horizontal="general" vertical="bottom" textRotation="0" wrapText="false" indent="0" shrinkToFit="false"/>
      <protection locked="true" hidden="false"/>
    </xf>
    <xf numFmtId="167" fontId="56" fillId="12" borderId="88" xfId="0" applyFont="true" applyBorder="true" applyAlignment="true" applyProtection="false">
      <alignment horizontal="general" vertical="bottom" textRotation="0" wrapText="false" indent="0" shrinkToFit="false"/>
      <protection locked="true" hidden="false"/>
    </xf>
    <xf numFmtId="177" fontId="56" fillId="12" borderId="88" xfId="0" applyFont="true" applyBorder="true" applyAlignment="true" applyProtection="false">
      <alignment horizontal="general" vertical="bottom" textRotation="0" wrapText="false" indent="0" shrinkToFit="false"/>
      <protection locked="true" hidden="false"/>
    </xf>
    <xf numFmtId="206" fontId="56" fillId="12" borderId="88" xfId="0" applyFont="true" applyBorder="true" applyAlignment="true" applyProtection="false">
      <alignment horizontal="general" vertical="bottom" textRotation="0" wrapText="false" indent="0" shrinkToFit="false"/>
      <protection locked="true" hidden="false"/>
    </xf>
    <xf numFmtId="204" fontId="56" fillId="12" borderId="88" xfId="0" applyFont="true" applyBorder="true" applyAlignment="true" applyProtection="false">
      <alignment horizontal="general" vertical="bottom" textRotation="0" wrapText="false" indent="0" shrinkToFit="false"/>
      <protection locked="true" hidden="false"/>
    </xf>
    <xf numFmtId="198" fontId="143" fillId="19" borderId="0" xfId="0" applyFont="true" applyBorder="false" applyAlignment="true" applyProtection="false">
      <alignment horizontal="general" vertical="bottom" textRotation="0" wrapText="false" indent="0" shrinkToFit="false"/>
      <protection locked="true" hidden="false"/>
    </xf>
    <xf numFmtId="198" fontId="55" fillId="0" borderId="0" xfId="0" applyFont="true" applyBorder="false" applyAlignment="true" applyProtection="false">
      <alignment horizontal="general" vertical="bottom" textRotation="0" wrapText="false" indent="0" shrinkToFit="false"/>
      <protection locked="true" hidden="false"/>
    </xf>
    <xf numFmtId="193" fontId="55" fillId="0" borderId="0" xfId="0" applyFont="true" applyBorder="false" applyAlignment="true" applyProtection="false">
      <alignment horizontal="general" vertical="bottom" textRotation="0" wrapText="false" indent="0" shrinkToFit="false"/>
      <protection locked="true" hidden="false"/>
    </xf>
    <xf numFmtId="167" fontId="55" fillId="0" borderId="0" xfId="0" applyFont="true" applyBorder="false" applyAlignment="true" applyProtection="false">
      <alignment horizontal="general" vertical="bottom" textRotation="0" wrapText="false" indent="0" shrinkToFit="false"/>
      <protection locked="true" hidden="false"/>
    </xf>
    <xf numFmtId="164" fontId="55" fillId="34" borderId="0" xfId="0" applyFont="true" applyBorder="false" applyAlignment="true" applyProtection="false">
      <alignment horizontal="general" vertical="bottom" textRotation="0" wrapText="false" indent="0" shrinkToFit="false"/>
      <protection locked="true" hidden="false"/>
    </xf>
    <xf numFmtId="164" fontId="70" fillId="34" borderId="0" xfId="0" applyFont="true" applyBorder="false" applyAlignment="true" applyProtection="false">
      <alignment horizontal="right" vertical="bottom" textRotation="0" wrapText="false" indent="0" shrinkToFit="false"/>
      <protection locked="true" hidden="false"/>
    </xf>
    <xf numFmtId="164" fontId="55" fillId="19" borderId="0" xfId="0" applyFont="true" applyBorder="false" applyAlignment="true" applyProtection="false">
      <alignment horizontal="general" vertical="bottom" textRotation="0" wrapText="false" indent="0" shrinkToFit="false"/>
      <protection locked="true" hidden="false"/>
    </xf>
    <xf numFmtId="198" fontId="70" fillId="19" borderId="0" xfId="0" applyFont="true" applyBorder="false" applyAlignment="true" applyProtection="false">
      <alignment horizontal="general" vertical="bottom" textRotation="0" wrapText="false" indent="0" shrinkToFit="false"/>
      <protection locked="true" hidden="false"/>
    </xf>
    <xf numFmtId="167" fontId="70" fillId="19" borderId="0" xfId="0" applyFont="true" applyBorder="false" applyAlignment="true" applyProtection="false">
      <alignment horizontal="general" vertical="bottom" textRotation="0" wrapText="false" indent="0" shrinkToFit="false"/>
      <protection locked="true" hidden="false"/>
    </xf>
    <xf numFmtId="164" fontId="70" fillId="34" borderId="0" xfId="0" applyFont="true" applyBorder="false" applyAlignment="true" applyProtection="false">
      <alignment horizontal="general" vertical="bottom" textRotation="0" wrapText="false" indent="0" shrinkToFit="false"/>
      <protection locked="true" hidden="false"/>
    </xf>
    <xf numFmtId="164" fontId="70" fillId="19" borderId="0" xfId="0" applyFont="true" applyBorder="false" applyAlignment="true" applyProtection="false">
      <alignment horizontal="general" vertical="bottom" textRotation="0" wrapText="false" indent="0" shrinkToFit="false"/>
      <protection locked="true" hidden="false"/>
    </xf>
    <xf numFmtId="167" fontId="55" fillId="19"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left" vertical="center" textRotation="0" wrapText="false" indent="0" shrinkToFit="false"/>
      <protection locked="true" hidden="false"/>
    </xf>
    <xf numFmtId="164" fontId="145" fillId="28" borderId="0" xfId="0" applyFont="true" applyBorder="false" applyAlignment="true" applyProtection="false">
      <alignment horizontal="general" vertical="bottom" textRotation="0" wrapText="false" indent="0" shrinkToFit="false"/>
      <protection locked="true" hidden="false"/>
    </xf>
    <xf numFmtId="166" fontId="146" fillId="28" borderId="0" xfId="0" applyFont="true" applyBorder="false" applyAlignment="true" applyProtection="false">
      <alignment horizontal="general" vertical="bottom" textRotation="0" wrapText="false" indent="0" shrinkToFit="false"/>
      <protection locked="true" hidden="false"/>
    </xf>
    <xf numFmtId="167" fontId="147" fillId="28" borderId="0" xfId="0" applyFont="true" applyBorder="false" applyAlignment="true" applyProtection="false">
      <alignment horizontal="general" vertical="bottom" textRotation="0" wrapText="false" indent="0" shrinkToFit="false"/>
      <protection locked="true" hidden="false"/>
    </xf>
    <xf numFmtId="221" fontId="146" fillId="28" borderId="0" xfId="0" applyFont="true" applyBorder="false" applyAlignment="true" applyProtection="false">
      <alignment horizontal="general" vertical="bottom" textRotation="0" wrapText="false" indent="0" shrinkToFit="false"/>
      <protection locked="true" hidden="false"/>
    </xf>
    <xf numFmtId="168" fontId="147" fillId="28" borderId="0" xfId="0" applyFont="true" applyBorder="false" applyAlignment="true" applyProtection="false">
      <alignment horizontal="general" vertical="bottom" textRotation="0" wrapText="false" indent="0" shrinkToFit="false"/>
      <protection locked="true" hidden="false"/>
    </xf>
    <xf numFmtId="167" fontId="146" fillId="28" borderId="0" xfId="0" applyFont="true" applyBorder="false" applyAlignment="true" applyProtection="false">
      <alignment horizontal="general" vertical="bottom" textRotation="0" wrapText="false" indent="0" shrinkToFit="false"/>
      <protection locked="true" hidden="false"/>
    </xf>
    <xf numFmtId="164" fontId="55" fillId="34" borderId="0" xfId="0" applyFont="true" applyBorder="false" applyAlignment="true" applyProtection="false">
      <alignment horizontal="right" vertical="center" textRotation="0" wrapText="false" indent="0" shrinkToFit="false"/>
      <protection locked="true" hidden="false"/>
    </xf>
    <xf numFmtId="198" fontId="55" fillId="19" borderId="0" xfId="0" applyFont="true" applyBorder="false" applyAlignment="true" applyProtection="false">
      <alignment horizontal="general" vertical="bottom" textRotation="0" wrapText="false" indent="0" shrinkToFit="false"/>
      <protection locked="true" hidden="false"/>
    </xf>
    <xf numFmtId="168" fontId="79" fillId="0" borderId="0" xfId="0" applyFont="true" applyBorder="false" applyAlignment="true" applyProtection="false">
      <alignment horizontal="general" vertical="bottom" textRotation="0" wrapText="false" indent="0" shrinkToFit="false"/>
      <protection locked="true" hidden="false"/>
    </xf>
    <xf numFmtId="164" fontId="0" fillId="34" borderId="0" xfId="0" applyFont="false" applyBorder="false" applyAlignment="true" applyProtection="false">
      <alignment horizontal="general" vertical="bottom" textRotation="0" wrapText="false" indent="0" shrinkToFit="false"/>
      <protection locked="true" hidden="false"/>
    </xf>
    <xf numFmtId="221" fontId="79" fillId="0" borderId="0" xfId="0" applyFont="true" applyBorder="false" applyAlignment="true" applyProtection="false">
      <alignment horizontal="general" vertical="bottom" textRotation="0" wrapText="false" indent="0" shrinkToFit="false"/>
      <protection locked="true" hidden="false"/>
    </xf>
    <xf numFmtId="222" fontId="79" fillId="0" borderId="0" xfId="0" applyFont="true" applyBorder="false" applyAlignment="true" applyProtection="false">
      <alignment horizontal="general" vertical="bottom" textRotation="0" wrapText="false" indent="0" shrinkToFit="false"/>
      <protection locked="true" hidden="false"/>
    </xf>
    <xf numFmtId="223" fontId="79" fillId="0" borderId="0" xfId="0" applyFont="true" applyBorder="false" applyAlignment="true" applyProtection="false">
      <alignment horizontal="general" vertical="bottom" textRotation="0" wrapText="false" indent="0" shrinkToFit="false"/>
      <protection locked="true" hidden="false"/>
    </xf>
    <xf numFmtId="164" fontId="148" fillId="34" borderId="0" xfId="0" applyFont="true" applyBorder="false" applyAlignment="true" applyProtection="false">
      <alignment horizontal="general" vertical="bottom" textRotation="0" wrapText="false" indent="0" shrinkToFit="false"/>
      <protection locked="true" hidden="false"/>
    </xf>
    <xf numFmtId="206" fontId="79" fillId="0" borderId="0" xfId="0" applyFont="true" applyBorder="false" applyAlignment="true" applyProtection="false">
      <alignment horizontal="general" vertical="bottom" textRotation="0" wrapText="false" indent="0" shrinkToFit="false"/>
      <protection locked="true" hidden="false"/>
    </xf>
    <xf numFmtId="198" fontId="75"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left" vertical="bottom" textRotation="0" wrapText="false" indent="0" shrinkToFit="false"/>
      <protection locked="true" hidden="false"/>
    </xf>
    <xf numFmtId="164" fontId="149" fillId="0" borderId="0" xfId="0" applyFont="true" applyBorder="false" applyAlignment="true" applyProtection="false">
      <alignment horizontal="general" vertical="bottom" textRotation="0" wrapText="false" indent="0" shrinkToFit="false"/>
      <protection locked="true" hidden="false"/>
    </xf>
    <xf numFmtId="167" fontId="70" fillId="0" borderId="0" xfId="0" applyFont="true" applyBorder="false" applyAlignment="true" applyProtection="false">
      <alignment horizontal="general" vertical="bottom" textRotation="0" wrapText="false" indent="0" shrinkToFit="false"/>
      <protection locked="true" hidden="false"/>
    </xf>
    <xf numFmtId="168" fontId="70" fillId="0" borderId="0" xfId="0" applyFont="true" applyBorder="false" applyAlignment="true" applyProtection="false">
      <alignment horizontal="general" vertical="bottom" textRotation="0" wrapText="false" indent="0" shrinkToFit="false"/>
      <protection locked="true" hidden="false"/>
    </xf>
    <xf numFmtId="224" fontId="0" fillId="0" borderId="0" xfId="0" applyFont="false" applyBorder="false" applyAlignment="true" applyProtection="false">
      <alignment horizontal="general" vertical="bottom" textRotation="0" wrapText="false" indent="0" shrinkToFit="false"/>
      <protection locked="true" hidden="false"/>
    </xf>
    <xf numFmtId="177" fontId="55" fillId="6" borderId="88" xfId="0" applyFont="true" applyBorder="true" applyAlignment="true" applyProtection="false">
      <alignment horizontal="general" vertical="bottom" textRotation="0" wrapText="false" indent="0" shrinkToFit="false"/>
      <protection locked="true" hidden="false"/>
    </xf>
    <xf numFmtId="168" fontId="55" fillId="6" borderId="88" xfId="0" applyFont="true" applyBorder="tru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206" fontId="55" fillId="6" borderId="88" xfId="0" applyFont="true" applyBorder="true" applyAlignment="true" applyProtection="false">
      <alignment horizontal="general" vertical="bottom" textRotation="0" wrapText="false" indent="0" shrinkToFit="false"/>
      <protection locked="true" hidden="false"/>
    </xf>
    <xf numFmtId="225" fontId="56" fillId="12" borderId="88" xfId="0" applyFont="true" applyBorder="true" applyAlignment="true" applyProtection="false">
      <alignment horizontal="general" vertical="bottom" textRotation="0" wrapText="false" indent="0" shrinkToFit="false"/>
      <protection locked="true" hidden="false"/>
    </xf>
    <xf numFmtId="164" fontId="150" fillId="0" borderId="0" xfId="0" applyFont="true" applyBorder="false" applyAlignment="true" applyProtection="false">
      <alignment horizontal="general" vertical="bottom" textRotation="0" wrapText="false" indent="0" shrinkToFit="false"/>
      <protection locked="true" hidden="false"/>
    </xf>
    <xf numFmtId="167" fontId="55" fillId="6" borderId="88" xfId="0" applyFont="true" applyBorder="true" applyAlignment="true" applyProtection="false">
      <alignment horizontal="general" vertical="bottom" textRotation="0" wrapText="false" indent="0" shrinkToFit="false"/>
      <protection locked="true" hidden="false"/>
    </xf>
    <xf numFmtId="206" fontId="34" fillId="0" borderId="0" xfId="0" applyFont="true" applyBorder="false" applyAlignment="true" applyProtection="false">
      <alignment horizontal="general" vertical="bottom" textRotation="0" wrapText="false" indent="0" shrinkToFit="false"/>
      <protection locked="true" hidden="false"/>
    </xf>
    <xf numFmtId="164" fontId="56" fillId="12" borderId="2" xfId="0" applyFont="true" applyBorder="true" applyAlignment="true" applyProtection="false">
      <alignment horizontal="center" vertical="bottom" textRotation="0" wrapText="false" indent="0" shrinkToFit="false"/>
      <protection locked="true" hidden="false"/>
    </xf>
    <xf numFmtId="164" fontId="110" fillId="2" borderId="0" xfId="0" applyFont="true" applyBorder="false" applyAlignment="true" applyProtection="false">
      <alignment horizontal="left" vertical="bottom" textRotation="0" wrapText="false" indent="0" shrinkToFit="false"/>
      <protection locked="true" hidden="false"/>
    </xf>
    <xf numFmtId="164" fontId="110" fillId="35" borderId="0" xfId="0" applyFont="true" applyBorder="false" applyAlignment="true" applyProtection="false">
      <alignment horizontal="center" vertical="bottom" textRotation="0" wrapText="false" indent="0" shrinkToFit="false"/>
      <protection locked="true" hidden="false"/>
    </xf>
    <xf numFmtId="164" fontId="110" fillId="36" borderId="0" xfId="0" applyFont="true" applyBorder="false" applyAlignment="true" applyProtection="false">
      <alignment horizontal="center" vertical="bottom" textRotation="0" wrapText="false" indent="0" shrinkToFit="false"/>
      <protection locked="true" hidden="false"/>
    </xf>
    <xf numFmtId="177" fontId="73" fillId="12" borderId="0" xfId="0" applyFont="true" applyBorder="false" applyAlignment="true" applyProtection="false">
      <alignment horizontal="center" vertical="bottom" textRotation="0" wrapText="false" indent="0" shrinkToFit="false"/>
      <protection locked="true" hidden="false"/>
    </xf>
    <xf numFmtId="206" fontId="73" fillId="12" borderId="0" xfId="0" applyFont="true" applyBorder="false" applyAlignment="true" applyProtection="false">
      <alignment horizontal="center" vertical="bottom" textRotation="0" wrapText="false" indent="0" shrinkToFit="false"/>
      <protection locked="true" hidden="false"/>
    </xf>
    <xf numFmtId="167" fontId="73" fillId="12" borderId="0" xfId="0" applyFont="true" applyBorder="false" applyAlignment="true" applyProtection="false">
      <alignment horizontal="center" vertical="bottom" textRotation="0" wrapText="false" indent="0" shrinkToFit="false"/>
      <protection locked="true" hidden="false"/>
    </xf>
    <xf numFmtId="168" fontId="73" fillId="12" borderId="0" xfId="0" applyFont="true" applyBorder="false" applyAlignment="true" applyProtection="false">
      <alignment horizontal="center" vertical="bottom" textRotation="0" wrapText="false" indent="0" shrinkToFit="false"/>
      <protection locked="true" hidden="false"/>
    </xf>
    <xf numFmtId="164" fontId="151" fillId="13" borderId="0" xfId="0" applyFont="true" applyBorder="false" applyAlignment="true" applyProtection="false">
      <alignment horizontal="left" vertical="bottom" textRotation="0" wrapText="false" indent="0" shrinkToFit="false"/>
      <protection locked="true" hidden="false"/>
    </xf>
    <xf numFmtId="164" fontId="151" fillId="13" borderId="0" xfId="0" applyFont="true" applyBorder="false" applyAlignment="true" applyProtection="false">
      <alignment horizontal="center" vertical="bottom" textRotation="0" wrapText="false" indent="0" shrinkToFit="false"/>
      <protection locked="true" hidden="false"/>
    </xf>
    <xf numFmtId="167" fontId="70" fillId="0" borderId="0" xfId="0" applyFont="true" applyBorder="false" applyAlignment="true" applyProtection="false">
      <alignment horizontal="center" vertical="bottom" textRotation="0" wrapText="false" indent="0" shrinkToFit="false"/>
      <protection locked="true" hidden="false"/>
    </xf>
    <xf numFmtId="167" fontId="70" fillId="37" borderId="0" xfId="0" applyFont="true" applyBorder="false" applyAlignment="true" applyProtection="false">
      <alignment horizontal="center" vertical="bottom" textRotation="0" wrapText="false" indent="0" shrinkToFit="false"/>
      <protection locked="true" hidden="false"/>
    </xf>
    <xf numFmtId="168" fontId="34" fillId="0" borderId="0" xfId="0" applyFont="tru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8" fontId="0" fillId="37"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37" borderId="0" xfId="0" applyFont="false" applyBorder="false" applyAlignment="true" applyProtection="false">
      <alignment horizontal="center" vertical="bottom" textRotation="0" wrapText="false" indent="0" shrinkToFit="false"/>
      <protection locked="true" hidden="false"/>
    </xf>
    <xf numFmtId="164" fontId="55" fillId="34" borderId="0" xfId="0" applyFont="true" applyBorder="false" applyAlignment="true" applyProtection="false">
      <alignment horizontal="center" vertical="center" textRotation="0" wrapText="false" indent="0" shrinkToFit="false"/>
      <protection locked="true" hidden="false"/>
    </xf>
    <xf numFmtId="168" fontId="55" fillId="0" borderId="0" xfId="0" applyFont="true" applyBorder="false" applyAlignment="true" applyProtection="false">
      <alignment horizontal="general" vertical="bottom" textRotation="0" wrapText="false" indent="0" shrinkToFit="false"/>
      <protection locked="true" hidden="false"/>
    </xf>
    <xf numFmtId="226" fontId="55" fillId="19" borderId="0" xfId="0" applyFont="true" applyBorder="false" applyAlignment="true" applyProtection="false">
      <alignment horizontal="general" vertical="bottom" textRotation="0" wrapText="false" indent="0" shrinkToFit="false"/>
      <protection locked="true" hidden="false"/>
    </xf>
    <xf numFmtId="164" fontId="55" fillId="19" borderId="0" xfId="0" applyFont="true" applyBorder="false" applyAlignment="true" applyProtection="false">
      <alignment horizontal="left" vertical="bottom" textRotation="0" wrapText="false" indent="0" shrinkToFit="false"/>
      <protection locked="true" hidden="false"/>
    </xf>
    <xf numFmtId="164" fontId="55" fillId="34" borderId="0" xfId="0" applyFont="true" applyBorder="false" applyAlignment="true" applyProtection="false">
      <alignment horizontal="general" vertical="center" textRotation="0" wrapText="true" indent="0" shrinkToFit="false"/>
      <protection locked="true" hidden="false"/>
    </xf>
    <xf numFmtId="177" fontId="55" fillId="34" borderId="0" xfId="0" applyFont="true" applyBorder="false" applyAlignment="true" applyProtection="false">
      <alignment horizontal="center" vertical="center" textRotation="0" wrapText="false" indent="0" shrinkToFit="false"/>
      <protection locked="true" hidden="false"/>
    </xf>
    <xf numFmtId="206" fontId="55" fillId="0" borderId="0" xfId="0" applyFont="true" applyBorder="false" applyAlignment="true" applyProtection="false">
      <alignment horizontal="general" vertical="bottom" textRotation="0" wrapText="false" indent="0" shrinkToFit="false"/>
      <protection locked="true" hidden="false"/>
    </xf>
    <xf numFmtId="167" fontId="34" fillId="0" borderId="0" xfId="0" applyFont="true" applyBorder="false" applyAlignment="true" applyProtection="false">
      <alignment horizontal="center" vertical="center" textRotation="0" wrapText="false" indent="0" shrinkToFit="false"/>
      <protection locked="true" hidden="false"/>
    </xf>
    <xf numFmtId="167" fontId="55" fillId="19" borderId="0" xfId="0" applyFont="true" applyBorder="false" applyAlignment="true" applyProtection="false">
      <alignment horizontal="center" vertical="center" textRotation="0" wrapText="false" indent="0" shrinkToFit="false"/>
      <protection locked="true" hidden="false"/>
    </xf>
    <xf numFmtId="164" fontId="152" fillId="38" borderId="0" xfId="0" applyFont="true" applyBorder="true" applyAlignment="true" applyProtection="false">
      <alignment horizontal="general" vertical="bottom" textRotation="0" wrapText="false" indent="0" shrinkToFit="false"/>
      <protection locked="true" hidden="false"/>
    </xf>
    <xf numFmtId="164" fontId="129" fillId="0" borderId="0" xfId="0" applyFont="true" applyBorder="false" applyAlignment="true" applyProtection="false">
      <alignment horizontal="general" vertical="bottom" textRotation="0" wrapText="false" indent="0" shrinkToFit="false"/>
      <protection locked="true" hidden="false"/>
    </xf>
    <xf numFmtId="198" fontId="129" fillId="0" borderId="0" xfId="0" applyFont="true" applyBorder="false" applyAlignment="true" applyProtection="false">
      <alignment horizontal="general" vertical="bottom" textRotation="0" wrapText="false" indent="0" shrinkToFit="false"/>
      <protection locked="true" hidden="false"/>
    </xf>
    <xf numFmtId="167" fontId="129" fillId="0" borderId="0" xfId="0" applyFont="true" applyBorder="false" applyAlignment="true" applyProtection="false">
      <alignment horizontal="general" vertical="bottom" textRotation="0" wrapText="false" indent="0" shrinkToFit="false"/>
      <protection locked="true" hidden="false"/>
    </xf>
    <xf numFmtId="164" fontId="128" fillId="0" borderId="0" xfId="0" applyFont="true" applyBorder="false" applyAlignment="true" applyProtection="false">
      <alignment horizontal="general" vertical="bottom" textRotation="0" wrapText="false" indent="0" shrinkToFit="false"/>
      <protection locked="true" hidden="false"/>
    </xf>
    <xf numFmtId="198" fontId="128" fillId="0" borderId="0" xfId="0" applyFont="true" applyBorder="false" applyAlignment="true" applyProtection="false">
      <alignment horizontal="general" vertical="bottom" textRotation="0" wrapText="false" indent="0" shrinkToFit="false"/>
      <protection locked="true" hidden="false"/>
    </xf>
    <xf numFmtId="167" fontId="128" fillId="0" borderId="0" xfId="0" applyFont="true" applyBorder="false" applyAlignment="true" applyProtection="false">
      <alignment horizontal="general" vertical="bottom" textRotation="0" wrapText="false" indent="0" shrinkToFit="false"/>
      <protection locked="true" hidden="false"/>
    </xf>
    <xf numFmtId="168" fontId="128" fillId="0" borderId="0" xfId="0" applyFont="true" applyBorder="false" applyAlignment="true" applyProtection="false">
      <alignment horizontal="general" vertical="bottom" textRotation="0" wrapText="false" indent="0" shrinkToFit="false"/>
      <protection locked="true" hidden="false"/>
    </xf>
    <xf numFmtId="206" fontId="128"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98" fontId="0" fillId="0" borderId="0" xfId="0" applyFont="false" applyBorder="false" applyAlignment="true" applyProtection="false">
      <alignment horizontal="general" vertical="bottom" textRotation="0" wrapText="false" indent="0" shrinkToFit="false"/>
      <protection locked="true" hidden="false"/>
    </xf>
    <xf numFmtId="164" fontId="70" fillId="34" borderId="0" xfId="0" applyFont="true" applyBorder="false" applyAlignment="true" applyProtection="false">
      <alignment horizontal="center" vertical="bottom" textRotation="0" wrapText="false" indent="0" shrinkToFit="false"/>
      <protection locked="true" hidden="false"/>
    </xf>
    <xf numFmtId="164" fontId="153" fillId="0" borderId="0" xfId="0" applyFont="true" applyBorder="false" applyAlignment="true" applyProtection="false">
      <alignment horizontal="general" vertical="bottom" textRotation="0" wrapText="false" indent="0" shrinkToFit="false"/>
      <protection locked="true" hidden="false"/>
    </xf>
    <xf numFmtId="198" fontId="154" fillId="0" borderId="0" xfId="0" applyFont="true" applyBorder="false" applyAlignment="true" applyProtection="false">
      <alignment horizontal="general" vertical="bottom" textRotation="0" wrapText="false" indent="0" shrinkToFit="false"/>
      <protection locked="true" hidden="false"/>
    </xf>
    <xf numFmtId="167" fontId="70" fillId="19" borderId="0" xfId="0" applyFont="true" applyBorder="false" applyAlignment="true" applyProtection="false">
      <alignment horizontal="center" vertical="bottom" textRotation="0" wrapText="false" indent="0" shrinkToFit="false"/>
      <protection locked="true" hidden="false"/>
    </xf>
    <xf numFmtId="168" fontId="70" fillId="19" borderId="0" xfId="0" applyFont="true" applyBorder="false" applyAlignment="true" applyProtection="false">
      <alignment horizontal="center" vertical="bottom" textRotation="0" wrapText="false" indent="0" shrinkToFit="false"/>
      <protection locked="true" hidden="false"/>
    </xf>
    <xf numFmtId="167" fontId="153" fillId="0" borderId="0" xfId="0" applyFont="true" applyBorder="false" applyAlignment="true" applyProtection="false">
      <alignment horizontal="general" vertical="bottom" textRotation="0" wrapText="false" indent="0" shrinkToFit="false"/>
      <protection locked="true" hidden="false"/>
    </xf>
    <xf numFmtId="200" fontId="79" fillId="0" borderId="0" xfId="0" applyFont="true" applyBorder="false" applyAlignment="true" applyProtection="false">
      <alignment horizontal="general" vertical="bottom" textRotation="0" wrapText="false" indent="0" shrinkToFit="false"/>
      <protection locked="true" hidden="false"/>
    </xf>
    <xf numFmtId="193" fontId="56" fillId="12" borderId="88" xfId="0" applyFont="true" applyBorder="true" applyAlignment="true" applyProtection="false">
      <alignment horizontal="general" vertical="bottom" textRotation="0" wrapText="false" indent="0" shrinkToFit="false"/>
      <protection locked="true" hidden="false"/>
    </xf>
    <xf numFmtId="164" fontId="34" fillId="34" borderId="0" xfId="0" applyFont="true" applyBorder="false" applyAlignment="true" applyProtection="false">
      <alignment horizontal="general" vertical="bottom" textRotation="0" wrapText="false" indent="0" shrinkToFit="false"/>
      <protection locked="true" hidden="false"/>
    </xf>
    <xf numFmtId="175" fontId="34" fillId="0" borderId="0" xfId="0" applyFont="true" applyBorder="false" applyAlignment="true" applyProtection="false">
      <alignment horizontal="general" vertical="bottom" textRotation="0" wrapText="false" indent="0" shrinkToFit="false"/>
      <protection locked="true" hidden="false"/>
    </xf>
    <xf numFmtId="193" fontId="34" fillId="0" borderId="0" xfId="0" applyFont="true" applyBorder="false" applyAlignment="true" applyProtection="false">
      <alignment horizontal="general" vertical="bottom" textRotation="0" wrapText="false" indent="0" shrinkToFit="false"/>
      <protection locked="true" hidden="false"/>
    </xf>
    <xf numFmtId="198" fontId="103" fillId="0" borderId="0" xfId="0" applyFont="true" applyBorder="false" applyAlignment="true" applyProtection="false">
      <alignment horizontal="general" vertical="bottom" textRotation="0" wrapText="false" indent="0" shrinkToFit="false"/>
      <protection locked="true" hidden="false"/>
    </xf>
    <xf numFmtId="198" fontId="66" fillId="0" borderId="88" xfId="0" applyFont="true" applyBorder="true" applyAlignment="true" applyProtection="false">
      <alignment horizontal="general" vertical="bottom" textRotation="0" wrapText="false" indent="0" shrinkToFit="false"/>
      <protection locked="true" hidden="false"/>
    </xf>
    <xf numFmtId="164" fontId="84" fillId="0" borderId="0" xfId="0" applyFont="true" applyBorder="true" applyAlignment="true" applyProtection="false">
      <alignment horizontal="general" vertical="bottom" textRotation="0" wrapText="true" indent="0" shrinkToFit="false"/>
      <protection locked="true" hidden="false"/>
    </xf>
    <xf numFmtId="227" fontId="55" fillId="0" borderId="0" xfId="0" applyFont="true" applyBorder="false" applyAlignment="true" applyProtection="false">
      <alignment horizontal="general" vertical="bottom" textRotation="0" wrapText="false" indent="0" shrinkToFit="false"/>
      <protection locked="true" hidden="false"/>
    </xf>
    <xf numFmtId="168" fontId="55" fillId="19" borderId="0" xfId="0" applyFont="true" applyBorder="false" applyAlignment="true" applyProtection="false">
      <alignment horizontal="general" vertical="bottom" textRotation="0" wrapText="false" indent="0" shrinkToFit="false"/>
      <protection locked="true" hidden="false"/>
    </xf>
    <xf numFmtId="206" fontId="55" fillId="34" borderId="0" xfId="0" applyFont="true" applyBorder="false" applyAlignment="true" applyProtection="false">
      <alignment horizontal="center" vertical="center" textRotation="0" wrapText="false" indent="0" shrinkToFit="false"/>
      <protection locked="true" hidden="false"/>
    </xf>
    <xf numFmtId="164" fontId="155" fillId="38" borderId="0" xfId="0" applyFont="true" applyBorder="true" applyAlignment="true" applyProtection="false">
      <alignment horizontal="general" vertical="bottom" textRotation="0" wrapText="false" indent="0" shrinkToFit="false"/>
      <protection locked="true" hidden="false"/>
    </xf>
    <xf numFmtId="164" fontId="134" fillId="0" borderId="0" xfId="0" applyFont="true" applyBorder="false" applyAlignment="true" applyProtection="false">
      <alignment horizontal="general" vertical="bottom" textRotation="0" wrapText="false" indent="0" shrinkToFit="false"/>
      <protection locked="true" hidden="false"/>
    </xf>
    <xf numFmtId="164" fontId="134" fillId="0" borderId="0" xfId="0" applyFont="true" applyBorder="false" applyAlignment="true" applyProtection="false">
      <alignment horizontal="center" vertical="center" textRotation="0" wrapText="false" indent="0" shrinkToFit="false"/>
      <protection locked="true" hidden="false"/>
    </xf>
    <xf numFmtId="193" fontId="129" fillId="0" borderId="0" xfId="0" applyFont="true" applyBorder="false" applyAlignment="true" applyProtection="false">
      <alignment horizontal="general" vertical="bottom" textRotation="0" wrapText="false" indent="0" shrinkToFit="false"/>
      <protection locked="true" hidden="false"/>
    </xf>
    <xf numFmtId="198" fontId="15" fillId="0" borderId="0" xfId="0" applyFont="true" applyBorder="false" applyAlignment="true" applyProtection="false">
      <alignment horizontal="general" vertical="bottom" textRotation="0" wrapText="false" indent="0" shrinkToFit="false"/>
      <protection locked="true" hidden="false"/>
    </xf>
    <xf numFmtId="164" fontId="55" fillId="34" borderId="0" xfId="0" applyFont="true" applyBorder="false" applyAlignment="true" applyProtection="false">
      <alignment horizontal="left" vertical="center" textRotation="0" wrapText="false" indent="0" shrinkToFit="false"/>
      <protection locked="true" hidden="false"/>
    </xf>
    <xf numFmtId="164" fontId="55" fillId="34" borderId="0" xfId="0" applyFont="true" applyBorder="false" applyAlignment="true" applyProtection="false">
      <alignment horizontal="center" vertical="center" textRotation="0" wrapText="true" indent="0" shrinkToFit="false"/>
      <protection locked="true" hidden="false"/>
    </xf>
    <xf numFmtId="226" fontId="34" fillId="0" borderId="0" xfId="0" applyFont="true" applyBorder="false" applyAlignment="true" applyProtection="false">
      <alignment horizontal="general" vertical="bottom" textRotation="0" wrapText="false" indent="0" shrinkToFit="false"/>
      <protection locked="true" hidden="false"/>
    </xf>
    <xf numFmtId="198" fontId="34" fillId="19" borderId="0" xfId="0" applyFont="true" applyBorder="false" applyAlignment="true" applyProtection="false">
      <alignment horizontal="general" vertical="bottom" textRotation="0" wrapText="false" indent="0" shrinkToFit="false"/>
      <protection locked="true" hidden="false"/>
    </xf>
    <xf numFmtId="167" fontId="34" fillId="19" borderId="0" xfId="0" applyFont="true" applyBorder="false" applyAlignment="true" applyProtection="false">
      <alignment horizontal="general" vertical="bottom" textRotation="0" wrapText="false" indent="0" shrinkToFit="false"/>
      <protection locked="true" hidden="false"/>
    </xf>
    <xf numFmtId="226" fontId="34" fillId="19" borderId="0" xfId="0" applyFont="true" applyBorder="false" applyAlignment="true" applyProtection="false">
      <alignment horizontal="general" vertical="bottom" textRotation="0" wrapText="false" indent="0" shrinkToFit="false"/>
      <protection locked="true" hidden="false"/>
    </xf>
    <xf numFmtId="226" fontId="55" fillId="0" borderId="0" xfId="0" applyFont="true" applyBorder="false" applyAlignment="true" applyProtection="false">
      <alignment horizontal="general" vertical="bottom" textRotation="0" wrapText="false" indent="0" shrinkToFit="false"/>
      <protection locked="true" hidden="false"/>
    </xf>
    <xf numFmtId="164" fontId="156" fillId="0" borderId="0" xfId="0" applyFont="true" applyBorder="true" applyAlignment="true" applyProtection="false">
      <alignment horizontal="general" vertical="center" textRotation="0" wrapText="true" indent="0" shrinkToFit="false"/>
      <protection locked="true" hidden="false"/>
    </xf>
    <xf numFmtId="226" fontId="21" fillId="0" borderId="0" xfId="0" applyFont="true" applyBorder="false" applyAlignment="true" applyProtection="false">
      <alignment horizontal="general" vertical="bottom" textRotation="0" wrapText="false" indent="0" shrinkToFit="false"/>
      <protection locked="true" hidden="false"/>
    </xf>
    <xf numFmtId="164" fontId="110" fillId="2" borderId="0" xfId="0" applyFont="true" applyBorder="true" applyAlignment="true" applyProtection="false">
      <alignment horizontal="right" vertical="center" textRotation="0" wrapText="false" indent="0" shrinkToFit="false"/>
      <protection locked="true" hidden="false"/>
    </xf>
    <xf numFmtId="164" fontId="108" fillId="0" borderId="0"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right" vertical="bottom" textRotation="0" wrapText="false" indent="0" shrinkToFit="false"/>
      <protection locked="true" hidden="false"/>
    </xf>
    <xf numFmtId="164" fontId="141" fillId="0" borderId="0" xfId="0" applyFont="true" applyBorder="true" applyAlignment="true" applyProtection="false">
      <alignment horizontal="general" vertical="bottom" textRotation="0" wrapText="false" indent="0" shrinkToFit="false"/>
      <protection locked="true" hidden="false"/>
    </xf>
    <xf numFmtId="164" fontId="110" fillId="39" borderId="0" xfId="0" applyFont="true" applyBorder="true" applyAlignment="true" applyProtection="false">
      <alignment horizontal="center" vertical="center" textRotation="0" wrapText="false" indent="0" shrinkToFit="false"/>
      <protection locked="true" hidden="false"/>
    </xf>
    <xf numFmtId="164" fontId="158" fillId="39" borderId="0" xfId="0" applyFont="true" applyBorder="true" applyAlignment="true" applyProtection="false">
      <alignment horizontal="center" vertical="center" textRotation="0" wrapText="false" indent="0" shrinkToFit="false"/>
      <protection locked="true" hidden="false"/>
    </xf>
    <xf numFmtId="164" fontId="55" fillId="0" borderId="0" xfId="0" applyFont="true" applyBorder="false" applyAlignment="true" applyProtection="false">
      <alignment horizontal="right" vertical="center" textRotation="0" wrapText="false" indent="0" shrinkToFit="false"/>
      <protection locked="true" hidden="false"/>
    </xf>
    <xf numFmtId="200" fontId="75" fillId="0" borderId="0" xfId="0" applyFont="true" applyBorder="false" applyAlignment="true" applyProtection="false">
      <alignment horizontal="right" vertical="bottom" textRotation="0" wrapText="false" indent="0" shrinkToFit="false"/>
      <protection locked="true" hidden="false"/>
    </xf>
    <xf numFmtId="183" fontId="79" fillId="0" borderId="0" xfId="0" applyFont="true" applyBorder="false" applyAlignment="true" applyProtection="false">
      <alignment horizontal="general" vertical="bottom" textRotation="0" wrapText="false" indent="0" shrinkToFit="false"/>
      <protection locked="true" hidden="false"/>
    </xf>
    <xf numFmtId="175" fontId="75" fillId="0" borderId="0" xfId="0" applyFont="true" applyBorder="false" applyAlignment="true" applyProtection="false">
      <alignment horizontal="general" vertical="bottom" textRotation="0" wrapText="false" indent="0" shrinkToFit="false"/>
      <protection locked="true" hidden="false"/>
    </xf>
    <xf numFmtId="200" fontId="75" fillId="0" borderId="0" xfId="0" applyFont="true" applyBorder="false" applyAlignment="true" applyProtection="false">
      <alignment horizontal="general" vertical="bottom" textRotation="0" wrapText="false" indent="0" shrinkToFit="false"/>
      <protection locked="true" hidden="false"/>
    </xf>
    <xf numFmtId="167" fontId="55" fillId="0" borderId="0" xfId="0" applyFont="true" applyBorder="false" applyAlignment="true" applyProtection="false">
      <alignment horizontal="right" vertical="center" textRotation="0" wrapText="false" indent="0" shrinkToFit="false"/>
      <protection locked="true" hidden="false"/>
    </xf>
    <xf numFmtId="168" fontId="55" fillId="0" borderId="0" xfId="0" applyFont="true" applyBorder="false" applyAlignment="true" applyProtection="false">
      <alignment horizontal="right" vertical="center" textRotation="0" wrapText="false" indent="0" shrinkToFit="false"/>
      <protection locked="true" hidden="false"/>
    </xf>
    <xf numFmtId="226" fontId="55" fillId="0" borderId="0" xfId="0" applyFont="true" applyBorder="false" applyAlignment="true" applyProtection="false">
      <alignment horizontal="right" vertical="center" textRotation="0" wrapText="false" indent="0" shrinkToFit="false"/>
      <protection locked="true" hidden="false"/>
    </xf>
    <xf numFmtId="198" fontId="75" fillId="0" borderId="0" xfId="0" applyFont="true" applyBorder="false" applyAlignment="true" applyProtection="false">
      <alignment horizontal="right" vertical="bottom" textRotation="0" wrapText="false" indent="0" shrinkToFit="false"/>
      <protection locked="true" hidden="false"/>
    </xf>
    <xf numFmtId="164" fontId="94" fillId="0" borderId="0" xfId="0" applyFont="true" applyBorder="true" applyAlignment="true" applyProtection="false">
      <alignment horizontal="general" vertical="center" textRotation="0" wrapText="true" indent="0" shrinkToFit="false"/>
      <protection locked="true" hidden="false"/>
    </xf>
    <xf numFmtId="164" fontId="55" fillId="19" borderId="0" xfId="0" applyFont="true" applyBorder="true" applyAlignment="true" applyProtection="false">
      <alignment horizontal="left" vertical="center" textRotation="0" wrapText="true" indent="0" shrinkToFit="false"/>
      <protection locked="true" hidden="false"/>
    </xf>
    <xf numFmtId="164" fontId="55" fillId="19" borderId="0" xfId="0" applyFont="true" applyBorder="true" applyAlignment="true" applyProtection="false">
      <alignment horizontal="general" vertical="center" textRotation="0" wrapText="true" indent="0" shrinkToFit="false"/>
      <protection locked="true" hidden="false"/>
    </xf>
    <xf numFmtId="164" fontId="84" fillId="0" borderId="0" xfId="0" applyFont="true" applyBorder="true" applyAlignment="true" applyProtection="false">
      <alignment horizontal="general" vertical="bottom" textRotation="0" wrapText="false" indent="0" shrinkToFit="false"/>
      <protection locked="true" hidden="false"/>
    </xf>
    <xf numFmtId="164" fontId="159" fillId="0" borderId="0" xfId="0" applyFont="true" applyBorder="false" applyAlignment="true" applyProtection="false">
      <alignment horizontal="right" vertical="bottom" textRotation="0" wrapText="false" indent="0" shrinkToFit="false"/>
      <protection locked="true" hidden="false"/>
    </xf>
    <xf numFmtId="198" fontId="141" fillId="0" borderId="0" xfId="0" applyFont="true" applyBorder="false" applyAlignment="true" applyProtection="false">
      <alignment horizontal="right" vertical="bottom" textRotation="0" wrapText="false" indent="0" shrinkToFit="false"/>
      <protection locked="true" hidden="false"/>
    </xf>
    <xf numFmtId="167" fontId="141" fillId="0" borderId="0" xfId="0" applyFont="true" applyBorder="false" applyAlignment="true" applyProtection="false">
      <alignment horizontal="right" vertical="bottom" textRotation="0" wrapText="false" indent="0" shrinkToFit="false"/>
      <protection locked="true" hidden="false"/>
    </xf>
    <xf numFmtId="164" fontId="78" fillId="11" borderId="0" xfId="0" applyFont="true" applyBorder="false" applyAlignment="true" applyProtection="false">
      <alignment horizontal="general" vertical="bottom" textRotation="0" wrapText="false" indent="0" shrinkToFit="false"/>
      <protection locked="true" hidden="false"/>
    </xf>
    <xf numFmtId="164" fontId="9" fillId="11" borderId="0" xfId="0" applyFont="true" applyBorder="false" applyAlignment="true" applyProtection="false">
      <alignment horizontal="general" vertical="bottom" textRotation="0" wrapText="false" indent="0" shrinkToFit="false"/>
      <protection locked="true" hidden="false"/>
    </xf>
    <xf numFmtId="171" fontId="79" fillId="0" borderId="0" xfId="0" applyFont="true" applyBorder="false" applyAlignment="true" applyProtection="false">
      <alignment horizontal="general" vertical="bottom" textRotation="0" wrapText="false" indent="0" shrinkToFit="false"/>
      <protection locked="true" hidden="false"/>
    </xf>
    <xf numFmtId="187" fontId="79" fillId="0" borderId="0" xfId="0" applyFont="true" applyBorder="false" applyAlignment="true" applyProtection="false">
      <alignment horizontal="general" vertical="bottom" textRotation="0" wrapText="false" indent="0" shrinkToFit="false"/>
      <protection locked="true" hidden="false"/>
    </xf>
    <xf numFmtId="177" fontId="73" fillId="0" borderId="0" xfId="0" applyFont="true" applyBorder="false" applyAlignment="true" applyProtection="false">
      <alignment horizontal="general" vertical="bottom" textRotation="0" wrapText="false" indent="0" shrinkToFit="false"/>
      <protection locked="true" hidden="false"/>
    </xf>
    <xf numFmtId="228" fontId="73" fillId="0" borderId="0" xfId="0" applyFont="true" applyBorder="false" applyAlignment="true" applyProtection="false">
      <alignment horizontal="general" vertical="bottom" textRotation="0" wrapText="false" indent="0" shrinkToFit="false"/>
      <protection locked="true" hidden="false"/>
    </xf>
    <xf numFmtId="200" fontId="73" fillId="0" borderId="0" xfId="0" applyFont="true" applyBorder="false" applyAlignment="true" applyProtection="false">
      <alignment horizontal="general" vertical="bottom" textRotation="0" wrapText="false" indent="0" shrinkToFit="false"/>
      <protection locked="true" hidden="false"/>
    </xf>
    <xf numFmtId="164" fontId="70" fillId="34" borderId="89" xfId="0" applyFont="true" applyBorder="true" applyAlignment="true" applyProtection="false">
      <alignment horizontal="general" vertical="bottom" textRotation="0" wrapText="false" indent="0" shrinkToFit="false"/>
      <protection locked="true" hidden="false"/>
    </xf>
    <xf numFmtId="229" fontId="70" fillId="34" borderId="89" xfId="0" applyFont="true" applyBorder="true" applyAlignment="true" applyProtection="false">
      <alignment horizontal="center" vertical="bottom" textRotation="0" wrapText="false" indent="0" shrinkToFit="false"/>
      <protection locked="true" hidden="false"/>
    </xf>
    <xf numFmtId="230" fontId="70" fillId="34" borderId="89" xfId="0" applyFont="true" applyBorder="true" applyAlignment="true" applyProtection="false">
      <alignment horizontal="center" vertical="bottom" textRotation="0" wrapText="false" indent="0" shrinkToFit="false"/>
      <protection locked="true" hidden="false"/>
    </xf>
    <xf numFmtId="164" fontId="9" fillId="11" borderId="89" xfId="0" applyFont="true" applyBorder="true" applyAlignment="true" applyProtection="false">
      <alignment horizontal="center" vertical="bottom" textRotation="0" wrapText="false" indent="0" shrinkToFit="false"/>
      <protection locked="true" hidden="false"/>
    </xf>
    <xf numFmtId="164" fontId="70" fillId="0" borderId="90" xfId="0" applyFont="true" applyBorder="true" applyAlignment="true" applyProtection="false">
      <alignment horizontal="general" vertical="bottom" textRotation="0" wrapText="false" indent="0" shrinkToFit="false"/>
      <protection locked="true" hidden="false"/>
    </xf>
    <xf numFmtId="198" fontId="70" fillId="0" borderId="90" xfId="0" applyFont="true" applyBorder="true" applyAlignment="true" applyProtection="false">
      <alignment horizontal="general" vertical="bottom" textRotation="0" wrapText="false" indent="0" shrinkToFit="false"/>
      <protection locked="true" hidden="false"/>
    </xf>
    <xf numFmtId="164" fontId="0" fillId="0" borderId="90" xfId="0" applyFont="false" applyBorder="true" applyAlignment="true" applyProtection="false">
      <alignment horizontal="general" vertical="bottom" textRotation="0" wrapText="false" indent="0" shrinkToFit="false"/>
      <protection locked="true" hidden="false"/>
    </xf>
    <xf numFmtId="198" fontId="0" fillId="0" borderId="90" xfId="0" applyFont="false" applyBorder="true" applyAlignment="true" applyProtection="false">
      <alignment horizontal="general" vertical="bottom" textRotation="0" wrapText="false" indent="0" shrinkToFit="false"/>
      <protection locked="true" hidden="false"/>
    </xf>
    <xf numFmtId="164" fontId="64" fillId="0" borderId="90" xfId="0" applyFont="true" applyBorder="true" applyAlignment="true" applyProtection="false">
      <alignment horizontal="general" vertical="bottom" textRotation="0" wrapText="false" indent="0" shrinkToFit="false"/>
      <protection locked="true" hidden="false"/>
    </xf>
    <xf numFmtId="198" fontId="153" fillId="0" borderId="90" xfId="0" applyFont="true" applyBorder="true" applyAlignment="true" applyProtection="false">
      <alignment horizontal="general" vertical="bottom" textRotation="0" wrapText="false" indent="0" shrinkToFit="false"/>
      <protection locked="true" hidden="false"/>
    </xf>
    <xf numFmtId="198" fontId="162" fillId="0" borderId="90" xfId="0" applyFont="true" applyBorder="true" applyAlignment="true" applyProtection="false">
      <alignment horizontal="general" vertical="bottom" textRotation="0" wrapText="false" indent="0" shrinkToFit="false"/>
      <protection locked="true" hidden="false"/>
    </xf>
    <xf numFmtId="164" fontId="70" fillId="38" borderId="90" xfId="0" applyFont="true" applyBorder="true" applyAlignment="true" applyProtection="false">
      <alignment horizontal="general" vertical="bottom" textRotation="0" wrapText="false" indent="0" shrinkToFit="false"/>
      <protection locked="true" hidden="false"/>
    </xf>
    <xf numFmtId="164" fontId="0" fillId="38" borderId="90" xfId="0" applyFont="false" applyBorder="true" applyAlignment="true" applyProtection="false">
      <alignment horizontal="general" vertical="bottom" textRotation="0" wrapText="false" indent="0" shrinkToFit="false"/>
      <protection locked="true" hidden="false"/>
    </xf>
    <xf numFmtId="198" fontId="70" fillId="38" borderId="90" xfId="0" applyFont="true" applyBorder="true" applyAlignment="true" applyProtection="false">
      <alignment horizontal="general" vertical="bottom" textRotation="0" wrapText="false" indent="0" shrinkToFit="false"/>
      <protection locked="true" hidden="false"/>
    </xf>
    <xf numFmtId="164" fontId="9" fillId="11" borderId="91" xfId="0" applyFont="true" applyBorder="true" applyAlignment="true" applyProtection="false">
      <alignment horizontal="general" vertical="bottom" textRotation="0" wrapText="false" indent="0" shrinkToFit="false"/>
      <protection locked="true" hidden="false"/>
    </xf>
    <xf numFmtId="166" fontId="9" fillId="11" borderId="91" xfId="0" applyFont="true" applyBorder="true" applyAlignment="true" applyProtection="false">
      <alignment horizontal="general" vertical="bottom" textRotation="0" wrapText="false" indent="0" shrinkToFit="false"/>
      <protection locked="true" hidden="false"/>
    </xf>
    <xf numFmtId="166" fontId="70" fillId="0" borderId="0" xfId="0" applyFont="true" applyBorder="false" applyAlignment="true" applyProtection="false">
      <alignment horizontal="general" vertical="bottom" textRotation="0" wrapText="false" indent="0" shrinkToFit="false"/>
      <protection locked="true" hidden="false"/>
    </xf>
    <xf numFmtId="166" fontId="70" fillId="19" borderId="0" xfId="0" applyFont="true" applyBorder="false" applyAlignment="true" applyProtection="false">
      <alignment horizontal="general" vertical="bottom" textRotation="0" wrapText="false" indent="0" shrinkToFit="false"/>
      <protection locked="true" hidden="false"/>
    </xf>
    <xf numFmtId="164" fontId="163" fillId="34" borderId="92" xfId="0" applyFont="true" applyBorder="true" applyAlignment="true" applyProtection="false">
      <alignment horizontal="center" vertical="bottom" textRotation="0" wrapText="false" indent="0" shrinkToFit="false"/>
      <protection locked="true" hidden="false"/>
    </xf>
    <xf numFmtId="228" fontId="70" fillId="34" borderId="93" xfId="0" applyFont="true" applyBorder="true" applyAlignment="true" applyProtection="false">
      <alignment horizontal="center" vertical="bottom" textRotation="0" wrapText="false" indent="0" shrinkToFit="false"/>
      <protection locked="true" hidden="false"/>
    </xf>
    <xf numFmtId="228" fontId="70" fillId="19" borderId="93" xfId="0" applyFont="true" applyBorder="true" applyAlignment="true" applyProtection="false">
      <alignment horizontal="center" vertical="bottom" textRotation="0" wrapText="false" indent="0" shrinkToFit="false"/>
      <protection locked="true" hidden="false"/>
    </xf>
    <xf numFmtId="228" fontId="70" fillId="34" borderId="94" xfId="0" applyFont="true" applyBorder="true" applyAlignment="true" applyProtection="false">
      <alignment horizontal="center" vertical="bottom" textRotation="0" wrapText="false" indent="0" shrinkToFit="false"/>
      <protection locked="true" hidden="false"/>
    </xf>
    <xf numFmtId="187" fontId="70" fillId="34" borderId="95" xfId="0" applyFont="true" applyBorder="true" applyAlignment="true" applyProtection="false">
      <alignment horizontal="center" vertical="bottom" textRotation="0" wrapText="false" indent="0" shrinkToFit="false"/>
      <protection locked="true" hidden="false"/>
    </xf>
    <xf numFmtId="231" fontId="0" fillId="0" borderId="96" xfId="0" applyFont="false" applyBorder="true" applyAlignment="true" applyProtection="false">
      <alignment horizontal="center" vertical="bottom" textRotation="0" wrapText="false" indent="0" shrinkToFit="false"/>
      <protection locked="true" hidden="false"/>
    </xf>
    <xf numFmtId="231" fontId="0" fillId="0" borderId="97" xfId="0" applyFont="false" applyBorder="true" applyAlignment="true" applyProtection="false">
      <alignment horizontal="center" vertical="bottom" textRotation="0" wrapText="false" indent="0" shrinkToFit="false"/>
      <protection locked="true" hidden="false"/>
    </xf>
    <xf numFmtId="187" fontId="70" fillId="19" borderId="95" xfId="0" applyFont="true" applyBorder="true" applyAlignment="true" applyProtection="false">
      <alignment horizontal="center" vertical="bottom" textRotation="0" wrapText="false" indent="0" shrinkToFit="false"/>
      <protection locked="true" hidden="false"/>
    </xf>
    <xf numFmtId="231" fontId="70" fillId="19" borderId="96" xfId="0" applyFont="true" applyBorder="true" applyAlignment="true" applyProtection="false">
      <alignment horizontal="center" vertical="bottom" textRotation="0" wrapText="false" indent="0" shrinkToFit="false"/>
      <protection locked="true" hidden="false"/>
    </xf>
    <xf numFmtId="187" fontId="70" fillId="34" borderId="98" xfId="0" applyFont="true" applyBorder="true" applyAlignment="true" applyProtection="false">
      <alignment horizontal="center" vertical="bottom" textRotation="0" wrapText="false" indent="0" shrinkToFit="false"/>
      <protection locked="true" hidden="false"/>
    </xf>
    <xf numFmtId="231" fontId="0" fillId="0" borderId="99" xfId="0" applyFont="false" applyBorder="true" applyAlignment="true" applyProtection="false">
      <alignment horizontal="center" vertical="bottom" textRotation="0" wrapText="false" indent="0" shrinkToFit="false"/>
      <protection locked="true" hidden="false"/>
    </xf>
    <xf numFmtId="231" fontId="0" fillId="0" borderId="100" xfId="0" applyFont="false" applyBorder="true" applyAlignment="true" applyProtection="false">
      <alignment horizontal="center" vertical="bottom" textRotation="0" wrapText="false" indent="0" shrinkToFit="false"/>
      <protection locked="true" hidden="false"/>
    </xf>
    <xf numFmtId="231" fontId="70" fillId="0" borderId="0" xfId="0" applyFont="true" applyBorder="false" applyAlignment="true" applyProtection="false">
      <alignment horizontal="general" vertical="bottom" textRotation="0" wrapText="false" indent="0" shrinkToFit="false"/>
      <protection locked="true" hidden="false"/>
    </xf>
    <xf numFmtId="213" fontId="103" fillId="0" borderId="0" xfId="0" applyFont="true" applyBorder="false" applyAlignment="true" applyProtection="false">
      <alignment horizontal="general" vertical="bottom" textRotation="0" wrapText="false" indent="0" shrinkToFit="false"/>
      <protection locked="true" hidden="false"/>
    </xf>
    <xf numFmtId="200" fontId="103" fillId="0" borderId="0" xfId="0" applyFont="true" applyBorder="false" applyAlignment="true" applyProtection="false">
      <alignment horizontal="general" vertical="bottom" textRotation="0" wrapText="false" indent="0" shrinkToFit="false"/>
      <protection locked="true" hidden="false"/>
    </xf>
    <xf numFmtId="200" fontId="11" fillId="0" borderId="0" xfId="0" applyFont="true" applyBorder="false" applyAlignment="true" applyProtection="false">
      <alignment horizontal="center" vertical="bottom" textRotation="0" wrapText="false" indent="0" shrinkToFit="false"/>
      <protection locked="true" hidden="false"/>
    </xf>
    <xf numFmtId="232" fontId="11" fillId="0" borderId="0" xfId="0" applyFont="true" applyBorder="false" applyAlignment="true" applyProtection="false">
      <alignment horizontal="center" vertical="bottom" textRotation="0" wrapText="false" indent="0" shrinkToFit="false"/>
      <protection locked="true" hidden="false"/>
    </xf>
    <xf numFmtId="166" fontId="12" fillId="0" borderId="0" xfId="0" applyFont="true" applyBorder="false" applyAlignment="true" applyProtection="false">
      <alignment horizontal="general" vertical="bottom" textRotation="0" wrapText="false" indent="0" shrinkToFit="false"/>
      <protection locked="true" hidden="false"/>
    </xf>
    <xf numFmtId="200" fontId="12" fillId="13" borderId="0" xfId="0" applyFont="true" applyBorder="false" applyAlignment="true" applyProtection="false">
      <alignment horizontal="center" vertical="bottom" textRotation="0" wrapText="false" indent="0" shrinkToFit="false"/>
      <protection locked="true" hidden="false"/>
    </xf>
    <xf numFmtId="166" fontId="12" fillId="13" borderId="0" xfId="0" applyFont="true" applyBorder="false" applyAlignment="true" applyProtection="false">
      <alignment horizontal="general" vertical="bottom" textRotation="0" wrapText="false" indent="0" shrinkToFit="false"/>
      <protection locked="true" hidden="false"/>
    </xf>
    <xf numFmtId="164" fontId="130" fillId="11" borderId="0" xfId="0" applyFont="true" applyBorder="false" applyAlignment="true" applyProtection="false">
      <alignment horizontal="general" vertical="center" textRotation="0" wrapText="false" indent="0" shrinkToFit="false"/>
      <protection locked="true" hidden="false"/>
    </xf>
    <xf numFmtId="164" fontId="0" fillId="11" borderId="0" xfId="0" applyFont="false" applyBorder="false" applyAlignment="true" applyProtection="false">
      <alignment horizontal="general" vertical="bottom" textRotation="0" wrapText="false" indent="0" shrinkToFit="false"/>
      <protection locked="true" hidden="false"/>
    </xf>
    <xf numFmtId="164" fontId="164" fillId="0" borderId="0" xfId="0" applyFont="true" applyBorder="true" applyAlignment="true" applyProtection="false">
      <alignment horizontal="left" vertical="bottom" textRotation="0" wrapText="false" indent="0" shrinkToFit="false"/>
      <protection locked="true" hidden="false"/>
    </xf>
    <xf numFmtId="179" fontId="73" fillId="0" borderId="0" xfId="0" applyFont="true" applyBorder="false" applyAlignment="true" applyProtection="false">
      <alignment horizontal="general" vertical="bottom" textRotation="0" wrapText="false" indent="0" shrinkToFit="false"/>
      <protection locked="true" hidden="false"/>
    </xf>
    <xf numFmtId="164" fontId="70" fillId="0" borderId="0" xfId="0" applyFont="true" applyBorder="true" applyAlignment="true" applyProtection="false">
      <alignment horizontal="right" vertical="bottom" textRotation="0" wrapText="false" indent="0" shrinkToFit="false"/>
      <protection locked="true" hidden="false"/>
    </xf>
    <xf numFmtId="183" fontId="34" fillId="0" borderId="0" xfId="0" applyFont="true" applyBorder="true" applyAlignment="true" applyProtection="false">
      <alignment horizontal="left" vertical="bottom" textRotation="0" wrapText="false" indent="0" shrinkToFit="false"/>
      <protection locked="true" hidden="false"/>
    </xf>
    <xf numFmtId="179" fontId="34" fillId="0" borderId="0" xfId="0" applyFont="true" applyBorder="false" applyAlignment="true" applyProtection="false">
      <alignment horizontal="center" vertical="bottom" textRotation="0" wrapText="false" indent="0" shrinkToFit="false"/>
      <protection locked="true" hidden="false"/>
    </xf>
    <xf numFmtId="183" fontId="34" fillId="0" borderId="0" xfId="0" applyFont="true" applyBorder="false" applyAlignment="true" applyProtection="false">
      <alignment horizontal="general" vertical="bottom" textRotation="0" wrapText="false" indent="0" shrinkToFit="false"/>
      <protection locked="true" hidden="false"/>
    </xf>
    <xf numFmtId="164" fontId="9" fillId="11" borderId="0" xfId="0" applyFont="true" applyBorder="false" applyAlignment="true" applyProtection="false">
      <alignment horizontal="center" vertical="bottom" textRotation="0" wrapText="false" indent="0" shrinkToFit="false"/>
      <protection locked="true" hidden="false"/>
    </xf>
    <xf numFmtId="233" fontId="9" fillId="11" borderId="101" xfId="0" applyFont="true" applyBorder="true" applyAlignment="true" applyProtection="false">
      <alignment horizontal="center" vertical="bottom" textRotation="0" wrapText="false" indent="0" shrinkToFit="false"/>
      <protection locked="true" hidden="false"/>
    </xf>
    <xf numFmtId="233" fontId="9" fillId="11" borderId="0" xfId="0" applyFont="true" applyBorder="false" applyAlignment="true" applyProtection="false">
      <alignment horizontal="center" vertical="bottom" textRotation="0" wrapText="false" indent="0" shrinkToFit="false"/>
      <protection locked="true" hidden="false"/>
    </xf>
    <xf numFmtId="164" fontId="0" fillId="40" borderId="0" xfId="0" applyFont="true" applyBorder="false" applyAlignment="true" applyProtection="false">
      <alignment horizontal="general" vertical="bottom" textRotation="0" wrapText="false" indent="0" shrinkToFit="false"/>
      <protection locked="true" hidden="false"/>
    </xf>
    <xf numFmtId="234" fontId="0" fillId="40" borderId="0" xfId="0" applyFont="false" applyBorder="false" applyAlignment="true" applyProtection="false">
      <alignment horizontal="general" vertical="bottom" textRotation="0" wrapText="false" indent="0" shrinkToFit="false"/>
      <protection locked="true" hidden="false"/>
    </xf>
    <xf numFmtId="235" fontId="0" fillId="40" borderId="101" xfId="0" applyFont="false" applyBorder="true" applyAlignment="true" applyProtection="false">
      <alignment horizontal="general" vertical="bottom" textRotation="0" wrapText="false" indent="0" shrinkToFit="false"/>
      <protection locked="true" hidden="false"/>
    </xf>
    <xf numFmtId="235" fontId="0" fillId="40" borderId="0" xfId="0" applyFont="false" applyBorder="false" applyAlignment="true" applyProtection="false">
      <alignment horizontal="general" vertical="bottom" textRotation="0" wrapText="false" indent="0" shrinkToFit="false"/>
      <protection locked="true" hidden="false"/>
    </xf>
    <xf numFmtId="234" fontId="0" fillId="0" borderId="0" xfId="0" applyFont="false" applyBorder="false" applyAlignment="true" applyProtection="false">
      <alignment horizontal="general" vertical="bottom" textRotation="0" wrapText="false" indent="0" shrinkToFit="false"/>
      <protection locked="true" hidden="false"/>
    </xf>
    <xf numFmtId="235" fontId="0" fillId="0" borderId="101" xfId="0" applyFont="false" applyBorder="true" applyAlignment="true" applyProtection="false">
      <alignment horizontal="general" vertical="bottom" textRotation="0" wrapText="false" indent="0" shrinkToFit="false"/>
      <protection locked="true" hidden="false"/>
    </xf>
    <xf numFmtId="235" fontId="0" fillId="0" borderId="0" xfId="0" applyFont="false" applyBorder="false" applyAlignment="true" applyProtection="false">
      <alignment horizontal="general" vertical="bottom" textRotation="0" wrapText="false" indent="0" shrinkToFit="false"/>
      <protection locked="true" hidden="false"/>
    </xf>
    <xf numFmtId="164" fontId="9" fillId="11" borderId="40" xfId="0" applyFont="true" applyBorder="true" applyAlignment="true" applyProtection="false">
      <alignment horizontal="general" vertical="bottom" textRotation="0" wrapText="false" indent="0" shrinkToFit="false"/>
      <protection locked="true" hidden="false"/>
    </xf>
    <xf numFmtId="234" fontId="9" fillId="11" borderId="40" xfId="0" applyFont="true" applyBorder="true" applyAlignment="true" applyProtection="false">
      <alignment horizontal="general" vertical="bottom" textRotation="0" wrapText="false" indent="0" shrinkToFit="false"/>
      <protection locked="true" hidden="false"/>
    </xf>
    <xf numFmtId="234" fontId="9" fillId="11" borderId="102" xfId="0" applyFont="true" applyBorder="true" applyAlignment="true" applyProtection="false">
      <alignment horizontal="general" vertical="bottom" textRotation="0" wrapText="false" indent="0" shrinkToFit="false"/>
      <protection locked="true" hidden="false"/>
    </xf>
    <xf numFmtId="164" fontId="9" fillId="35" borderId="0" xfId="0" applyFont="true" applyBorder="false" applyAlignment="true" applyProtection="false">
      <alignment horizontal="general" vertical="bottom" textRotation="0" wrapText="false" indent="0" shrinkToFit="false"/>
      <protection locked="true" hidden="false"/>
    </xf>
    <xf numFmtId="236" fontId="9" fillId="35" borderId="101" xfId="0" applyFont="true" applyBorder="true" applyAlignment="true" applyProtection="false">
      <alignment horizontal="general" vertical="bottom" textRotation="0" wrapText="false" indent="0" shrinkToFit="false"/>
      <protection locked="true" hidden="false"/>
    </xf>
    <xf numFmtId="236" fontId="9" fillId="35" borderId="0" xfId="0" applyFont="true" applyBorder="false" applyAlignment="true" applyProtection="false">
      <alignment horizontal="general" vertical="bottom" textRotation="0" wrapText="false" indent="0" shrinkToFit="false"/>
      <protection locked="true" hidden="false"/>
    </xf>
    <xf numFmtId="164" fontId="9" fillId="41" borderId="0" xfId="0" applyFont="true" applyBorder="false" applyAlignment="true" applyProtection="false">
      <alignment horizontal="general" vertical="bottom" textRotation="0" wrapText="false" indent="0" shrinkToFit="false"/>
      <protection locked="true" hidden="false"/>
    </xf>
    <xf numFmtId="167" fontId="9" fillId="41" borderId="101" xfId="0" applyFont="true" applyBorder="true" applyAlignment="true" applyProtection="false">
      <alignment horizontal="general" vertical="bottom" textRotation="0" wrapText="false" indent="0" shrinkToFit="false"/>
      <protection locked="true" hidden="false"/>
    </xf>
    <xf numFmtId="167" fontId="9" fillId="41" borderId="0" xfId="0" applyFont="true" applyBorder="false" applyAlignment="true" applyProtection="false">
      <alignment horizontal="general" vertical="bottom" textRotation="0" wrapText="false" indent="0" shrinkToFit="false"/>
      <protection locked="true" hidden="false"/>
    </xf>
    <xf numFmtId="179" fontId="55" fillId="0" borderId="0" xfId="0" applyFont="true" applyBorder="false" applyAlignment="true" applyProtection="false">
      <alignment horizontal="center" vertical="bottom" textRotation="0" wrapText="false" indent="0" shrinkToFit="false"/>
      <protection locked="true" hidden="false"/>
    </xf>
    <xf numFmtId="186" fontId="66" fillId="0" borderId="0" xfId="0" applyFont="true" applyBorder="false" applyAlignment="true" applyProtection="false">
      <alignment horizontal="general" vertical="bottom" textRotation="0" wrapText="false" indent="0" shrinkToFit="false"/>
      <protection locked="true" hidden="false"/>
    </xf>
    <xf numFmtId="186" fontId="103" fillId="0" borderId="0" xfId="0" applyFont="true" applyBorder="false" applyAlignment="true" applyProtection="false">
      <alignment horizontal="general" vertical="bottom" textRotation="0" wrapText="false" indent="0" shrinkToFit="false"/>
      <protection locked="true" hidden="false"/>
    </xf>
    <xf numFmtId="186" fontId="34" fillId="0" borderId="0" xfId="0" applyFont="true" applyBorder="false" applyAlignment="true" applyProtection="false">
      <alignment horizontal="general" vertical="bottom" textRotation="0" wrapText="false" indent="0" shrinkToFit="false"/>
      <protection locked="true" hidden="false"/>
    </xf>
    <xf numFmtId="164" fontId="66" fillId="0" borderId="46" xfId="0" applyFont="true" applyBorder="true" applyAlignment="true" applyProtection="false">
      <alignment horizontal="general" vertical="bottom" textRotation="0" wrapText="false" indent="0" shrinkToFit="false"/>
      <protection locked="true" hidden="false"/>
    </xf>
    <xf numFmtId="186" fontId="55" fillId="0" borderId="46" xfId="0" applyFont="true" applyBorder="true" applyAlignment="true" applyProtection="false">
      <alignment horizontal="general" vertical="bottom" textRotation="0" wrapText="false" indent="0" shrinkToFit="false"/>
      <protection locked="true" hidden="false"/>
    </xf>
    <xf numFmtId="186" fontId="55" fillId="0" borderId="0" xfId="0" applyFont="true" applyBorder="false" applyAlignment="true" applyProtection="false">
      <alignment horizontal="general" vertical="bottom" textRotation="0" wrapText="false" indent="0" shrinkToFit="false"/>
      <protection locked="true" hidden="false"/>
    </xf>
    <xf numFmtId="164" fontId="34" fillId="0" borderId="46" xfId="0" applyFont="true" applyBorder="true" applyAlignment="true" applyProtection="false">
      <alignment horizontal="general" vertical="bottom" textRotation="0" wrapText="false" indent="0" shrinkToFit="false"/>
      <protection locked="true" hidden="false"/>
    </xf>
    <xf numFmtId="164" fontId="57" fillId="12" borderId="103" xfId="0" applyFont="true" applyBorder="true" applyAlignment="true" applyProtection="false">
      <alignment horizontal="left" vertical="center" textRotation="0" wrapText="false" indent="0" shrinkToFit="false"/>
      <protection locked="true" hidden="false"/>
    </xf>
    <xf numFmtId="164" fontId="110" fillId="2" borderId="0" xfId="0" applyFont="true" applyBorder="false" applyAlignment="true" applyProtection="false">
      <alignment horizontal="center" vertical="center" textRotation="0" wrapText="true" indent="0" shrinkToFit="false"/>
      <protection locked="true" hidden="false"/>
    </xf>
    <xf numFmtId="164" fontId="110" fillId="2" borderId="45" xfId="0" applyFont="true" applyBorder="true" applyAlignment="true" applyProtection="false">
      <alignment horizontal="center" vertical="center" textRotation="0" wrapText="true" indent="0" shrinkToFit="false"/>
      <protection locked="true" hidden="false"/>
    </xf>
    <xf numFmtId="179" fontId="11" fillId="0" borderId="0" xfId="0" applyFont="true" applyBorder="false" applyAlignment="true" applyProtection="false">
      <alignment horizontal="general" vertical="bottom" textRotation="0" wrapText="false" indent="0" shrinkToFit="false"/>
      <protection locked="true" hidden="false"/>
    </xf>
    <xf numFmtId="237" fontId="11" fillId="0" borderId="0" xfId="0" applyFont="true" applyBorder="false" applyAlignment="true" applyProtection="false">
      <alignment horizontal="general" vertical="bottom" textRotation="0" wrapText="false" indent="0" shrinkToFit="false"/>
      <protection locked="true" hidden="false"/>
    </xf>
    <xf numFmtId="237" fontId="56" fillId="12" borderId="48" xfId="0" applyFont="true" applyBorder="true" applyAlignment="true" applyProtection="false">
      <alignment horizontal="general" vertical="bottom" textRotation="0" wrapText="false" indent="0" shrinkToFit="false"/>
      <protection locked="true" hidden="false"/>
    </xf>
    <xf numFmtId="237" fontId="167" fillId="0" borderId="0" xfId="0" applyFont="true" applyBorder="false" applyAlignment="true" applyProtection="false">
      <alignment horizontal="general" vertical="bottom" textRotation="0" wrapText="false" indent="0" shrinkToFit="false"/>
      <protection locked="true" hidden="false"/>
    </xf>
    <xf numFmtId="167" fontId="56" fillId="12" borderId="48" xfId="0" applyFont="true" applyBorder="tru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237" fontId="167" fillId="0" borderId="68" xfId="0" applyFont="true" applyBorder="true" applyAlignment="true" applyProtection="false">
      <alignment horizontal="general" vertical="bottom" textRotation="0" wrapText="false" indent="0" shrinkToFit="false"/>
      <protection locked="true" hidden="false"/>
    </xf>
    <xf numFmtId="237" fontId="56" fillId="12" borderId="2" xfId="0" applyFont="true" applyBorder="true" applyAlignment="true" applyProtection="false">
      <alignment horizontal="general" vertical="bottom" textRotation="0" wrapText="false" indent="0" shrinkToFit="false"/>
      <protection locked="true" hidden="false"/>
    </xf>
    <xf numFmtId="167" fontId="56" fillId="12" borderId="2" xfId="0" applyFont="true" applyBorder="true" applyAlignment="true" applyProtection="false">
      <alignment horizontal="general" vertical="bottom" textRotation="0" wrapText="false" indent="0" shrinkToFit="false"/>
      <protection locked="true" hidden="false"/>
    </xf>
    <xf numFmtId="164" fontId="121" fillId="0" borderId="0" xfId="0" applyFont="true" applyBorder="false" applyAlignment="true" applyProtection="false">
      <alignment horizontal="general" vertical="bottom" textRotation="0" wrapText="false" indent="0" shrinkToFit="false"/>
      <protection locked="true" hidden="false"/>
    </xf>
    <xf numFmtId="164" fontId="168" fillId="0" borderId="0" xfId="0" applyFont="true" applyBorder="false" applyAlignment="true" applyProtection="false">
      <alignment horizontal="general" vertical="bottom" textRotation="0" wrapText="false" indent="0" shrinkToFit="false"/>
      <protection locked="true" hidden="false"/>
    </xf>
    <xf numFmtId="164" fontId="76" fillId="15" borderId="31" xfId="0" applyFont="true" applyBorder="true" applyAlignment="true" applyProtection="false">
      <alignment horizontal="general" vertical="bottom" textRotation="0" wrapText="false" indent="0" shrinkToFit="false"/>
      <protection locked="true" hidden="false"/>
    </xf>
    <xf numFmtId="164" fontId="169" fillId="0" borderId="0" xfId="0" applyFont="true" applyBorder="false" applyAlignment="true" applyProtection="false">
      <alignment horizontal="general" vertical="bottom" textRotation="0" wrapText="false" indent="0" shrinkToFit="false"/>
      <protection locked="true" hidden="false"/>
    </xf>
    <xf numFmtId="164" fontId="70" fillId="15" borderId="31" xfId="0" applyFont="true" applyBorder="true" applyAlignment="true" applyProtection="false">
      <alignment horizontal="general" vertical="bottom" textRotation="0" wrapText="false" indent="0" shrinkToFit="false"/>
      <protection locked="true" hidden="false"/>
    </xf>
    <xf numFmtId="194" fontId="28" fillId="0" borderId="0" xfId="0" applyFont="true" applyBorder="false" applyAlignment="true" applyProtection="false">
      <alignment horizontal="left"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57"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true" applyAlignment="true" applyProtection="false">
      <alignment horizontal="left" vertical="top" textRotation="0" wrapText="tru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64" fontId="170" fillId="0" borderId="43" xfId="0" applyFont="true" applyBorder="true" applyAlignment="true" applyProtection="false">
      <alignment horizontal="general" vertical="bottom" textRotation="0" wrapText="false" indent="0" shrinkToFit="false"/>
      <protection locked="true" hidden="false"/>
    </xf>
    <xf numFmtId="164" fontId="171" fillId="0" borderId="0" xfId="0" applyFont="true" applyBorder="false" applyAlignment="true" applyProtection="false">
      <alignment horizontal="general" vertical="bottom" textRotation="0" wrapText="false" indent="0" shrinkToFit="false"/>
      <protection locked="true" hidden="false"/>
    </xf>
    <xf numFmtId="164" fontId="171" fillId="0" borderId="0" xfId="0" applyFont="true" applyBorder="false" applyAlignment="true" applyProtection="false">
      <alignment horizontal="right" vertical="bottom" textRotation="0" wrapText="false" indent="0" shrinkToFit="false"/>
      <protection locked="true" hidden="false"/>
    </xf>
    <xf numFmtId="164" fontId="171" fillId="0" borderId="104" xfId="0" applyFont="true" applyBorder="true" applyAlignment="true" applyProtection="false">
      <alignment horizontal="general" vertical="bottom" textRotation="0" wrapText="false" indent="0" shrinkToFit="false"/>
      <protection locked="true" hidden="false"/>
    </xf>
    <xf numFmtId="164" fontId="0" fillId="0" borderId="104" xfId="0" applyFont="false" applyBorder="true" applyAlignment="true" applyProtection="false">
      <alignment horizontal="general" vertical="bottom" textRotation="0" wrapText="false" indent="0" shrinkToFit="false"/>
      <protection locked="true" hidden="false"/>
    </xf>
    <xf numFmtId="164" fontId="171" fillId="0" borderId="104" xfId="0" applyFont="true" applyBorder="true" applyAlignment="true" applyProtection="false">
      <alignment horizontal="right" vertical="bottom" textRotation="0" wrapText="false" indent="0" shrinkToFit="false"/>
      <protection locked="true" hidden="false"/>
    </xf>
    <xf numFmtId="164" fontId="171" fillId="0" borderId="105" xfId="0" applyFont="true" applyBorder="true" applyAlignment="true" applyProtection="false">
      <alignment horizontal="general" vertical="bottom" textRotation="0" wrapText="false" indent="0" shrinkToFit="false"/>
      <protection locked="true" hidden="false"/>
    </xf>
    <xf numFmtId="164" fontId="0" fillId="0" borderId="105" xfId="0" applyFont="false" applyBorder="true" applyAlignment="true" applyProtection="false">
      <alignment horizontal="general" vertical="bottom" textRotation="0" wrapText="false" indent="0" shrinkToFit="false"/>
      <protection locked="true" hidden="false"/>
    </xf>
    <xf numFmtId="164" fontId="171" fillId="0" borderId="105" xfId="0" applyFont="true" applyBorder="true" applyAlignment="true" applyProtection="false">
      <alignment horizontal="right" vertical="bottom" textRotation="0" wrapText="false" indent="0" shrinkToFit="false"/>
      <protection locked="true" hidden="false"/>
    </xf>
    <xf numFmtId="164" fontId="172" fillId="0" borderId="0" xfId="0" applyFont="true" applyBorder="true" applyAlignment="true" applyProtection="false">
      <alignment horizontal="center" vertical="center" textRotation="0" wrapText="false" indent="0" shrinkToFit="false"/>
      <protection locked="true" hidden="false"/>
    </xf>
    <xf numFmtId="164" fontId="168" fillId="0" borderId="0" xfId="0" applyFont="true" applyBorder="true" applyAlignment="true" applyProtection="false">
      <alignment horizontal="general" vertical="bottom" textRotation="0" wrapText="false" indent="0" shrinkToFit="false"/>
      <protection locked="true" hidden="false"/>
    </xf>
    <xf numFmtId="164" fontId="169" fillId="0" borderId="0" xfId="0" applyFont="true" applyBorder="true" applyAlignment="true" applyProtection="false">
      <alignment horizontal="general" vertical="bottom" textRotation="0" wrapText="false" indent="0" shrinkToFit="false"/>
      <protection locked="true" hidden="false"/>
    </xf>
    <xf numFmtId="164" fontId="170" fillId="0" borderId="16" xfId="0" applyFont="true" applyBorder="true" applyAlignment="true" applyProtection="false">
      <alignment horizontal="general" vertical="bottom" textRotation="0" wrapText="false" indent="0" shrinkToFit="false"/>
      <protection locked="true" hidden="false"/>
    </xf>
    <xf numFmtId="164" fontId="173" fillId="0" borderId="0" xfId="0" applyFont="true" applyBorder="false" applyAlignment="true" applyProtection="false">
      <alignment horizontal="right" vertical="bottom" textRotation="0" wrapText="false" indent="0" shrinkToFit="false"/>
      <protection locked="true" hidden="false"/>
    </xf>
    <xf numFmtId="194" fontId="171" fillId="0" borderId="0" xfId="0" applyFont="true" applyBorder="false" applyAlignment="true" applyProtection="false">
      <alignment horizontal="left" vertical="bottom" textRotation="0" wrapText="false" indent="0" shrinkToFit="false"/>
      <protection locked="true" hidden="false"/>
    </xf>
    <xf numFmtId="192" fontId="171" fillId="0" borderId="0" xfId="0" applyFont="true" applyBorder="false" applyAlignment="true" applyProtection="false">
      <alignment horizontal="general" vertical="bottom" textRotation="0" wrapText="false" indent="0" shrinkToFit="false"/>
      <protection locked="true" hidden="false"/>
    </xf>
    <xf numFmtId="164" fontId="0" fillId="0" borderId="106" xfId="0" applyFont="false" applyBorder="true" applyAlignment="true" applyProtection="false">
      <alignment horizontal="general" vertical="bottom" textRotation="0" wrapText="false" indent="0" shrinkToFit="false"/>
      <protection locked="true" hidden="false"/>
    </xf>
    <xf numFmtId="164" fontId="108" fillId="0" borderId="43" xfId="0" applyFont="true" applyBorder="true" applyAlignment="true" applyProtection="false">
      <alignment horizontal="general" vertical="bottom" textRotation="0" wrapText="false" indent="0" shrinkToFit="false"/>
      <protection locked="true" hidden="false"/>
    </xf>
    <xf numFmtId="164" fontId="174" fillId="0" borderId="0" xfId="0" applyFont="true" applyBorder="true" applyAlignment="true" applyProtection="false">
      <alignment horizontal="left" vertical="top" textRotation="0" wrapText="true" indent="0" shrinkToFit="false"/>
      <protection locked="true" hidden="false"/>
    </xf>
    <xf numFmtId="166" fontId="175" fillId="0" borderId="0" xfId="0" applyFont="true" applyBorder="false" applyAlignment="true" applyProtection="false">
      <alignment horizontal="right" vertical="bottom" textRotation="0" wrapText="false" indent="0" shrinkToFit="false"/>
      <protection locked="true" hidden="false"/>
    </xf>
    <xf numFmtId="164" fontId="176" fillId="0" borderId="0" xfId="0" applyFont="true" applyBorder="false" applyAlignment="true" applyProtection="false">
      <alignment horizontal="general" vertical="bottom" textRotation="0" wrapText="false" indent="0" shrinkToFit="false"/>
      <protection locked="true" hidden="false"/>
    </xf>
    <xf numFmtId="164" fontId="58" fillId="0" borderId="91" xfId="0" applyFont="true" applyBorder="true" applyAlignment="true" applyProtection="false">
      <alignment horizontal="general" vertical="bottom" textRotation="0" wrapText="false" indent="0" shrinkToFit="false"/>
      <protection locked="true" hidden="false"/>
    </xf>
    <xf numFmtId="166" fontId="175" fillId="0" borderId="91" xfId="0" applyFont="true" applyBorder="true" applyAlignment="true" applyProtection="false">
      <alignment horizontal="right" vertical="bottom" textRotation="0" wrapText="false" indent="0" shrinkToFit="false"/>
      <protection locked="true" hidden="false"/>
    </xf>
    <xf numFmtId="164" fontId="176" fillId="0" borderId="91" xfId="0" applyFont="true" applyBorder="true" applyAlignment="true" applyProtection="false">
      <alignment horizontal="general" vertical="bottom" textRotation="0" wrapText="false" indent="0" shrinkToFit="false"/>
      <protection locked="true" hidden="false"/>
    </xf>
    <xf numFmtId="164" fontId="0" fillId="0" borderId="91" xfId="0" applyFont="false" applyBorder="true" applyAlignment="true" applyProtection="false">
      <alignment horizontal="general" vertical="bottom" textRotation="0" wrapText="false" indent="0" shrinkToFit="false"/>
      <protection locked="true" hidden="false"/>
    </xf>
    <xf numFmtId="193" fontId="175" fillId="0" borderId="91" xfId="0" applyFont="true" applyBorder="true" applyAlignment="true" applyProtection="false">
      <alignment horizontal="right" vertical="bottom" textRotation="0" wrapText="false" indent="0" shrinkToFit="false"/>
      <protection locked="true" hidden="false"/>
    </xf>
    <xf numFmtId="213" fontId="58" fillId="0" borderId="91" xfId="0" applyFont="true" applyBorder="true" applyAlignment="true" applyProtection="false">
      <alignment horizontal="right" vertical="bottom" textRotation="0" wrapText="false" indent="0" shrinkToFit="false"/>
      <protection locked="true" hidden="false"/>
    </xf>
    <xf numFmtId="167" fontId="58" fillId="0" borderId="0" xfId="0" applyFont="true" applyBorder="false" applyAlignment="true" applyProtection="false">
      <alignment horizontal="right" vertical="bottom" textRotation="0" wrapText="false" indent="0" shrinkToFit="false"/>
      <protection locked="true" hidden="false"/>
    </xf>
    <xf numFmtId="164" fontId="58" fillId="0" borderId="91" xfId="0" applyFont="true" applyBorder="true" applyAlignment="true" applyProtection="false">
      <alignment horizontal="right" vertical="bottom" textRotation="0" wrapText="false" indent="0" shrinkToFit="false"/>
      <protection locked="true" hidden="false"/>
    </xf>
    <xf numFmtId="164" fontId="58" fillId="0" borderId="90" xfId="0" applyFont="true" applyBorder="true" applyAlignment="true" applyProtection="false">
      <alignment horizontal="general" vertical="bottom" textRotation="0" wrapText="false" indent="0" shrinkToFit="false"/>
      <protection locked="true" hidden="false"/>
    </xf>
    <xf numFmtId="164" fontId="58" fillId="0" borderId="90" xfId="0" applyFont="true" applyBorder="true" applyAlignment="true" applyProtection="false">
      <alignment horizontal="right" vertical="bottom" textRotation="0" wrapText="false" indent="0" shrinkToFit="false"/>
      <protection locked="true" hidden="false"/>
    </xf>
    <xf numFmtId="164" fontId="176" fillId="0" borderId="90" xfId="0" applyFont="true" applyBorder="true" applyAlignment="true" applyProtection="false">
      <alignment horizontal="general" vertical="bottom" textRotation="0" wrapText="false" indent="0" shrinkToFit="false"/>
      <protection locked="true" hidden="false"/>
    </xf>
    <xf numFmtId="164" fontId="58" fillId="0" borderId="0" xfId="0" applyFont="true" applyBorder="false" applyAlignment="true" applyProtection="false">
      <alignment horizontal="center" vertical="bottom" textRotation="0" wrapText="false" indent="0" shrinkToFit="false"/>
      <protection locked="true" hidden="false"/>
    </xf>
    <xf numFmtId="164" fontId="177" fillId="0" borderId="0" xfId="0" applyFont="true" applyBorder="false" applyAlignment="true" applyProtection="false">
      <alignment horizontal="general" vertical="bottom" textRotation="0" wrapText="false" indent="0" shrinkToFit="false"/>
      <protection locked="true" hidden="false"/>
    </xf>
    <xf numFmtId="169" fontId="171" fillId="0" borderId="0" xfId="0" applyFont="true" applyBorder="false" applyAlignment="true" applyProtection="false">
      <alignment horizontal="right" vertical="bottom" textRotation="0" wrapText="false" indent="0" shrinkToFit="false"/>
      <protection locked="true" hidden="false"/>
    </xf>
    <xf numFmtId="164" fontId="169" fillId="0" borderId="0" xfId="0" applyFont="true" applyBorder="false" applyAlignment="true" applyProtection="false">
      <alignment horizontal="general" vertical="bottom" textRotation="0" wrapText="true" indent="0" shrinkToFit="false"/>
      <protection locked="true" hidden="false"/>
    </xf>
    <xf numFmtId="164" fontId="178" fillId="0" borderId="0" xfId="0" applyFont="true" applyBorder="false" applyAlignment="true" applyProtection="false">
      <alignment horizontal="general" vertical="bottom" textRotation="0" wrapText="true" indent="0" shrinkToFit="false"/>
      <protection locked="true" hidden="false"/>
    </xf>
    <xf numFmtId="164" fontId="90" fillId="0" borderId="0" xfId="0" applyFont="true" applyBorder="false" applyAlignment="true" applyProtection="false">
      <alignment horizontal="general" vertical="bottom" textRotation="0" wrapText="true" indent="0" shrinkToFit="false"/>
      <protection locked="true" hidden="false"/>
    </xf>
    <xf numFmtId="164" fontId="177" fillId="10" borderId="0" xfId="0" applyFont="true" applyBorder="false" applyAlignment="true" applyProtection="false">
      <alignment horizontal="general" vertical="bottom" textRotation="0" wrapText="false" indent="0" shrinkToFit="false"/>
      <protection locked="true" hidden="false"/>
    </xf>
    <xf numFmtId="169" fontId="177" fillId="10" borderId="0" xfId="0" applyFont="true" applyBorder="false" applyAlignment="true" applyProtection="false">
      <alignment horizontal="right" vertical="bottom" textRotation="0" wrapText="false" indent="0" shrinkToFit="false"/>
      <protection locked="true" hidden="false"/>
    </xf>
    <xf numFmtId="185" fontId="171" fillId="10" borderId="0" xfId="0" applyFont="true" applyBorder="false" applyAlignment="true" applyProtection="false">
      <alignment horizontal="center" vertical="bottom" textRotation="0" wrapText="false" indent="0" shrinkToFit="false"/>
      <protection locked="true" hidden="false"/>
    </xf>
    <xf numFmtId="167" fontId="171" fillId="10" borderId="0" xfId="0" applyFont="true" applyBorder="false" applyAlignment="true" applyProtection="false">
      <alignment horizontal="center" vertical="bottom" textRotation="0" wrapText="false" indent="0" shrinkToFit="false"/>
      <protection locked="true" hidden="false"/>
    </xf>
    <xf numFmtId="169" fontId="179" fillId="10" borderId="0" xfId="0" applyFont="true" applyBorder="true" applyAlignment="true" applyProtection="false">
      <alignment horizontal="right" vertical="bottom" textRotation="0" wrapText="false" indent="0" shrinkToFit="false"/>
      <protection locked="true" hidden="false"/>
    </xf>
    <xf numFmtId="198" fontId="130" fillId="2" borderId="0" xfId="0" applyFont="true" applyBorder="false" applyAlignment="true" applyProtection="false">
      <alignment horizontal="right" vertical="bottom" textRotation="0" wrapText="false" indent="0" shrinkToFit="false"/>
      <protection locked="true" hidden="false"/>
    </xf>
    <xf numFmtId="164" fontId="109" fillId="0" borderId="0" xfId="0" applyFont="true" applyBorder="true" applyAlignment="true" applyProtection="false">
      <alignment horizontal="left" vertical="center" textRotation="0" wrapText="true" indent="0" shrinkToFit="false"/>
      <protection locked="true" hidden="false"/>
    </xf>
    <xf numFmtId="164" fontId="180" fillId="0" borderId="0" xfId="0" applyFont="true" applyBorder="true" applyAlignment="true" applyProtection="false">
      <alignment horizontal="left" vertical="center" textRotation="0" wrapText="true" indent="0" shrinkToFit="false"/>
      <protection locked="true" hidden="false"/>
    </xf>
    <xf numFmtId="164" fontId="181" fillId="0" borderId="0" xfId="0" applyFont="true" applyBorder="true" applyAlignment="true" applyProtection="false">
      <alignment horizontal="left" vertical="center" textRotation="0" wrapText="true" indent="0" shrinkToFit="false"/>
      <protection locked="true" hidden="false"/>
    </xf>
    <xf numFmtId="164" fontId="119" fillId="0" borderId="0" xfId="0" applyFont="true" applyBorder="true" applyAlignment="true" applyProtection="false">
      <alignment horizontal="general" vertical="bottom" textRotation="0" wrapText="true" indent="0" shrinkToFit="false"/>
      <protection locked="true" hidden="false"/>
    </xf>
    <xf numFmtId="164" fontId="182" fillId="0" borderId="107" xfId="0" applyFont="true" applyBorder="true" applyAlignment="true" applyProtection="false">
      <alignment horizontal="general" vertical="bottom" textRotation="0" wrapText="false" indent="0" shrinkToFit="false"/>
      <protection locked="true" hidden="false"/>
    </xf>
    <xf numFmtId="164" fontId="25" fillId="2" borderId="0" xfId="0" applyFont="true" applyBorder="false" applyAlignment="true" applyProtection="false">
      <alignment horizontal="right" vertical="bottom" textRotation="0" wrapText="false" indent="0" shrinkToFit="false"/>
      <protection locked="true" hidden="false"/>
    </xf>
    <xf numFmtId="192" fontId="71" fillId="0" borderId="0" xfId="0" applyFont="true" applyBorder="false" applyAlignment="true" applyProtection="false">
      <alignment horizontal="center" vertical="bottom" textRotation="0" wrapText="false" indent="0" shrinkToFit="false"/>
      <protection locked="true" hidden="false"/>
    </xf>
    <xf numFmtId="164" fontId="57" fillId="0" borderId="11" xfId="0" applyFont="true" applyBorder="true" applyAlignment="true" applyProtection="false">
      <alignment horizontal="general" vertical="bottom" textRotation="0" wrapText="false" indent="0" shrinkToFit="false"/>
      <protection locked="true" hidden="false"/>
    </xf>
    <xf numFmtId="169" fontId="57" fillId="0" borderId="11" xfId="0" applyFont="true" applyBorder="true" applyAlignment="true" applyProtection="false">
      <alignment horizontal="general" vertical="bottom" textRotation="0" wrapText="false" indent="0" shrinkToFit="false"/>
      <protection locked="true" hidden="false"/>
    </xf>
    <xf numFmtId="167" fontId="57" fillId="0" borderId="11" xfId="0" applyFont="true" applyBorder="tru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left" vertical="bottom" textRotation="0" wrapText="false" indent="0" shrinkToFit="false"/>
      <protection locked="true" hidden="false"/>
    </xf>
    <xf numFmtId="168" fontId="0" fillId="0" borderId="0" xfId="0" applyFont="false" applyBorder="false" applyAlignment="true" applyProtection="false">
      <alignment horizontal="left" vertical="bottom" textRotation="0" wrapText="false" indent="0" shrinkToFit="false"/>
      <protection locked="true" hidden="false"/>
    </xf>
    <xf numFmtId="194" fontId="0" fillId="0" borderId="0" xfId="0" applyFont="false" applyBorder="false" applyAlignment="true" applyProtection="false">
      <alignment horizontal="left" vertical="bottom" textRotation="0" wrapText="false" indent="0" shrinkToFit="false"/>
      <protection locked="true" hidden="false"/>
    </xf>
    <xf numFmtId="222" fontId="0" fillId="0" borderId="0" xfId="0" applyFont="false" applyBorder="false" applyAlignment="true" applyProtection="false">
      <alignment horizontal="left" vertical="bottom" textRotation="0" wrapText="false" indent="0" shrinkToFit="false"/>
      <protection locked="true" hidden="false"/>
    </xf>
    <xf numFmtId="213" fontId="0" fillId="0" borderId="0" xfId="0" applyFont="false" applyBorder="false" applyAlignment="true" applyProtection="false">
      <alignment horizontal="left" vertical="bottom" textRotation="0" wrapText="false" indent="0" shrinkToFit="false"/>
      <protection locked="true" hidden="false"/>
    </xf>
    <xf numFmtId="175" fontId="0" fillId="0" borderId="0" xfId="0" applyFont="false" applyBorder="false" applyAlignment="true" applyProtection="false">
      <alignment horizontal="left" vertical="bottom" textRotation="0" wrapText="false" indent="0" shrinkToFit="false"/>
      <protection locked="true" hidden="false"/>
    </xf>
    <xf numFmtId="164" fontId="183" fillId="0" borderId="0" xfId="0" applyFont="true" applyBorder="false" applyAlignment="true" applyProtection="false">
      <alignment horizontal="general" vertical="bottom" textRotation="0" wrapText="false" indent="0" shrinkToFit="false"/>
      <protection locked="true" hidden="false"/>
    </xf>
    <xf numFmtId="164" fontId="184" fillId="16" borderId="108" xfId="0" applyFont="true" applyBorder="true" applyAlignment="true" applyProtection="false">
      <alignment horizontal="center" vertical="center" textRotation="0" wrapText="false" indent="0" shrinkToFit="false"/>
      <protection locked="true" hidden="false"/>
    </xf>
    <xf numFmtId="164" fontId="185" fillId="12" borderId="2"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87" fontId="55" fillId="8" borderId="2" xfId="0" applyFont="true" applyBorder="true" applyAlignment="true" applyProtection="false">
      <alignment horizontal="general" vertical="bottom" textRotation="0" wrapText="false" indent="0" shrinkToFit="false"/>
      <protection locked="true" hidden="false"/>
    </xf>
    <xf numFmtId="232" fontId="55" fillId="8" borderId="2" xfId="0" applyFont="true" applyBorder="true" applyAlignment="true" applyProtection="false">
      <alignment horizontal="general" vertical="bottom" textRotation="0" wrapText="false" indent="0" shrinkToFit="false"/>
      <protection locked="true" hidden="false"/>
    </xf>
    <xf numFmtId="177" fontId="55" fillId="8" borderId="2" xfId="0" applyFont="true" applyBorder="true" applyAlignment="true" applyProtection="false">
      <alignment horizontal="general"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75" fontId="11" fillId="0"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238" fontId="12" fillId="13" borderId="0" xfId="0" applyFont="true" applyBorder="false" applyAlignment="true" applyProtection="false">
      <alignment horizontal="general" vertical="bottom" textRotation="0" wrapText="false" indent="0" shrinkToFit="false"/>
      <protection locked="true" hidden="false"/>
    </xf>
    <xf numFmtId="232" fontId="103" fillId="0" borderId="0" xfId="0" applyFont="true" applyBorder="false" applyAlignment="true" applyProtection="false">
      <alignment horizontal="general" vertical="bottom" textRotation="0" wrapText="false" indent="0" shrinkToFit="false"/>
      <protection locked="true" hidden="false"/>
    </xf>
    <xf numFmtId="238" fontId="103" fillId="0" borderId="0" xfId="0" applyFont="true" applyBorder="false" applyAlignment="true" applyProtection="false">
      <alignment horizontal="general" vertical="bottom" textRotation="0" wrapText="false" indent="0" shrinkToFit="false"/>
      <protection locked="true" hidden="false"/>
    </xf>
    <xf numFmtId="164" fontId="110" fillId="2" borderId="0" xfId="0" applyFont="true" applyBorder="false" applyAlignment="true" applyProtection="false">
      <alignment horizontal="left" vertical="bottom" textRotation="0" wrapText="true" indent="0" shrinkToFit="false"/>
      <protection locked="true" hidden="false"/>
    </xf>
    <xf numFmtId="164" fontId="186" fillId="0" borderId="0" xfId="0" applyFont="true" applyBorder="false" applyAlignment="true" applyProtection="false">
      <alignment horizontal="center" vertical="bottom" textRotation="0" wrapText="false" indent="0" shrinkToFit="false"/>
      <protection locked="true" hidden="false"/>
    </xf>
    <xf numFmtId="175" fontId="11" fillId="0" borderId="0" xfId="0" applyFont="true" applyBorder="false" applyAlignment="true" applyProtection="false">
      <alignment horizontal="center" vertical="bottom" textRotation="0" wrapText="false" indent="0" shrinkToFit="false"/>
      <protection locked="true" hidden="false"/>
    </xf>
    <xf numFmtId="167" fontId="124" fillId="12" borderId="0" xfId="0" applyFont="true" applyBorder="false" applyAlignment="true" applyProtection="false">
      <alignment horizontal="center" vertical="bottom" textRotation="0" wrapText="false" indent="0" shrinkToFit="false"/>
      <protection locked="true" hidden="false"/>
    </xf>
    <xf numFmtId="164" fontId="9" fillId="3" borderId="0" xfId="0" applyFont="true" applyBorder="false" applyAlignment="true" applyProtection="false">
      <alignment horizontal="left" vertical="bottom" textRotation="0" wrapText="false" indent="0" shrinkToFit="false"/>
      <protection locked="true" hidden="false"/>
    </xf>
    <xf numFmtId="238" fontId="0" fillId="0" borderId="0" xfId="0" applyFont="false" applyBorder="false" applyAlignment="true" applyProtection="false">
      <alignment horizontal="general" vertical="bottom" textRotation="0" wrapText="false" indent="0" shrinkToFit="false"/>
      <protection locked="true" hidden="false"/>
    </xf>
    <xf numFmtId="175" fontId="128" fillId="0" borderId="0" xfId="0" applyFont="true" applyBorder="false" applyAlignment="true" applyProtection="false">
      <alignment horizontal="general" vertical="bottom" textRotation="0" wrapText="false" indent="0" shrinkToFit="false"/>
      <protection locked="true" hidden="false"/>
    </xf>
    <xf numFmtId="238" fontId="70" fillId="16" borderId="0" xfId="0" applyFont="true" applyBorder="false" applyAlignment="true" applyProtection="false">
      <alignment horizontal="general" vertical="bottom" textRotation="0" wrapText="false" indent="0" shrinkToFit="false"/>
      <protection locked="true" hidden="false"/>
    </xf>
    <xf numFmtId="167" fontId="150" fillId="16" borderId="0" xfId="0" applyFont="true" applyBorder="false" applyAlignment="true" applyProtection="false">
      <alignment horizontal="general" vertical="bottom" textRotation="0" wrapText="false" indent="0" shrinkToFit="false"/>
      <protection locked="true" hidden="false"/>
    </xf>
    <xf numFmtId="167" fontId="56" fillId="12" borderId="0" xfId="0" applyFont="true" applyBorder="false" applyAlignment="true" applyProtection="false">
      <alignment horizontal="center" vertical="bottom" textRotation="0" wrapText="false" indent="0" shrinkToFit="false"/>
      <protection locked="true" hidden="false"/>
    </xf>
    <xf numFmtId="193" fontId="70" fillId="0" borderId="0" xfId="0" applyFont="true" applyBorder="false" applyAlignment="true" applyProtection="false">
      <alignment horizontal="general" vertical="bottom" textRotation="0" wrapText="false" indent="0" shrinkToFit="false"/>
      <protection locked="true" hidden="false"/>
    </xf>
    <xf numFmtId="164" fontId="184" fillId="16" borderId="0" xfId="0" applyFont="true" applyBorder="false" applyAlignment="true" applyProtection="false">
      <alignment horizontal="center" vertical="bottom" textRotation="0" wrapText="false" indent="0" shrinkToFit="false"/>
      <protection locked="true" hidden="false"/>
    </xf>
    <xf numFmtId="164" fontId="0" fillId="16" borderId="0" xfId="0" applyFont="false" applyBorder="false" applyAlignment="true" applyProtection="false">
      <alignment horizontal="general" vertical="bottom" textRotation="0" wrapText="false" indent="0" shrinkToFit="false"/>
      <protection locked="true" hidden="false"/>
    </xf>
    <xf numFmtId="187" fontId="55" fillId="8" borderId="0" xfId="0" applyFont="true" applyBorder="false" applyAlignment="true" applyProtection="false">
      <alignment horizontal="center" vertical="bottom" textRotation="0" wrapText="false" indent="0" shrinkToFit="false"/>
      <protection locked="true" hidden="false"/>
    </xf>
    <xf numFmtId="239" fontId="0" fillId="0" borderId="0" xfId="0" applyFont="false" applyBorder="false" applyAlignment="true" applyProtection="false">
      <alignment horizontal="general" vertical="bottom" textRotation="0" wrapText="false" indent="0" shrinkToFit="false"/>
      <protection locked="true" hidden="false"/>
    </xf>
    <xf numFmtId="240" fontId="0" fillId="0" borderId="0" xfId="0" applyFont="false" applyBorder="false" applyAlignment="true" applyProtection="false">
      <alignment horizontal="general" vertical="bottom" textRotation="0" wrapText="false" indent="0" shrinkToFit="false"/>
      <protection locked="true" hidden="false"/>
    </xf>
    <xf numFmtId="239" fontId="70" fillId="30" borderId="0" xfId="0" applyFont="true" applyBorder="false" applyAlignment="true" applyProtection="false">
      <alignment horizontal="general" vertical="bottom" textRotation="0" wrapText="false" indent="0" shrinkToFit="false"/>
      <protection locked="true" hidden="false"/>
    </xf>
    <xf numFmtId="164" fontId="187" fillId="30" borderId="0" xfId="0" applyFont="true" applyBorder="false" applyAlignment="true" applyProtection="false">
      <alignment horizontal="center" vertical="bottom" textRotation="0" wrapText="false" indent="0" shrinkToFit="false"/>
      <protection locked="true" hidden="false"/>
    </xf>
    <xf numFmtId="164" fontId="0" fillId="30" borderId="0" xfId="0" applyFont="false" applyBorder="false" applyAlignment="true" applyProtection="false">
      <alignment horizontal="general" vertical="bottom" textRotation="0" wrapText="false" indent="0" shrinkToFit="false"/>
      <protection locked="true" hidden="false"/>
    </xf>
    <xf numFmtId="187" fontId="73" fillId="12" borderId="0" xfId="0" applyFont="true" applyBorder="false" applyAlignment="true" applyProtection="false">
      <alignment horizontal="center" vertical="bottom" textRotation="0" wrapText="false" indent="0" shrinkToFit="false"/>
      <protection locked="true" hidden="false"/>
    </xf>
    <xf numFmtId="187" fontId="34" fillId="37" borderId="0" xfId="0" applyFont="true" applyBorder="false" applyAlignment="true" applyProtection="false">
      <alignment horizontal="center" vertical="bottom" textRotation="0" wrapText="false" indent="0" shrinkToFit="false"/>
      <protection locked="true" hidden="false"/>
    </xf>
    <xf numFmtId="232" fontId="73" fillId="12" borderId="0" xfId="0" applyFont="true" applyBorder="false" applyAlignment="true" applyProtection="false">
      <alignment horizontal="center" vertical="bottom" textRotation="0" wrapText="false" indent="0" shrinkToFit="false"/>
      <protection locked="true" hidden="false"/>
    </xf>
    <xf numFmtId="232" fontId="34" fillId="37" borderId="0" xfId="0" applyFont="true" applyBorder="false" applyAlignment="true" applyProtection="false">
      <alignment horizontal="center" vertical="bottom" textRotation="0" wrapText="false" indent="0" shrinkToFit="false"/>
      <protection locked="true" hidden="false"/>
    </xf>
    <xf numFmtId="232" fontId="188" fillId="12" borderId="0" xfId="0" applyFont="true" applyBorder="false" applyAlignment="true" applyProtection="false">
      <alignment horizontal="center" vertical="bottom" textRotation="0" wrapText="false" indent="0" shrinkToFit="false"/>
      <protection locked="true" hidden="false"/>
    </xf>
    <xf numFmtId="167" fontId="34" fillId="37" borderId="0" xfId="0" applyFont="true" applyBorder="false" applyAlignment="true" applyProtection="false">
      <alignment horizontal="center" vertical="bottom" textRotation="0" wrapText="false" indent="0" shrinkToFit="false"/>
      <protection locked="true" hidden="false"/>
    </xf>
    <xf numFmtId="187" fontId="188" fillId="12" borderId="0" xfId="0" applyFont="true" applyBorder="false" applyAlignment="true" applyProtection="false">
      <alignment horizontal="center" vertical="bottom" textRotation="0" wrapText="false" indent="0" shrinkToFit="false"/>
      <protection locked="true" hidden="false"/>
    </xf>
    <xf numFmtId="175" fontId="0" fillId="37" borderId="0" xfId="0" applyFont="false" applyBorder="false" applyAlignment="true" applyProtection="false">
      <alignment horizontal="general" vertical="bottom" textRotation="0" wrapText="false" indent="0" shrinkToFit="false"/>
      <protection locked="true" hidden="false"/>
    </xf>
    <xf numFmtId="175" fontId="5" fillId="0" borderId="0" xfId="0" applyFont="true" applyBorder="false" applyAlignment="true" applyProtection="false">
      <alignment horizontal="general" vertical="bottom" textRotation="0" wrapText="false" indent="0" shrinkToFit="false"/>
      <protection locked="true" hidden="false"/>
    </xf>
    <xf numFmtId="175" fontId="70" fillId="0" borderId="0" xfId="0" applyFont="true" applyBorder="false" applyAlignment="true" applyProtection="false">
      <alignment horizontal="general" vertical="bottom" textRotation="0" wrapText="false" indent="0" shrinkToFit="false"/>
      <protection locked="true" hidden="false"/>
    </xf>
    <xf numFmtId="175" fontId="70" fillId="37" borderId="0" xfId="0" applyFont="true" applyBorder="false" applyAlignment="true" applyProtection="false">
      <alignment horizontal="general" vertical="bottom" textRotation="0" wrapText="false" indent="0" shrinkToFit="false"/>
      <protection locked="true" hidden="false"/>
    </xf>
    <xf numFmtId="175" fontId="13" fillId="0" borderId="0" xfId="0" applyFont="true" applyBorder="false" applyAlignment="true" applyProtection="false">
      <alignment horizontal="general" vertical="bottom" textRotation="0" wrapText="false" indent="0" shrinkToFit="false"/>
      <protection locked="true" hidden="false"/>
    </xf>
    <xf numFmtId="187" fontId="0" fillId="37" borderId="0" xfId="0" applyFont="false" applyBorder="false" applyAlignment="true" applyProtection="false">
      <alignment horizontal="general" vertical="bottom" textRotation="0" wrapText="false" indent="0" shrinkToFit="false"/>
      <protection locked="true" hidden="false"/>
    </xf>
    <xf numFmtId="187" fontId="5" fillId="0" borderId="0" xfId="0" applyFont="true" applyBorder="false" applyAlignment="true" applyProtection="false">
      <alignment horizontal="general" vertical="bottom" textRotation="0" wrapText="false" indent="0" shrinkToFit="false"/>
      <protection locked="true" hidden="false"/>
    </xf>
    <xf numFmtId="167" fontId="0" fillId="37" borderId="0" xfId="0" applyFont="false" applyBorder="false" applyAlignment="true" applyProtection="false">
      <alignment horizontal="general" vertical="bottom" textRotation="0" wrapText="false" indent="0" shrinkToFit="false"/>
      <protection locked="true" hidden="false"/>
    </xf>
    <xf numFmtId="164" fontId="70" fillId="34" borderId="0" xfId="0" applyFont="true" applyBorder="false" applyAlignment="true" applyProtection="false">
      <alignment horizontal="general" vertical="top" textRotation="0" wrapText="true" indent="0" shrinkToFit="false"/>
      <protection locked="true" hidden="false"/>
    </xf>
    <xf numFmtId="164" fontId="0" fillId="0" borderId="89" xfId="0" applyFont="false" applyBorder="true" applyAlignment="true" applyProtection="false">
      <alignment horizontal="general" vertical="top" textRotation="0" wrapText="true" indent="0" shrinkToFit="false"/>
      <protection locked="true" hidden="false"/>
    </xf>
    <xf numFmtId="164" fontId="70" fillId="0" borderId="89" xfId="0" applyFont="true" applyBorder="true" applyAlignment="true" applyProtection="false">
      <alignment horizontal="general" vertical="top" textRotation="0" wrapText="true" indent="0" shrinkToFit="false"/>
      <protection locked="true" hidden="false"/>
    </xf>
    <xf numFmtId="164" fontId="193" fillId="0" borderId="89" xfId="0" applyFont="true" applyBorder="true" applyAlignment="true" applyProtection="false">
      <alignment horizontal="general" vertical="top" textRotation="0" wrapText="true" indent="0" shrinkToFit="false"/>
      <protection locked="true" hidden="false"/>
    </xf>
    <xf numFmtId="164" fontId="0" fillId="0" borderId="90" xfId="0" applyFont="false" applyBorder="true" applyAlignment="true" applyProtection="false">
      <alignment horizontal="general" vertical="top" textRotation="0" wrapText="true" indent="0" shrinkToFit="false"/>
      <protection locked="true" hidden="false"/>
    </xf>
    <xf numFmtId="164" fontId="70" fillId="0" borderId="90" xfId="0" applyFont="true" applyBorder="true" applyAlignment="true" applyProtection="false">
      <alignment horizontal="general" vertical="top" textRotation="0" wrapText="true" indent="0" shrinkToFit="false"/>
      <protection locked="true" hidden="false"/>
    </xf>
    <xf numFmtId="164" fontId="193" fillId="0" borderId="90" xfId="0" applyFont="true" applyBorder="true" applyAlignment="true" applyProtection="false">
      <alignment horizontal="general" vertical="top" textRotation="0" wrapText="true" indent="0" shrinkToFit="false"/>
      <protection locked="true" hidden="false"/>
    </xf>
    <xf numFmtId="164" fontId="0" fillId="0" borderId="109" xfId="0" applyFont="false" applyBorder="true" applyAlignment="true" applyProtection="false">
      <alignment horizontal="general" vertical="top" textRotation="0" wrapText="true" indent="0" shrinkToFit="false"/>
      <protection locked="true" hidden="false"/>
    </xf>
    <xf numFmtId="164" fontId="70" fillId="0" borderId="109" xfId="0" applyFont="true" applyBorder="true" applyAlignment="true" applyProtection="false">
      <alignment horizontal="general" vertical="top" textRotation="0" wrapText="true" indent="0" shrinkToFit="false"/>
      <protection locked="true" hidden="false"/>
    </xf>
    <xf numFmtId="164" fontId="193" fillId="0" borderId="109"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3">
    <dxf>
      <font>
        <color rgb="FFC00000"/>
      </font>
    </dxf>
    <dxf>
      <font>
        <color rgb="FF1E8449"/>
      </font>
    </dxf>
    <dxf>
      <font>
        <color rgb="FFA6A6A6"/>
      </font>
    </dxf>
    <dxf>
      <font>
        <color rgb="FF006100"/>
      </font>
      <fill>
        <patternFill>
          <bgColor rgb="FFC6EFCE"/>
        </patternFill>
      </fill>
    </dxf>
    <dxf>
      <font>
        <color rgb="FF9C6500"/>
      </font>
      <fill>
        <patternFill>
          <bgColor rgb="FFFFEB9C"/>
        </patternFill>
      </fill>
    </dxf>
    <dxf>
      <font>
        <color rgb="FF3F4E66"/>
      </font>
      <fill>
        <patternFill>
          <bgColor rgb="FFD9E1F2"/>
        </patternFill>
      </fill>
    </dxf>
    <dxf>
      <font>
        <color rgb="FF9C0006"/>
      </font>
      <fill>
        <patternFill>
          <bgColor rgb="FFFFC7CE"/>
        </patternFill>
      </fill>
    </dxf>
    <dxf>
      <fill>
        <patternFill>
          <bgColor rgb="FFFFF2CC"/>
        </patternFill>
      </fill>
    </dxf>
    <dxf>
      <font>
        <color rgb="FF833C00"/>
      </font>
      <fill>
        <patternFill>
          <bgColor rgb="FFFCE4D6"/>
        </patternFill>
      </fill>
    </dxf>
    <dxf>
      <font>
        <color rgb="FF375623"/>
      </font>
      <fill>
        <patternFill>
          <bgColor rgb="FFE2EFDA"/>
        </patternFill>
      </fill>
    </dxf>
    <dxf>
      <font>
        <color rgb="FF721C24"/>
      </font>
      <fill>
        <patternFill>
          <bgColor rgb="FFF8D7DA"/>
        </patternFill>
      </fill>
    </dxf>
    <dxf>
      <font>
        <color rgb="FF856404"/>
      </font>
      <fill>
        <patternFill>
          <bgColor rgb="FFFFF3CD"/>
        </patternFill>
      </fill>
    </dxf>
    <dxf>
      <font>
        <color rgb="FF155724"/>
      </font>
      <fill>
        <patternFill>
          <bgColor rgb="FFD4EDDA"/>
        </patternFill>
      </fill>
    </dxf>
    <dxf>
      <font>
        <b val="1"/>
        <color rgb="FF1B3A4B"/>
      </font>
      <fill>
        <patternFill>
          <bgColor rgb="FFE2EFDA"/>
        </patternFill>
      </fill>
    </dxf>
    <dxf>
      <font>
        <b val="1"/>
        <color rgb="FF7F6000"/>
      </font>
      <fill>
        <patternFill>
          <bgColor rgb="FFFFF2CC"/>
        </patternFill>
      </fill>
    </dxf>
    <dxf>
      <font>
        <b val="1"/>
        <color rgb="FF006100"/>
      </font>
      <fill>
        <patternFill>
          <bgColor rgb="FFC6EFCE"/>
        </patternFill>
      </fill>
    </dxf>
    <dxf>
      <font>
        <b val="1"/>
        <color rgb="FF9C0006"/>
      </font>
      <fill>
        <patternFill>
          <bgColor rgb="FFFFC7CE"/>
        </patternFill>
      </fill>
    </dxf>
    <dxf>
      <font>
        <b val="1"/>
        <color rgb="FF9C1C2E"/>
      </font>
      <fill>
        <patternFill>
          <bgColor rgb="FFF8D7DA"/>
        </patternFill>
      </fill>
    </dxf>
    <dxf>
      <font>
        <color rgb="FF9C1C2E"/>
      </font>
      <fill>
        <patternFill>
          <bgColor rgb="FFF8D7DA"/>
        </patternFill>
      </fill>
    </dxf>
    <dxf>
      <border diagonalUp="false" diagonalDown="false">
        <left style="thin">
          <color rgb="FFC00000"/>
        </left>
        <right/>
        <top/>
        <bottom/>
        <diagonal/>
      </border>
    </dxf>
    <dxf>
      <fill>
        <patternFill>
          <bgColor rgb="FF2E9B57"/>
        </patternFill>
      </fill>
    </dxf>
    <dxf>
      <fill>
        <patternFill>
          <bgColor rgb="FFBF9000"/>
        </patternFill>
      </fill>
    </dxf>
    <dxf>
      <fill>
        <patternFill>
          <bgColor rgb="FF1B3A4B"/>
        </patternFill>
      </fill>
    </dxf>
    <dxf>
      <fill>
        <patternFill>
          <bgColor rgb="FFC00000"/>
        </patternFill>
      </fill>
    </dxf>
    <dxf>
      <fill>
        <patternFill>
          <bgColor rgb="FF4472C4"/>
        </patternFill>
      </fill>
    </dxf>
    <dxf>
      <font>
        <color rgb="FF7F6000"/>
      </font>
      <fill>
        <patternFill>
          <bgColor rgb="FFFFEB9C"/>
        </patternFill>
      </fill>
    </dxf>
    <dxf>
      <font>
        <color rgb="FF7F6000"/>
      </font>
      <fill>
        <patternFill>
          <bgColor rgb="FFFFF2CC"/>
        </patternFill>
      </fill>
    </dxf>
    <dxf>
      <font>
        <color rgb="FF1F4E79"/>
      </font>
      <fill>
        <patternFill>
          <bgColor rgb="FFDDEBF7"/>
        </patternFill>
      </fill>
    </dxf>
    <dxf>
      <font>
        <color rgb="FF555555"/>
      </font>
      <fill>
        <patternFill>
          <bgColor rgb="FFE7E6E6"/>
        </patternFill>
      </fill>
    </dxf>
    <dxf>
      <font>
        <color rgb="FF000000"/>
      </font>
      <fill>
        <patternFill>
          <bgColor rgb="FFC6E0B4"/>
        </patternFill>
      </fill>
    </dxf>
    <dxf>
      <font>
        <color rgb="FF006100"/>
      </font>
    </dxf>
    <dxf>
      <font>
        <color rgb="FF9C5700"/>
      </font>
      <fill>
        <patternFill>
          <bgColor rgb="FFFFEB9C"/>
        </patternFill>
      </fill>
    </dxf>
    <dxf>
      <font>
        <color rgb="FF404040"/>
      </font>
    </dxf>
  </dxfs>
  <colors>
    <indexedColors>
      <rgbColor rgb="FF000000"/>
      <rgbColor rgb="FFFFFFFF"/>
      <rgbColor rgb="FFC00000"/>
      <rgbColor rgb="FFF2F7EC"/>
      <rgbColor rgb="FF0000FF"/>
      <rgbColor rgb="FFFFFF00"/>
      <rgbColor rgb="FFFCE4D6"/>
      <rgbColor rgb="FFE2EFDA"/>
      <rgbColor rgb="FF930309"/>
      <rgbColor rgb="FF016601"/>
      <rgbColor rgb="FFFAFAF7"/>
      <rgbColor rgb="FF836301"/>
      <rgbColor rgb="FFFFF2CC"/>
      <rgbColor rgb="FF198C90"/>
      <rgbColor rgb="FFBFBFBF"/>
      <rgbColor rgb="FF818181"/>
      <rgbColor rgb="FFD9E2F1"/>
      <rgbColor rgb="FF52565C"/>
      <rgbColor rgb="FFFFF3CD"/>
      <rgbColor rgb="FFDDEBF7"/>
      <rgbColor rgb="FF374928"/>
      <rgbColor rgb="FFCAA961"/>
      <rgbColor rgb="FF2275CE"/>
      <rgbColor rgb="FFD0D0D0"/>
      <rgbColor rgb="FFFAFAFB"/>
      <rgbColor rgb="FFF4F1E8"/>
      <rgbColor rgb="FFFFEB9C"/>
      <rgbColor rgb="FFE5E7EB"/>
      <rgbColor rgb="FFF3F4F6"/>
      <rgbColor rgb="FFF5F7FA"/>
      <rgbColor rgb="FF1D5778"/>
      <rgbColor rgb="FFFAFAFD"/>
      <rgbColor rgb="FFE9E8E9"/>
      <rgbColor rgb="FFEAF1FB"/>
      <rgbColor rgb="FFC6EFCD"/>
      <rgbColor rgb="FFFFEC95"/>
      <rgbColor rgb="FFB4B4B4"/>
      <rgbColor rgb="FFF8D7DA"/>
      <rgbColor rgb="FFD9D9D9"/>
      <rgbColor rgb="FFFFC7CE"/>
      <rgbColor rgb="FFEAF1F8"/>
      <rgbColor rgb="FFD6E4F0"/>
      <rgbColor rgb="FFE0E0E0"/>
      <rgbColor rgb="FFFEF3C7"/>
      <rgbColor rgb="FFC19300"/>
      <rgbColor rgb="FFED7D31"/>
      <rgbColor rgb="FF6E747E"/>
      <rgbColor rgb="FFA0A3A9"/>
      <rgbColor rgb="FF0E2A3A"/>
      <rgbColor rgb="FF298137"/>
      <rgbColor rgb="FF1B3A4B"/>
      <rgbColor rgb="FF1F2727"/>
      <rgbColor rgb="FF9C5500"/>
      <rgbColor rgb="FF68665F"/>
      <rgbColor rgb="FF604171"/>
      <rgbColor rgb="FF39393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200" spc="-1" strike="noStrike">
                <a:solidFill>
                  <a:srgbClr val="0e2a3a"/>
                </a:solidFill>
                <a:latin typeface="Aptos Narrow"/>
                <a:ea typeface="Aptos Narrow"/>
              </a:defRPr>
            </a:pPr>
            <a:r>
              <a:rPr b="1" lang="en-US" sz="1200" spc="-1" strike="noStrike">
                <a:solidFill>
                  <a:srgbClr val="0e2a3a"/>
                </a:solidFill>
                <a:latin typeface="Aptos Narrow"/>
                <a:ea typeface="Aptos Narrow"/>
              </a:rPr>
              <a:t>Cost Evolution by Design Milestone</a:t>
            </a:r>
          </a:p>
        </c:rich>
      </c:tx>
      <c:overlay val="0"/>
      <c:spPr>
        <a:noFill/>
        <a:ln w="0">
          <a:noFill/>
        </a:ln>
      </c:spPr>
    </c:title>
    <c:autoTitleDeleted val="0"/>
    <c:plotArea>
      <c:lineChart>
        <c:grouping val="standard"/>
        <c:varyColors val="0"/>
        <c:ser>
          <c:idx val="0"/>
          <c:order val="0"/>
          <c:tx>
            <c:strRef>
              <c:f>_ChartData!$B$1</c:f>
              <c:strCache>
                <c:ptCount val="1"/>
                <c:pt idx="0">
                  <c:v>Estimate ($M)</c:v>
                </c:pt>
              </c:strCache>
            </c:strRef>
          </c:tx>
          <c:spPr>
            <a:solidFill>
              <a:srgbClr val="0e2a3a"/>
            </a:solidFill>
            <a:ln cap="rnd" w="28440">
              <a:solidFill>
                <a:srgbClr val="0e2a3a"/>
              </a:solidFill>
              <a:round/>
            </a:ln>
          </c:spPr>
          <c:marker>
            <c:symbol val="circle"/>
            <c:size val="7"/>
            <c:spPr>
              <a:solidFill>
                <a:srgbClr val="0e2a3a"/>
              </a:solidFill>
            </c:spPr>
          </c:marker>
          <c:dLbls>
            <c:numFmt formatCode="#,##0" sourceLinked="1"/>
            <c:txPr>
              <a:bodyPr wrap="square"/>
              <a:lstStyle/>
              <a:p>
                <a:pPr>
                  <a:defRPr b="1" sz="900" spc="-1" strike="noStrike">
                    <a:solidFill>
                      <a:srgbClr val="0e2a3a"/>
                    </a:solidFill>
                    <a:latin typeface="Aptos Narrow"/>
                    <a:ea typeface="Aptos Narrow"/>
                  </a:defRPr>
                </a:pPr>
              </a:p>
            </c:txPr>
            <c:dLblPos val="t"/>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_ChartData!$A$2:$A$7</c:f>
              <c:strCache>
                <c:ptCount val="6"/>
                <c:pt idx="0">
                  <c:v>Concept</c:v>
                </c:pt>
                <c:pt idx="1">
                  <c:v>SD</c:v>
                </c:pt>
                <c:pt idx="2">
                  <c:v>DD</c:v>
                </c:pt>
                <c:pt idx="3">
                  <c:v>CD</c:v>
                </c:pt>
                <c:pt idx="4">
                  <c:v>GMP</c:v>
                </c:pt>
                <c:pt idx="5">
                  <c:v>Awarded</c:v>
                </c:pt>
              </c:strCache>
            </c:strRef>
          </c:cat>
          <c:val>
            <c:numRef>
              <c:f>_ChartData!$B$2:$B$7</c:f>
              <c:numCache>
                <c:formatCode>#,##0</c:formatCode>
                <c:ptCount val="6"/>
                <c:pt idx="0">
                  <c:v>981.24899128396</c:v>
                </c:pt>
                <c:pt idx="1">
                  <c:v>1025.21800109748</c:v>
                </c:pt>
                <c:pt idx="2">
                  <c:v>1062.22162321777</c:v>
                </c:pt>
                <c:pt idx="3">
                  <c:v>1088.34182706739</c:v>
                </c:pt>
                <c:pt idx="4">
                  <c:v>1110.10866360874</c:v>
                </c:pt>
              </c:numCache>
            </c:numRef>
          </c:val>
          <c:smooth val="0"/>
        </c:ser>
        <c:hiLowLines>
          <c:spPr>
            <a:ln w="0">
              <a:noFill/>
            </a:ln>
          </c:spPr>
        </c:hiLowLines>
        <c:marker val="1"/>
        <c:axId val="20938495"/>
        <c:axId val="93155214"/>
      </c:lineChart>
      <c:catAx>
        <c:axId val="20938495"/>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1" sz="900" spc="-1" strike="noStrike">
                <a:solidFill>
                  <a:srgbClr val="0e2a3a"/>
                </a:solidFill>
                <a:latin typeface="Aptos Narrow"/>
                <a:ea typeface="Aptos Narrow"/>
              </a:defRPr>
            </a:pPr>
          </a:p>
        </c:txPr>
        <c:crossAx val="93155214"/>
        <c:crosses val="autoZero"/>
        <c:auto val="1"/>
        <c:lblAlgn val="ctr"/>
        <c:lblOffset val="100"/>
        <c:noMultiLvlLbl val="0"/>
      </c:catAx>
      <c:valAx>
        <c:axId val="93155214"/>
        <c:scaling>
          <c:orientation val="minMax"/>
          <c:max val="1150"/>
          <c:min val="950"/>
        </c:scaling>
        <c:delete val="0"/>
        <c:axPos val="l"/>
        <c:majorGridlines>
          <c:spPr>
            <a:ln w="9360">
              <a:solidFill>
                <a:srgbClr val="d9d9d9"/>
              </a:solidFill>
              <a:round/>
            </a:ln>
          </c:spPr>
        </c:majorGridlines>
        <c:numFmt formatCode="\$#,##0\M" sourceLinked="0"/>
        <c:majorTickMark val="none"/>
        <c:minorTickMark val="none"/>
        <c:tickLblPos val="nextTo"/>
        <c:spPr>
          <a:ln w="12600">
            <a:noFill/>
          </a:ln>
        </c:spPr>
        <c:txPr>
          <a:bodyPr/>
          <a:lstStyle/>
          <a:p>
            <a:pPr>
              <a:defRPr b="0" sz="900" spc="-1" strike="noStrike">
                <a:solidFill>
                  <a:srgbClr val="666666"/>
                </a:solidFill>
                <a:latin typeface="Aptos Narrow"/>
                <a:ea typeface="Aptos Narrow"/>
              </a:defRPr>
            </a:pPr>
          </a:p>
        </c:txPr>
        <c:crossAx val="20938495"/>
        <c:crosses val="autoZero"/>
        <c:crossBetween val="between"/>
      </c:valAx>
      <c:spPr>
        <a:noFill/>
        <a:ln w="0">
          <a:noFill/>
        </a:ln>
      </c:spPr>
    </c:plotArea>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200" spc="-1" strike="noStrike">
                <a:solidFill>
                  <a:srgbClr val="0e2a3a"/>
                </a:solidFill>
                <a:latin typeface="Aptos Narrow"/>
                <a:ea typeface="Aptos Narrow"/>
              </a:defRPr>
            </a:pPr>
            <a:r>
              <a:rPr b="1" lang="en-US" sz="1200" spc="-1" strike="noStrike">
                <a:solidFill>
                  <a:srgbClr val="0e2a3a"/>
                </a:solidFill>
                <a:latin typeface="Aptos Narrow"/>
                <a:ea typeface="Aptos Narrow"/>
              </a:rPr>
              <a:t>Cost Composition by Scope</a:t>
            </a:r>
          </a:p>
        </c:rich>
      </c:tx>
      <c:overlay val="0"/>
      <c:spPr>
        <a:noFill/>
        <a:ln w="0">
          <a:noFill/>
        </a:ln>
      </c:spPr>
    </c:title>
    <c:autoTitleDeleted val="0"/>
    <c:plotArea>
      <c:barChart>
        <c:barDir val="bar"/>
        <c:grouping val="clustered"/>
        <c:varyColors val="0"/>
        <c:ser>
          <c:idx val="0"/>
          <c:order val="0"/>
          <c:tx>
            <c:strRef>
              <c:f>_ChartData!$E$1</c:f>
              <c:strCache>
                <c:ptCount val="1"/>
                <c:pt idx="0">
                  <c:v>Amount ($M)</c:v>
                </c:pt>
              </c:strCache>
            </c:strRef>
          </c:tx>
          <c:spPr>
            <a:solidFill>
              <a:srgbClr val="156082"/>
            </a:solidFill>
            <a:ln w="0">
              <a:noFill/>
            </a:ln>
          </c:spPr>
          <c:invertIfNegative val="0"/>
          <c:dPt>
            <c:idx val="0"/>
            <c:invertIfNegative val="0"/>
            <c:spPr>
              <a:solidFill>
                <a:srgbClr val="0e2a3a"/>
              </a:solidFill>
              <a:ln w="0">
                <a:noFill/>
              </a:ln>
            </c:spPr>
          </c:dPt>
          <c:dPt>
            <c:idx val="1"/>
            <c:invertIfNegative val="0"/>
            <c:spPr>
              <a:solidFill>
                <a:srgbClr val="c9a961"/>
              </a:solidFill>
              <a:ln w="0">
                <a:noFill/>
              </a:ln>
            </c:spPr>
          </c:dPt>
          <c:dPt>
            <c:idx val="2"/>
            <c:invertIfNegative val="0"/>
            <c:spPr>
              <a:solidFill>
                <a:srgbClr val="7a7a7a"/>
              </a:solidFill>
              <a:ln w="0">
                <a:noFill/>
              </a:ln>
            </c:spPr>
          </c:dPt>
          <c:dLbls>
            <c:numFmt formatCode="\$#,##0\M" sourceLinked="1"/>
            <c:dLbl>
              <c:idx val="0"/>
              <c:numFmt formatCode="\$#,##0\M" sourceLinked="1"/>
              <c:txPr>
                <a:bodyPr wrap="square"/>
                <a:lstStyle/>
                <a:p>
                  <a:pPr>
                    <a:defRPr b="1" sz="800" spc="-1" strike="noStrike">
                      <a:solidFill>
                        <a:srgbClr val="0e2a3a"/>
                      </a:solidFill>
                      <a:latin typeface="Aptos Narrow"/>
                    </a:defRPr>
                  </a:pPr>
                </a:p>
              </c:txPr>
              <c:dLblPos val="outEnd"/>
              <c:showLegendKey val="0"/>
              <c:showVal val="1"/>
              <c:showCatName val="0"/>
              <c:showSerName val="0"/>
              <c:showPercent val="0"/>
              <c:separator>; </c:separator>
            </c:dLbl>
            <c:dLbl>
              <c:idx val="1"/>
              <c:numFmt formatCode="\$#,##0\M" sourceLinked="1"/>
              <c:txPr>
                <a:bodyPr wrap="square"/>
                <a:lstStyle/>
                <a:p>
                  <a:pPr>
                    <a:defRPr b="1" sz="800" spc="-1" strike="noStrike">
                      <a:solidFill>
                        <a:srgbClr val="0e2a3a"/>
                      </a:solidFill>
                      <a:latin typeface="Aptos Narrow"/>
                    </a:defRPr>
                  </a:pPr>
                </a:p>
              </c:txPr>
              <c:dLblPos val="outEnd"/>
              <c:showLegendKey val="0"/>
              <c:showVal val="1"/>
              <c:showCatName val="0"/>
              <c:showSerName val="0"/>
              <c:showPercent val="0"/>
              <c:separator>; </c:separator>
            </c:dLbl>
            <c:dLbl>
              <c:idx val="2"/>
              <c:numFmt formatCode="\$#,##0\M" sourceLinked="1"/>
              <c:txPr>
                <a:bodyPr wrap="square"/>
                <a:lstStyle/>
                <a:p>
                  <a:pPr>
                    <a:defRPr b="1" sz="800" spc="-1" strike="noStrike">
                      <a:solidFill>
                        <a:srgbClr val="0e2a3a"/>
                      </a:solidFill>
                      <a:latin typeface="Aptos Narrow"/>
                    </a:defRPr>
                  </a:pPr>
                </a:p>
              </c:txPr>
              <c:dLblPos val="outEnd"/>
              <c:showLegendKey val="0"/>
              <c:showVal val="1"/>
              <c:showCatName val="0"/>
              <c:showSerName val="0"/>
              <c:showPercent val="0"/>
              <c:separator>; </c:separator>
            </c:dLbl>
            <c:txPr>
              <a:bodyPr wrap="square"/>
              <a:lstStyle/>
              <a:p>
                <a:pPr>
                  <a:defRPr b="1" sz="800" spc="-1" strike="noStrike">
                    <a:solidFill>
                      <a:srgbClr val="0e2a3a"/>
                    </a:solidFill>
                    <a:latin typeface="Aptos Narrow"/>
                    <a:ea typeface="Aptos Narrow"/>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_ChartData!$D$2:$D$4</c:f>
              <c:strCache>
                <c:ptCount val="3"/>
                <c:pt idx="0">
                  <c:v>CSA</c:v>
                </c:pt>
                <c:pt idx="1">
                  <c:v>MEP</c:v>
                </c:pt>
                <c:pt idx="2">
                  <c:v>Cx / GC / Soft</c:v>
                </c:pt>
              </c:strCache>
            </c:strRef>
          </c:cat>
          <c:val>
            <c:numRef>
              <c:f>_ChartData!$E$2:$E$4</c:f>
              <c:numCache>
                <c:formatCode>#,##0</c:formatCode>
                <c:ptCount val="3"/>
                <c:pt idx="0">
                  <c:v>275.731915866136</c:v>
                </c:pt>
                <c:pt idx="1">
                  <c:v>609.16099809738</c:v>
                </c:pt>
                <c:pt idx="2">
                  <c:v>203.448913103876</c:v>
                </c:pt>
              </c:numCache>
            </c:numRef>
          </c:val>
        </c:ser>
        <c:gapWidth val="182"/>
        <c:overlap val="0"/>
        <c:axId val="30251459"/>
        <c:axId val="69746262"/>
      </c:barChart>
      <c:catAx>
        <c:axId val="30251459"/>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1" sz="900" spc="-1" strike="noStrike">
                <a:solidFill>
                  <a:srgbClr val="0e2a3a"/>
                </a:solidFill>
                <a:latin typeface="Aptos Narrow"/>
                <a:ea typeface="Aptos Narrow"/>
              </a:defRPr>
            </a:pPr>
          </a:p>
        </c:txPr>
        <c:crossAx val="69746262"/>
        <c:crosses val="autoZero"/>
        <c:auto val="1"/>
        <c:lblAlgn val="ctr"/>
        <c:lblOffset val="100"/>
        <c:noMultiLvlLbl val="0"/>
      </c:catAx>
      <c:valAx>
        <c:axId val="69746262"/>
        <c:scaling>
          <c:orientation val="minMax"/>
        </c:scaling>
        <c:delete val="1"/>
        <c:axPos val="l"/>
        <c:majorGridlines>
          <c:spPr>
            <a:ln w="9360">
              <a:solidFill>
                <a:srgbClr val="d9d9d9"/>
              </a:solidFill>
              <a:round/>
            </a:ln>
          </c:spPr>
        </c:majorGridlines>
        <c:numFmt formatCode="#,##0" sourceLinked="1"/>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30251459"/>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Aptos Narrow"/>
              </a:defRPr>
            </a:pPr>
            <a:r>
              <a:rPr b="1" lang="en-US" sz="1800" spc="-1" strike="noStrike">
                <a:solidFill>
                  <a:srgbClr val="000000"/>
                </a:solidFill>
                <a:latin typeface="Aptos Narrow"/>
              </a:rPr>
              <a:t>Cost Breakdown by Trade (CSI Division)</a:t>
            </a:r>
          </a:p>
        </c:rich>
      </c:tx>
      <c:overlay val="0"/>
      <c:spPr>
        <a:noFill/>
        <a:ln w="0">
          <a:noFill/>
        </a:ln>
      </c:spPr>
    </c:title>
    <c:autoTitleDeleted val="0"/>
    <c:plotArea>
      <c:barChart>
        <c:barDir val="bar"/>
        <c:grouping val="clustered"/>
        <c:varyColors val="0"/>
        <c:ser>
          <c:idx val="0"/>
          <c:order val="0"/>
          <c:spPr>
            <a:solidFill>
              <a:srgbClr val="4472c4"/>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_ChartData!$G$2:$G$16</c:f>
              <c:strCache>
                <c:ptCount val="15"/>
                <c:pt idx="0">
                  <c:v>All other trades</c:v>
                </c:pt>
                <c:pt idx="1">
                  <c:v>Concrete</c:v>
                </c:pt>
                <c:pt idx="2">
                  <c:v>Earthwork</c:v>
                </c:pt>
                <c:pt idx="3">
                  <c:v>Fire Suppression</c:v>
                </c:pt>
                <c:pt idx="4">
                  <c:v>Plumbing</c:v>
                </c:pt>
                <c:pt idx="5">
                  <c:v>Finishes</c:v>
                </c:pt>
                <c:pt idx="6">
                  <c:v>Thermal &amp; Moisture</c:v>
                </c:pt>
                <c:pt idx="7">
                  <c:v>Structural Steel</c:v>
                </c:pt>
                <c:pt idx="8">
                  <c:v>Commissioning</c:v>
                </c:pt>
                <c:pt idx="9">
                  <c:v>General Conditions</c:v>
                </c:pt>
                <c:pt idx="10">
                  <c:v>Communications / IT</c:v>
                </c:pt>
                <c:pt idx="11">
                  <c:v>Utilities</c:v>
                </c:pt>
                <c:pt idx="12">
                  <c:v>Soft Costs / Pre-Con</c:v>
                </c:pt>
                <c:pt idx="13">
                  <c:v>Electrical / Critical Power</c:v>
                </c:pt>
                <c:pt idx="14">
                  <c:v>HVAC / Cooling</c:v>
                </c:pt>
              </c:strCache>
            </c:strRef>
          </c:cat>
          <c:val>
            <c:numRef>
              <c:f>_ChartData!$H$2:$H$16</c:f>
              <c:numCache>
                <c:formatCode>General</c:formatCode>
                <c:ptCount val="15"/>
                <c:pt idx="0">
                  <c:v>70082423.8915794</c:v>
                </c:pt>
                <c:pt idx="1">
                  <c:v>33466040.3875851</c:v>
                </c:pt>
                <c:pt idx="2">
                  <c:v>25614732</c:v>
                </c:pt>
                <c:pt idx="3">
                  <c:v>22577593.5</c:v>
                </c:pt>
                <c:pt idx="4">
                  <c:v>22312498.51875</c:v>
                </c:pt>
                <c:pt idx="5">
                  <c:v>33189552</c:v>
                </c:pt>
                <c:pt idx="6">
                  <c:v>38165650.875</c:v>
                </c:pt>
                <c:pt idx="7">
                  <c:v>40836399.7619533</c:v>
                </c:pt>
                <c:pt idx="8">
                  <c:v>47367292.5</c:v>
                </c:pt>
                <c:pt idx="9">
                  <c:v>42983030.6038756</c:v>
                </c:pt>
                <c:pt idx="10">
                  <c:v>60417387.7013327</c:v>
                </c:pt>
                <c:pt idx="11">
                  <c:v>63598602.375</c:v>
                </c:pt>
                <c:pt idx="12">
                  <c:v>113098590</c:v>
                </c:pt>
                <c:pt idx="13">
                  <c:v>248147784.950389</c:v>
                </c:pt>
                <c:pt idx="14">
                  <c:v>226484248.001927</c:v>
                </c:pt>
              </c:numCache>
            </c:numRef>
          </c:val>
        </c:ser>
        <c:gapWidth val="55"/>
        <c:overlap val="0"/>
        <c:axId val="95108328"/>
        <c:axId val="40590462"/>
      </c:barChart>
      <c:catAx>
        <c:axId val="95108328"/>
        <c:scaling>
          <c:orientation val="minMax"/>
        </c:scaling>
        <c:delete val="0"/>
        <c:axPos val="b"/>
        <c:numFmt formatCode="\$#,##0,,\M"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40590462"/>
        <c:crosses val="autoZero"/>
        <c:auto val="1"/>
        <c:lblAlgn val="ctr"/>
        <c:lblOffset val="100"/>
        <c:noMultiLvlLbl val="0"/>
      </c:catAx>
      <c:valAx>
        <c:axId val="40590462"/>
        <c:scaling>
          <c:orientation val="minMax"/>
        </c:scaling>
        <c:delete val="0"/>
        <c:axPos val="l"/>
        <c:majorGridlines>
          <c:spPr>
            <a:ln w="0">
              <a:solidFill>
                <a:srgbClr val="b3b3b3"/>
              </a:solidFill>
            </a:ln>
          </c:spPr>
        </c:majorGridlines>
        <c:title>
          <c:tx>
            <c:rich>
              <a:bodyPr rot="0"/>
              <a:lstStyle/>
              <a:p>
                <a:pPr>
                  <a:defRPr b="1" lang="en-US" sz="1000" spc="-1" strike="noStrike">
                    <a:solidFill>
                      <a:srgbClr val="000000"/>
                    </a:solidFill>
                    <a:latin typeface="Aptos Narrow"/>
                  </a:defRPr>
                </a:pPr>
                <a:r>
                  <a:rPr b="1" lang="en-US" sz="1000" spc="-1" strike="noStrike">
                    <a:solidFill>
                      <a:srgbClr val="000000"/>
                    </a:solidFill>
                    <a:latin typeface="Aptos Narrow"/>
                  </a:rPr>
                  <a:t>$</a:t>
                </a:r>
              </a:p>
            </c:rich>
          </c:tx>
          <c:overlay val="0"/>
          <c:spPr>
            <a:noFill/>
            <a:ln w="0">
              <a:noFill/>
            </a:ln>
          </c:spPr>
        </c:title>
        <c:numFmt formatCode="\$#,##0,,\M"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9510832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Aptos Narrow"/>
              </a:defRPr>
            </a:pPr>
            <a:r>
              <a:rPr b="1" lang="en-US" sz="1800" spc="-1" strike="noStrike">
                <a:solidFill>
                  <a:srgbClr val="000000"/>
                </a:solidFill>
                <a:latin typeface="Aptos Narrow"/>
              </a:rPr>
              <a:t>Cost per MW vs Industry Benchmark</a:t>
            </a:r>
          </a:p>
        </c:rich>
      </c:tx>
      <c:overlay val="0"/>
      <c:spPr>
        <a:noFill/>
        <a:ln w="0">
          <a:noFill/>
        </a:ln>
      </c:spPr>
    </c:title>
    <c:autoTitleDeleted val="0"/>
    <c:plotArea>
      <c:barChart>
        <c:barDir val="col"/>
        <c:grouping val="clustered"/>
        <c:varyColors val="0"/>
        <c:ser>
          <c:idx val="0"/>
          <c:order val="0"/>
          <c:spPr>
            <a:solidFill>
              <a:srgbClr val="1b3a4b"/>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_ChartData!$G$19:$G$22</c:f>
              <c:strCache>
                <c:ptCount val="4"/>
                <c:pt idx="0">
                  <c:v>Lowest comparable</c:v>
                </c:pt>
                <c:pt idx="1">
                  <c:v>Industry median</c:v>
                </c:pt>
                <c:pt idx="2">
                  <c:v>Highest comparable</c:v>
                </c:pt>
                <c:pt idx="3">
                  <c:v>This project</c:v>
                </c:pt>
              </c:strCache>
            </c:strRef>
          </c:cat>
          <c:val>
            <c:numRef>
              <c:f>_ChartData!$H$19:$H$22</c:f>
              <c:numCache>
                <c:formatCode>General</c:formatCode>
                <c:ptCount val="4"/>
                <c:pt idx="0">
                  <c:v>9.8</c:v>
                </c:pt>
                <c:pt idx="1">
                  <c:v>11.4</c:v>
                </c:pt>
                <c:pt idx="2">
                  <c:v>17.8</c:v>
                </c:pt>
                <c:pt idx="3">
                  <c:v>12.0926869674155</c:v>
                </c:pt>
              </c:numCache>
            </c:numRef>
          </c:val>
        </c:ser>
        <c:gapWidth val="150"/>
        <c:overlap val="0"/>
        <c:axId val="81377225"/>
        <c:axId val="15762442"/>
      </c:barChart>
      <c:catAx>
        <c:axId val="8137722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15762442"/>
        <c:crosses val="autoZero"/>
        <c:auto val="1"/>
        <c:lblAlgn val="ctr"/>
        <c:lblOffset val="100"/>
        <c:noMultiLvlLbl val="0"/>
      </c:catAx>
      <c:valAx>
        <c:axId val="15762442"/>
        <c:scaling>
          <c:orientation val="minMax"/>
          <c:max val="30"/>
          <c:min val="0"/>
        </c:scaling>
        <c:delete val="0"/>
        <c:axPos val="l"/>
        <c:majorGridlines>
          <c:spPr>
            <a:ln w="0">
              <a:solidFill>
                <a:srgbClr val="b3b3b3"/>
              </a:solidFill>
            </a:ln>
          </c:spPr>
        </c:majorGridlines>
        <c:title>
          <c:tx>
            <c:rich>
              <a:bodyPr rot="-5400000"/>
              <a:lstStyle/>
              <a:p>
                <a:pPr>
                  <a:defRPr b="1" lang="en-US" sz="1000" spc="-1" strike="noStrike">
                    <a:solidFill>
                      <a:srgbClr val="000000"/>
                    </a:solidFill>
                    <a:latin typeface="Aptos Narrow"/>
                  </a:defRPr>
                </a:pPr>
                <a:r>
                  <a:rPr b="1" lang="en-US" sz="1000" spc="-1" strike="noStrike">
                    <a:solidFill>
                      <a:srgbClr val="000000"/>
                    </a:solidFill>
                    <a:latin typeface="Aptos Narrow"/>
                  </a:rPr>
                  <a:t>$M / MW</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8137722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Aptos Narrow"/>
              </a:defRPr>
            </a:pPr>
            <a:r>
              <a:rPr b="1" lang="en-US" sz="1800" spc="-1" strike="noStrike">
                <a:solidFill>
                  <a:srgbClr val="000000"/>
                </a:solidFill>
                <a:latin typeface="Aptos Narrow"/>
              </a:rPr>
              <a:t>Total Development Cost Stack ($M)</a:t>
            </a:r>
          </a:p>
        </c:rich>
      </c:tx>
      <c:overlay val="0"/>
      <c:spPr>
        <a:noFill/>
        <a:ln w="0">
          <a:noFill/>
        </a:ln>
      </c:spPr>
    </c:title>
    <c:autoTitleDeleted val="0"/>
    <c:plotArea>
      <c:barChart>
        <c:barDir val="bar"/>
        <c:grouping val="clustered"/>
        <c:varyColors val="0"/>
        <c:ser>
          <c:idx val="0"/>
          <c:order val="0"/>
          <c:spPr>
            <a:solidFill>
              <a:srgbClr val="1b3a4b"/>
            </a:solidFill>
            <a:ln w="0">
              <a:solidFill>
                <a:srgbClr val="1b3a4b"/>
              </a:solidFill>
            </a:ln>
          </c:spPr>
          <c:invertIfNegative val="0"/>
          <c:dLbls>
            <c:numFmt formatCode="\$#,##0\M" sourceLinked="1"/>
            <c:txPr>
              <a:bodyPr wrap="square"/>
              <a:lstStyle/>
              <a:p>
                <a:pPr>
                  <a:defRPr b="1" sz="800" spc="-1" strike="noStrike">
                    <a:solidFill>
                      <a:srgbClr val="000000"/>
                    </a:solidFill>
                    <a:latin typeface="Arial"/>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_ChartData!$G$31:$G$36</c:f>
              <c:strCache>
                <c:ptCount val="6"/>
                <c:pt idx="0">
                  <c:v>Construction</c:v>
                </c:pt>
                <c:pt idx="1">
                  <c:v>Land</c:v>
                </c:pt>
                <c:pt idx="2">
                  <c:v>Utility interconnect</c:v>
                </c:pt>
                <c:pt idx="3">
                  <c:v>Owner PM &amp; soft costs</c:v>
                </c:pt>
                <c:pt idx="4">
                  <c:v>Financing (IDC)</c:v>
                </c:pt>
                <c:pt idx="5">
                  <c:v>Owner's contingency</c:v>
                </c:pt>
              </c:strCache>
            </c:strRef>
          </c:cat>
          <c:val>
            <c:numRef>
              <c:f>_ChartData!$H$31:$H$36</c:f>
              <c:numCache>
                <c:formatCode>General</c:formatCode>
                <c:ptCount val="6"/>
                <c:pt idx="0">
                  <c:v>1088.34182706739</c:v>
                </c:pt>
                <c:pt idx="1">
                  <c:v>80</c:v>
                </c:pt>
                <c:pt idx="2">
                  <c:v>117</c:v>
                </c:pt>
                <c:pt idx="3">
                  <c:v>71.5336730826957</c:v>
                </c:pt>
                <c:pt idx="4">
                  <c:v>83.9566715717866</c:v>
                </c:pt>
                <c:pt idx="5">
                  <c:v>72.0416085860937</c:v>
                </c:pt>
              </c:numCache>
            </c:numRef>
          </c:val>
        </c:ser>
        <c:gapWidth val="150"/>
        <c:overlap val="0"/>
        <c:axId val="53527057"/>
        <c:axId val="16373407"/>
      </c:barChart>
      <c:catAx>
        <c:axId val="5352705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16373407"/>
        <c:crosses val="autoZero"/>
        <c:auto val="1"/>
        <c:lblAlgn val="ctr"/>
        <c:lblOffset val="100"/>
        <c:noMultiLvlLbl val="0"/>
      </c:catAx>
      <c:valAx>
        <c:axId val="16373407"/>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5352705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Aptos Narrow"/>
              </a:defRPr>
            </a:pPr>
            <a:r>
              <a:rPr b="1" lang="en-US" sz="1800" spc="-1" strike="noStrike">
                <a:solidFill>
                  <a:srgbClr val="000000"/>
                </a:solidFill>
                <a:latin typeface="Aptos Narrow"/>
              </a:rPr>
              <a:t>NOI Ramp by Operating Year ($M)</a:t>
            </a:r>
          </a:p>
        </c:rich>
      </c:tx>
      <c:overlay val="0"/>
      <c:spPr>
        <a:noFill/>
        <a:ln w="0">
          <a:noFill/>
        </a:ln>
      </c:spPr>
    </c:title>
    <c:autoTitleDeleted val="0"/>
    <c:plotArea>
      <c:barChart>
        <c:barDir val="col"/>
        <c:grouping val="clustered"/>
        <c:varyColors val="0"/>
        <c:ser>
          <c:idx val="0"/>
          <c:order val="0"/>
          <c:spPr>
            <a:solidFill>
              <a:srgbClr val="156082"/>
            </a:solidFill>
            <a:ln w="0">
              <a:solidFill>
                <a:srgbClr val="156082"/>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_ChartData!$G$39:$G$46</c:f>
              <c:strCache>
                <c:ptCount val="8"/>
                <c:pt idx="0">
                  <c:v>Yr 1</c:v>
                </c:pt>
                <c:pt idx="1">
                  <c:v>Yr 2</c:v>
                </c:pt>
                <c:pt idx="2">
                  <c:v>Yr 3</c:v>
                </c:pt>
                <c:pt idx="3">
                  <c:v>Yr 4</c:v>
                </c:pt>
                <c:pt idx="4">
                  <c:v>Yr 5</c:v>
                </c:pt>
                <c:pt idx="5">
                  <c:v>Yr 6</c:v>
                </c:pt>
                <c:pt idx="6">
                  <c:v>Yr 7</c:v>
                </c:pt>
                <c:pt idx="7">
                  <c:v>Yr 8</c:v>
                </c:pt>
              </c:strCache>
            </c:strRef>
          </c:cat>
          <c:val>
            <c:numRef>
              <c:f>_ChartData!$H$39:$H$46</c:f>
              <c:numCache>
                <c:formatCode>General</c:formatCode>
                <c:ptCount val="8"/>
                <c:pt idx="0">
                  <c:v>76.6329707702869</c:v>
                </c:pt>
                <c:pt idx="1">
                  <c:v>135.769990312911</c:v>
                </c:pt>
                <c:pt idx="2">
                  <c:v>167.943812261707</c:v>
                </c:pt>
                <c:pt idx="3">
                  <c:v>180.218062606205</c:v>
                </c:pt>
                <c:pt idx="4">
                  <c:v>185.624604484392</c:v>
                </c:pt>
                <c:pt idx="5">
                  <c:v>191.193342618923</c:v>
                </c:pt>
                <c:pt idx="6">
                  <c:v>196.929142897491</c:v>
                </c:pt>
                <c:pt idx="7">
                  <c:v>202.837017184416</c:v>
                </c:pt>
              </c:numCache>
            </c:numRef>
          </c:val>
        </c:ser>
        <c:gapWidth val="150"/>
        <c:overlap val="0"/>
        <c:axId val="47885566"/>
        <c:axId val="5447714"/>
      </c:barChart>
      <c:catAx>
        <c:axId val="4788556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5447714"/>
        <c:crosses val="autoZero"/>
        <c:auto val="1"/>
        <c:lblAlgn val="ctr"/>
        <c:lblOffset val="100"/>
        <c:noMultiLvlLbl val="0"/>
      </c:catAx>
      <c:valAx>
        <c:axId val="5447714"/>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4788556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Aptos Narrow"/>
              </a:defRPr>
            </a:pPr>
            <a:r>
              <a:rPr b="1" lang="en-US" sz="1800" spc="-1" strike="noStrike">
                <a:solidFill>
                  <a:srgbClr val="000000"/>
                </a:solidFill>
                <a:latin typeface="Aptos Narrow"/>
              </a:rPr>
              <a:t>Unlevered IRR Sensitivity — Lease Rate ($/kW/mo) × Exit Cap</a:t>
            </a:r>
          </a:p>
        </c:rich>
      </c:tx>
      <c:overlay val="0"/>
      <c:spPr>
        <a:noFill/>
        <a:ln w="0">
          <a:noFill/>
        </a:ln>
      </c:spPr>
    </c:title>
    <c:autoTitleDeleted val="0"/>
    <c:plotArea>
      <c:lineChart>
        <c:grouping val="standard"/>
        <c:varyColors val="0"/>
        <c:ser>
          <c:idx val="0"/>
          <c:order val="0"/>
          <c:tx>
            <c:strRef>
              <c:f>'Investment Pro Forma'!$B$60</c:f>
              <c:strCache>
                <c:ptCount val="1"/>
                <c:pt idx="0">
                  <c:v>5.50%</c:v>
                </c:pt>
              </c:strCache>
            </c:strRef>
          </c:tx>
          <c:spPr>
            <a:solidFill>
              <a:srgbClr val="4472c4"/>
            </a:solidFill>
            <a:ln w="28080">
              <a:solidFill>
                <a:srgbClr val="4472c4"/>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'Investment Pro Forma'!$A$61:$A$65</c:f>
              <c:strCache>
                <c:ptCount val="5"/>
                <c:pt idx="0">
                  <c:v>$140.25</c:v>
                </c:pt>
                <c:pt idx="1">
                  <c:v>$152.63</c:v>
                </c:pt>
                <c:pt idx="2">
                  <c:v>$165.00</c:v>
                </c:pt>
                <c:pt idx="3">
                  <c:v>$177.38</c:v>
                </c:pt>
                <c:pt idx="4">
                  <c:v>$189.75</c:v>
                </c:pt>
              </c:strCache>
            </c:strRef>
          </c:cat>
          <c:val>
            <c:numRef>
              <c:f>'Investment Pro Forma'!$B$61:$B$65</c:f>
              <c:numCache>
                <c:formatCode>0.0%</c:formatCode>
                <c:ptCount val="5"/>
                <c:pt idx="0">
                  <c:v>0.162088149852326</c:v>
                </c:pt>
                <c:pt idx="1">
                  <c:v>0.177776108894367</c:v>
                </c:pt>
                <c:pt idx="2">
                  <c:v>0.192552994672478</c:v>
                </c:pt>
                <c:pt idx="3">
                  <c:v>0.20654589056646</c:v>
                </c:pt>
                <c:pt idx="4">
                  <c:v>0.219856680876239</c:v>
                </c:pt>
              </c:numCache>
            </c:numRef>
          </c:val>
          <c:smooth val="0"/>
        </c:ser>
        <c:ser>
          <c:idx val="1"/>
          <c:order val="1"/>
          <c:tx>
            <c:strRef>
              <c:f>'Investment Pro Forma'!$D$60</c:f>
              <c:strCache>
                <c:ptCount val="1"/>
                <c:pt idx="0">
                  <c:v>6.50%</c:v>
                </c:pt>
              </c:strCache>
            </c:strRef>
          </c:tx>
          <c:spPr>
            <a:solidFill>
              <a:srgbClr val="1b3a4b"/>
            </a:solidFill>
            <a:ln w="28080">
              <a:solidFill>
                <a:srgbClr val="1b3a4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'Investment Pro Forma'!$A$61:$A$65</c:f>
              <c:strCache>
                <c:ptCount val="5"/>
                <c:pt idx="0">
                  <c:v>$140.25</c:v>
                </c:pt>
                <c:pt idx="1">
                  <c:v>$152.63</c:v>
                </c:pt>
                <c:pt idx="2">
                  <c:v>$165.00</c:v>
                </c:pt>
                <c:pt idx="3">
                  <c:v>$177.38</c:v>
                </c:pt>
                <c:pt idx="4">
                  <c:v>$189.75</c:v>
                </c:pt>
              </c:strCache>
            </c:strRef>
          </c:cat>
          <c:val>
            <c:numRef>
              <c:f>'Investment Pro Forma'!$D$61:$D$65</c:f>
              <c:numCache>
                <c:formatCode>0.0%</c:formatCode>
                <c:ptCount val="5"/>
                <c:pt idx="0">
                  <c:v>0.144085702114222</c:v>
                </c:pt>
                <c:pt idx="1">
                  <c:v>0.159699663280857</c:v>
                </c:pt>
                <c:pt idx="2">
                  <c:v>0.174414701484592</c:v>
                </c:pt>
                <c:pt idx="3">
                  <c:v>0.188356159971459</c:v>
                </c:pt>
                <c:pt idx="4">
                  <c:v>0.201624539858219</c:v>
                </c:pt>
              </c:numCache>
            </c:numRef>
          </c:val>
          <c:smooth val="0"/>
        </c:ser>
        <c:ser>
          <c:idx val="2"/>
          <c:order val="2"/>
          <c:tx>
            <c:strRef>
              <c:f>'Investment Pro Forma'!$F$60</c:f>
              <c:strCache>
                <c:ptCount val="1"/>
                <c:pt idx="0">
                  <c:v>7.50%</c:v>
                </c:pt>
              </c:strCache>
            </c:strRef>
          </c:tx>
          <c:spPr>
            <a:solidFill>
              <a:srgbClr val="156082"/>
            </a:solidFill>
            <a:ln w="28080">
              <a:solidFill>
                <a:srgbClr val="156082"/>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'Investment Pro Forma'!$A$61:$A$65</c:f>
              <c:strCache>
                <c:ptCount val="5"/>
                <c:pt idx="0">
                  <c:v>$140.25</c:v>
                </c:pt>
                <c:pt idx="1">
                  <c:v>$152.63</c:v>
                </c:pt>
                <c:pt idx="2">
                  <c:v>$165.00</c:v>
                </c:pt>
                <c:pt idx="3">
                  <c:v>$177.38</c:v>
                </c:pt>
                <c:pt idx="4">
                  <c:v>$189.75</c:v>
                </c:pt>
              </c:strCache>
            </c:strRef>
          </c:cat>
          <c:val>
            <c:numRef>
              <c:f>'Investment Pro Forma'!$F$61:$F$65</c:f>
              <c:numCache>
                <c:formatCode>0.0%</c:formatCode>
                <c:ptCount val="5"/>
                <c:pt idx="0">
                  <c:v>0.129349024329329</c:v>
                </c:pt>
                <c:pt idx="1">
                  <c:v>0.144911127595196</c:v>
                </c:pt>
                <c:pt idx="2">
                  <c:v>0.159584048296427</c:v>
                </c:pt>
                <c:pt idx="3">
                  <c:v>0.17349172575492</c:v>
                </c:pt>
                <c:pt idx="4">
                  <c:v>0.186733545937925</c:v>
                </c:pt>
              </c:numCache>
            </c:numRef>
          </c:val>
          <c:smooth val="0"/>
        </c:ser>
        <c:hiLowLines>
          <c:spPr>
            <a:ln w="0">
              <a:noFill/>
            </a:ln>
          </c:spPr>
        </c:hiLowLines>
        <c:marker val="0"/>
        <c:axId val="1630716"/>
        <c:axId val="94373377"/>
      </c:lineChart>
      <c:catAx>
        <c:axId val="1630716"/>
        <c:scaling>
          <c:orientation val="minMax"/>
        </c:scaling>
        <c:delete val="0"/>
        <c:axPos val="b"/>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94373377"/>
        <c:crosses val="autoZero"/>
        <c:auto val="1"/>
        <c:lblAlgn val="ctr"/>
        <c:lblOffset val="100"/>
        <c:noMultiLvlLbl val="0"/>
      </c:catAx>
      <c:valAx>
        <c:axId val="94373377"/>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163071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Aptos Narrow"/>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Aptos Narrow"/>
              </a:defRPr>
            </a:pPr>
            <a:r>
              <a:rPr b="1" lang="en-US" sz="1800" spc="-1" strike="noStrike">
                <a:solidFill>
                  <a:srgbClr val="000000"/>
                </a:solidFill>
                <a:latin typeface="Aptos Narrow"/>
              </a:rPr>
              <a:t>Cost Variance → Unlevered IRR Impact (bps)</a:t>
            </a:r>
          </a:p>
        </c:rich>
      </c:tx>
      <c:overlay val="0"/>
      <c:spPr>
        <a:noFill/>
        <a:ln w="0">
          <a:noFill/>
        </a:ln>
      </c:spPr>
    </c:title>
    <c:autoTitleDeleted val="0"/>
    <c:plotArea>
      <c:barChart>
        <c:barDir val="col"/>
        <c:grouping val="clustered"/>
        <c:varyColors val="0"/>
        <c:ser>
          <c:idx val="0"/>
          <c:order val="0"/>
          <c:spPr>
            <a:solidFill>
              <a:srgbClr val="4472c4"/>
            </a:solidFill>
            <a:ln w="0">
              <a:solidFill>
                <a:srgbClr val="4472c4"/>
              </a:solid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'Variance-to-Return'!$A$22:$A$27</c:f>
              <c:strCache>
                <c:ptCount val="6"/>
                <c:pt idx="0">
                  <c:v>Cost −5%</c:v>
                </c:pt>
                <c:pt idx="1">
                  <c:v>Cost −2.5%</c:v>
                </c:pt>
                <c:pt idx="2">
                  <c:v>Baseline (0)</c:v>
                </c:pt>
                <c:pt idx="3">
                  <c:v>Cost +2.5%</c:v>
                </c:pt>
                <c:pt idx="4">
                  <c:v>Cost +5%</c:v>
                </c:pt>
                <c:pt idx="5">
                  <c:v>Cost +10%</c:v>
                </c:pt>
              </c:strCache>
            </c:strRef>
          </c:cat>
          <c:val>
            <c:numRef>
              <c:f>'Variance-to-Return'!$G$22:$G$27</c:f>
              <c:numCache>
                <c:formatCode>\+#,##0" bps";\(#,##0") bps";0" bps"</c:formatCode>
                <c:ptCount val="6"/>
                <c:pt idx="0">
                  <c:v>94.6587514699032</c:v>
                </c:pt>
                <c:pt idx="1">
                  <c:v>46.5468417412177</c:v>
                </c:pt>
                <c:pt idx="2">
                  <c:v>0</c:v>
                </c:pt>
                <c:pt idx="3">
                  <c:v>-45.0730162862389</c:v>
                </c:pt>
                <c:pt idx="4">
                  <c:v>-88.755932094087</c:v>
                </c:pt>
                <c:pt idx="5">
                  <c:v>-172.253414871417</c:v>
                </c:pt>
              </c:numCache>
            </c:numRef>
          </c:val>
        </c:ser>
        <c:gapWidth val="150"/>
        <c:overlap val="0"/>
        <c:axId val="96428836"/>
        <c:axId val="33030118"/>
      </c:barChart>
      <c:catAx>
        <c:axId val="9642883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33030118"/>
        <c:crosses val="autoZero"/>
        <c:auto val="1"/>
        <c:lblAlgn val="ctr"/>
        <c:lblOffset val="100"/>
        <c:noMultiLvlLbl val="0"/>
      </c:catAx>
      <c:valAx>
        <c:axId val="33030118"/>
        <c:scaling>
          <c:orientation val="minMax"/>
        </c:scaling>
        <c:delete val="0"/>
        <c:axPos val="l"/>
        <c:majorGridlines>
          <c:spPr>
            <a:ln w="0">
              <a:solidFill>
                <a:srgbClr val="b3b3b3"/>
              </a:solidFill>
            </a:ln>
          </c:spPr>
        </c:majorGridlines>
        <c:numFmt formatCode="\+#,##0;\-#,##0"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9642883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Aptos Narrow"/>
              </a:defRPr>
            </a:pPr>
            <a:r>
              <a:rPr b="1" lang="en-US" sz="1800" spc="-1" strike="noStrike">
                <a:solidFill>
                  <a:srgbClr val="000000"/>
                </a:solidFill>
                <a:latin typeface="Aptos Narrow"/>
              </a:rPr>
              <a:t>Capital Stack — Sources ($M)</a:t>
            </a:r>
          </a:p>
        </c:rich>
      </c:tx>
      <c:overlay val="0"/>
      <c:spPr>
        <a:noFill/>
        <a:ln w="0">
          <a:noFill/>
        </a:ln>
      </c:spPr>
    </c:title>
    <c:autoTitleDeleted val="0"/>
    <c:plotArea>
      <c:barChart>
        <c:barDir val="bar"/>
        <c:grouping val="clustered"/>
        <c:varyColors val="0"/>
        <c:ser>
          <c:idx val="0"/>
          <c:order val="0"/>
          <c:spPr>
            <a:solidFill>
              <a:srgbClr val="1b3a4b"/>
            </a:solidFill>
            <a:ln w="0">
              <a:noFill/>
            </a:ln>
          </c:spPr>
          <c:invertIfNegative val="0"/>
          <c:dLbls>
            <c:numFmt formatCode="\$#,##0\M" sourceLinked="1"/>
            <c:txPr>
              <a:bodyPr wrap="square"/>
              <a:lstStyle/>
              <a:p>
                <a:pPr>
                  <a:defRPr b="1" sz="800" spc="-1" strike="noStrike">
                    <a:solidFill>
                      <a:srgbClr val="000000"/>
                    </a:solidFill>
                    <a:latin typeface="Arial"/>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_ChartData!$G$49:$G$50</c:f>
              <c:strCache>
                <c:ptCount val="2"/>
                <c:pt idx="0">
                  <c:v>Senior debt</c:v>
                </c:pt>
                <c:pt idx="1">
                  <c:v>Sponsor equity</c:v>
                </c:pt>
              </c:strCache>
            </c:strRef>
          </c:cat>
          <c:val>
            <c:numRef>
              <c:f>_ChartData!$H$49:$H$50</c:f>
              <c:numCache>
                <c:formatCode>General</c:formatCode>
                <c:ptCount val="2"/>
                <c:pt idx="0">
                  <c:v>907.724268184781</c:v>
                </c:pt>
                <c:pt idx="1">
                  <c:v>605.149512123187</c:v>
                </c:pt>
              </c:numCache>
            </c:numRef>
          </c:val>
        </c:ser>
        <c:gapWidth val="150"/>
        <c:overlap val="0"/>
        <c:axId val="29130474"/>
        <c:axId val="54032530"/>
      </c:barChart>
      <c:catAx>
        <c:axId val="2913047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54032530"/>
        <c:crosses val="autoZero"/>
        <c:auto val="1"/>
        <c:lblAlgn val="ctr"/>
        <c:lblOffset val="100"/>
        <c:noMultiLvlLbl val="0"/>
      </c:catAx>
      <c:valAx>
        <c:axId val="54032530"/>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2913047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Aptos Narrow"/>
              </a:defRPr>
            </a:pPr>
            <a:r>
              <a:rPr b="1" lang="en-US" sz="1800" spc="-1" strike="noStrike">
                <a:solidFill>
                  <a:srgbClr val="000000"/>
                </a:solidFill>
                <a:latin typeface="Aptos Narrow"/>
              </a:rPr>
              <a:t>Unlevered vs Levered IRR</a:t>
            </a:r>
          </a:p>
        </c:rich>
      </c:tx>
      <c:overlay val="0"/>
      <c:spPr>
        <a:noFill/>
        <a:ln w="0">
          <a:noFill/>
        </a:ln>
      </c:spPr>
    </c:title>
    <c:autoTitleDeleted val="0"/>
    <c:plotArea>
      <c:barChart>
        <c:barDir val="col"/>
        <c:grouping val="clustered"/>
        <c:varyColors val="0"/>
        <c:ser>
          <c:idx val="0"/>
          <c:order val="0"/>
          <c:spPr>
            <a:solidFill>
              <a:srgbClr val="4472c4"/>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_ChartData!$G$53:$G$54</c:f>
              <c:strCache>
                <c:ptCount val="2"/>
                <c:pt idx="0">
                  <c:v>Unlevered IRR</c:v>
                </c:pt>
                <c:pt idx="1">
                  <c:v>Levered equity IRR</c:v>
                </c:pt>
              </c:strCache>
            </c:strRef>
          </c:cat>
          <c:val>
            <c:numRef>
              <c:f>_ChartData!$H$53:$H$54</c:f>
              <c:numCache>
                <c:formatCode>0.0%</c:formatCode>
                <c:ptCount val="2"/>
                <c:pt idx="0">
                  <c:v>0.174414701484592</c:v>
                </c:pt>
                <c:pt idx="1">
                  <c:v>0.266511265789023</c:v>
                </c:pt>
              </c:numCache>
            </c:numRef>
          </c:val>
        </c:ser>
        <c:gapWidth val="150"/>
        <c:overlap val="0"/>
        <c:axId val="56648767"/>
        <c:axId val="78915799"/>
      </c:barChart>
      <c:catAx>
        <c:axId val="5664876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78915799"/>
        <c:crosses val="autoZero"/>
        <c:auto val="1"/>
        <c:lblAlgn val="ctr"/>
        <c:lblOffset val="100"/>
        <c:noMultiLvlLbl val="0"/>
      </c:catAx>
      <c:valAx>
        <c:axId val="78915799"/>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5664876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Aptos Narrow"/>
              </a:defRPr>
            </a:pPr>
            <a:r>
              <a:rPr b="0" lang="en-US" sz="1400" spc="-1" strike="noStrike">
                <a:solidFill>
                  <a:srgbClr val="595959"/>
                </a:solidFill>
                <a:latin typeface="Aptos Narrow"/>
              </a:rPr>
              <a:t>Capital Cost by Design Scenario</a:t>
            </a:r>
          </a:p>
        </c:rich>
      </c:tx>
      <c:overlay val="0"/>
      <c:spPr>
        <a:noFill/>
        <a:ln w="0">
          <a:noFill/>
        </a:ln>
      </c:spPr>
    </c:title>
    <c:autoTitleDeleted val="0"/>
    <c:plotArea>
      <c:barChart>
        <c:barDir val="col"/>
        <c:grouping val="clustered"/>
        <c:varyColors val="0"/>
        <c:ser>
          <c:idx val="0"/>
          <c:order val="0"/>
          <c:spPr>
            <a:solidFill>
              <a:srgbClr val="156082"/>
            </a:solidFill>
            <a:ln w="0">
              <a:noFill/>
            </a:ln>
          </c:spPr>
          <c:invertIfNegative val="0"/>
          <c:dLbls>
            <c:numFmt formatCode="\$#,##0,,\M" sourceLinked="1"/>
            <c:txPr>
              <a:bodyPr wrap="square"/>
              <a:lstStyle/>
              <a:p>
                <a:pPr>
                  <a:defRPr b="1" sz="800" spc="-1" strike="noStrike">
                    <a:solidFill>
                      <a:srgbClr val="404040"/>
                    </a:solidFill>
                    <a:latin typeface="Aptos Narrow"/>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_ChartData!$G$24:$G$30</c:f>
              <c:strCache>
                <c:ptCount val="7"/>
                <c:pt idx="0">
                  <c:v>Current (Base)</c:v>
                </c:pt>
                <c:pt idx="1">
                  <c:v>Hyperscale (Hybrid)</c:v>
                </c:pt>
                <c:pt idx="2">
                  <c:v>Air-Cooled</c:v>
                </c:pt>
                <c:pt idx="3">
                  <c:v>AI / HPC (Liquid)</c:v>
                </c:pt>
                <c:pt idx="4">
                  <c:v>Enterprise</c:v>
                </c:pt>
                <c:pt idx="5">
                  <c:v>Colocation</c:v>
                </c:pt>
                <c:pt idx="6">
                  <c:v>Edge</c:v>
                </c:pt>
              </c:strCache>
            </c:strRef>
          </c:cat>
          <c:val>
            <c:numRef>
              <c:f>_ChartData!$H$24:$H$30</c:f>
              <c:numCache>
                <c:formatCode>\$#,##0,,\M</c:formatCode>
                <c:ptCount val="7"/>
                <c:pt idx="0">
                  <c:v>1088341827.06739</c:v>
                </c:pt>
                <c:pt idx="1">
                  <c:v>1758235505.19881</c:v>
                </c:pt>
                <c:pt idx="2">
                  <c:v>1676758035.89921</c:v>
                </c:pt>
                <c:pt idx="3">
                  <c:v>3019287023.61462</c:v>
                </c:pt>
                <c:pt idx="4">
                  <c:v>1855155273.89921</c:v>
                </c:pt>
                <c:pt idx="5">
                  <c:v>1626646451.89921</c:v>
                </c:pt>
                <c:pt idx="6">
                  <c:v>1058453752.01668</c:v>
                </c:pt>
              </c:numCache>
            </c:numRef>
          </c:val>
        </c:ser>
        <c:gapWidth val="219"/>
        <c:overlap val="-27"/>
        <c:axId val="57196611"/>
        <c:axId val="4960074"/>
      </c:barChart>
      <c:catAx>
        <c:axId val="5719661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Aptos Narrow"/>
              </a:defRPr>
            </a:pPr>
          </a:p>
        </c:txPr>
        <c:crossAx val="4960074"/>
        <c:crosses val="autoZero"/>
        <c:auto val="1"/>
        <c:lblAlgn val="ctr"/>
        <c:lblOffset val="100"/>
        <c:noMultiLvlLbl val="0"/>
      </c:catAx>
      <c:valAx>
        <c:axId val="4960074"/>
        <c:scaling>
          <c:orientation val="minMax"/>
          <c:max val="2600000000"/>
          <c:min val="0"/>
        </c:scaling>
        <c:delete val="0"/>
        <c:axPos val="l"/>
        <c:majorGridlines>
          <c:spPr>
            <a:ln w="9360">
              <a:solidFill>
                <a:srgbClr val="d9d9d9"/>
              </a:solidFill>
              <a:round/>
            </a:ln>
          </c:spPr>
        </c:majorGridlines>
        <c:numFmt formatCode="\$#,##0,,\M" sourceLinked="0"/>
        <c:majorTickMark val="none"/>
        <c:minorTickMark val="none"/>
        <c:tickLblPos val="nextTo"/>
        <c:spPr>
          <a:ln w="12600">
            <a:noFill/>
          </a:ln>
        </c:spPr>
        <c:txPr>
          <a:bodyPr/>
          <a:lstStyle/>
          <a:p>
            <a:pPr>
              <a:defRPr b="0" sz="900" spc="-1" strike="noStrike">
                <a:solidFill>
                  <a:srgbClr val="595959"/>
                </a:solidFill>
                <a:latin typeface="Aptos Narrow"/>
              </a:defRPr>
            </a:pPr>
          </a:p>
        </c:txPr>
        <c:crossAx val="5719661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200" spc="-1" strike="noStrike">
                <a:solidFill>
                  <a:srgbClr val="1b3a4b"/>
                </a:solidFill>
                <a:latin typeface="Aptos Narrow"/>
              </a:defRPr>
            </a:pPr>
            <a:r>
              <a:rPr b="1" lang="en-US" sz="1200" spc="-1" strike="noStrike">
                <a:solidFill>
                  <a:srgbClr val="1b3a4b"/>
                </a:solidFill>
                <a:latin typeface="Aptos Narrow"/>
              </a:rPr>
              <a:t>Construction Schedule — Milestone Completion Dates</a:t>
            </a:r>
          </a:p>
        </c:rich>
      </c:tx>
      <c:overlay val="0"/>
      <c:spPr>
        <a:noFill/>
        <a:ln w="0">
          <a:noFill/>
        </a:ln>
      </c:spPr>
    </c:title>
    <c:autoTitleDeleted val="0"/>
    <c:plotArea>
      <c:barChart>
        <c:barDir val="bar"/>
        <c:grouping val="clustered"/>
        <c:varyColors val="0"/>
        <c:ser>
          <c:idx val="0"/>
          <c:order val="0"/>
          <c:tx>
            <c:strRef>
              <c:f>_ChartData!$K$1</c:f>
              <c:strCache>
                <c:ptCount val="1"/>
                <c:pt idx="0">
                  <c:v>Completion</c:v>
                </c:pt>
              </c:strCache>
            </c:strRef>
          </c:tx>
          <c:spPr>
            <a:solidFill>
              <a:srgbClr val="156082"/>
            </a:solidFill>
            <a:ln w="0">
              <a:noFill/>
            </a:ln>
          </c:spPr>
          <c:invertIfNegative val="0"/>
          <c:dLbls>
            <c:numFmt formatCode="mmm\-yy" sourceLinked="1"/>
            <c:txPr>
              <a:bodyPr wrap="square"/>
              <a:lstStyle/>
              <a:p>
                <a:pPr>
                  <a:defRPr b="0" sz="800" spc="-1" strike="noStrike">
                    <a:solidFill>
                      <a:srgbClr val="1b3a4b"/>
                    </a:solidFill>
                    <a:latin typeface="Aptos Narrow"/>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_ChartData!$J$2:$J$16</c:f>
              <c:strCache>
                <c:ptCount val="15"/>
                <c:pt idx="0">
                  <c:v>Site Opening / Go-Live</c:v>
                </c:pt>
                <c:pt idx="1">
                  <c:v>Certificate of Occupancy</c:v>
                </c:pt>
                <c:pt idx="2">
                  <c:v>Substantial Completion</c:v>
                </c:pt>
                <c:pt idx="3">
                  <c:v>Commissioning Complete</c:v>
                </c:pt>
                <c:pt idx="4">
                  <c:v>Mechanical Water-On</c:v>
                </c:pt>
                <c:pt idx="5">
                  <c:v>Power-On / Energization</c:v>
                </c:pt>
                <c:pt idx="6">
                  <c:v>Building Weather-Tight</c:v>
                </c:pt>
                <c:pt idx="7">
                  <c:v>Building Dried-In</c:v>
                </c:pt>
                <c:pt idx="8">
                  <c:v>All Equipment On Site</c:v>
                </c:pt>
                <c:pt idx="9">
                  <c:v>Construction Start (NTP)</c:v>
                </c:pt>
                <c:pt idx="10">
                  <c:v>Long-Lead Release (PO)</c:v>
                </c:pt>
                <c:pt idx="11">
                  <c:v>Design Complete / IFC</c:v>
                </c:pt>
                <c:pt idx="12">
                  <c:v>Building Permit Issuance</c:v>
                </c:pt>
                <c:pt idx="13">
                  <c:v>Land Acquisition / Closing</c:v>
                </c:pt>
                <c:pt idx="14">
                  <c:v>Site Selection Decision</c:v>
                </c:pt>
              </c:strCache>
            </c:strRef>
          </c:cat>
          <c:val>
            <c:numRef>
              <c:f>_ChartData!$K$2:$K$16</c:f>
              <c:numCache>
                <c:formatCode>mm/dd/yyyy</c:formatCode>
                <c:ptCount val="15"/>
                <c:pt idx="0">
                  <c:v>47173</c:v>
                </c:pt>
                <c:pt idx="1">
                  <c:v>47158</c:v>
                </c:pt>
                <c:pt idx="2">
                  <c:v>47138</c:v>
                </c:pt>
                <c:pt idx="3">
                  <c:v>47133</c:v>
                </c:pt>
                <c:pt idx="4">
                  <c:v>47018</c:v>
                </c:pt>
                <c:pt idx="5">
                  <c:v>46988</c:v>
                </c:pt>
                <c:pt idx="6">
                  <c:v>46673</c:v>
                </c:pt>
                <c:pt idx="7">
                  <c:v>46628</c:v>
                </c:pt>
                <c:pt idx="8">
                  <c:v>46323</c:v>
                </c:pt>
                <c:pt idx="9">
                  <c:v>46143</c:v>
                </c:pt>
                <c:pt idx="10">
                  <c:v>46083</c:v>
                </c:pt>
                <c:pt idx="11">
                  <c:v>46173</c:v>
                </c:pt>
                <c:pt idx="12">
                  <c:v>46143</c:v>
                </c:pt>
                <c:pt idx="13">
                  <c:v>45858</c:v>
                </c:pt>
                <c:pt idx="14">
                  <c:v>45813</c:v>
                </c:pt>
              </c:numCache>
            </c:numRef>
          </c:val>
        </c:ser>
        <c:gapWidth val="182"/>
        <c:overlap val="0"/>
        <c:axId val="27119253"/>
        <c:axId val="71097942"/>
      </c:barChart>
      <c:catAx>
        <c:axId val="2711925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800" spc="-1" strike="noStrike">
                <a:solidFill>
                  <a:srgbClr val="595959"/>
                </a:solidFill>
                <a:latin typeface="Aptos Narrow"/>
              </a:defRPr>
            </a:pPr>
          </a:p>
        </c:txPr>
        <c:crossAx val="71097942"/>
        <c:crosses val="autoZero"/>
        <c:auto val="1"/>
        <c:lblAlgn val="ctr"/>
        <c:lblOffset val="100"/>
        <c:noMultiLvlLbl val="0"/>
      </c:catAx>
      <c:valAx>
        <c:axId val="71097942"/>
        <c:scaling>
          <c:orientation val="minMax"/>
          <c:max val="47300"/>
          <c:min val="45658"/>
        </c:scaling>
        <c:delete val="0"/>
        <c:axPos val="l"/>
        <c:majorGridlines>
          <c:spPr>
            <a:ln w="9360">
              <a:solidFill>
                <a:srgbClr val="d9d9d9"/>
              </a:solidFill>
              <a:round/>
            </a:ln>
          </c:spPr>
        </c:majorGridlines>
        <c:numFmt formatCode="mmm\-yy" sourceLinked="0"/>
        <c:majorTickMark val="none"/>
        <c:minorTickMark val="none"/>
        <c:tickLblPos val="nextTo"/>
        <c:spPr>
          <a:ln w="12600">
            <a:noFill/>
          </a:ln>
        </c:spPr>
        <c:txPr>
          <a:bodyPr/>
          <a:lstStyle/>
          <a:p>
            <a:pPr>
              <a:defRPr b="0" sz="800" spc="-1" strike="noStrike">
                <a:solidFill>
                  <a:srgbClr val="595959"/>
                </a:solidFill>
                <a:latin typeface="Aptos Narrow"/>
              </a:defRPr>
            </a:pPr>
          </a:p>
        </c:txPr>
        <c:crossAx val="2711925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100" spc="-1" strike="noStrike">
                <a:solidFill>
                  <a:srgbClr val="0e2a3a"/>
                </a:solidFill>
                <a:latin typeface="Aptos Narrow"/>
                <a:ea typeface="Aptos Narrow"/>
              </a:defRPr>
            </a:pPr>
            <a:r>
              <a:rPr b="1" lang="en-US" sz="1100" spc="-1" strike="noStrike">
                <a:solidFill>
                  <a:srgbClr val="0e2a3a"/>
                </a:solidFill>
                <a:latin typeface="Aptos Narrow"/>
                <a:ea typeface="Aptos Narrow"/>
              </a:rPr>
              <a:t>Contingency Drawdown vs. Thresholds</a:t>
            </a:r>
          </a:p>
        </c:rich>
      </c:tx>
      <c:overlay val="0"/>
      <c:spPr>
        <a:noFill/>
        <a:ln w="0">
          <a:noFill/>
        </a:ln>
      </c:spPr>
    </c:title>
    <c:autoTitleDeleted val="0"/>
    <c:plotArea>
      <c:lineChart>
        <c:grouping val="standard"/>
        <c:varyColors val="0"/>
        <c:ser>
          <c:idx val="0"/>
          <c:order val="0"/>
          <c:tx>
            <c:strRef>
              <c:f>'Change Order Log'!$K$30</c:f>
              <c:strCache>
                <c:ptCount val="1"/>
                <c:pt idx="0">
                  <c:v>Remaining</c:v>
                </c:pt>
              </c:strCache>
            </c:strRef>
          </c:tx>
          <c:spPr>
            <a:solidFill>
              <a:srgbClr val="0e2a3a"/>
            </a:solidFill>
            <a:ln cap="rnd" w="31680">
              <a:solidFill>
                <a:srgbClr val="0e2a3a"/>
              </a:solidFill>
              <a:round/>
            </a:ln>
          </c:spPr>
          <c:marker>
            <c:symbol val="none"/>
          </c:marker>
          <c:dLbls>
            <c:txPr>
              <a:bodyPr wrap="square"/>
              <a:lstStyle/>
              <a:p>
                <a:pPr>
                  <a:defRPr b="0" sz="1000" spc="-1" strike="noStrike">
                    <a:solidFill>
                      <a:srgbClr val="000000"/>
                    </a:solidFill>
                    <a:latin typeface="Aptos Narrow"/>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'Change Order Log'!$J$31:$J$41</c:f>
              <c:strCache>
                <c:ptCount val="11"/>
                <c:pt idx="0">
                  <c:v>Start</c:v>
                </c:pt>
                <c:pt idx="1">
                  <c:v>CO-001</c:v>
                </c:pt>
                <c:pt idx="2">
                  <c:v>CO-002</c:v>
                </c:pt>
                <c:pt idx="3">
                  <c:v>CO-003</c:v>
                </c:pt>
                <c:pt idx="4">
                  <c:v>CO-004</c:v>
                </c:pt>
                <c:pt idx="5">
                  <c:v>CO-005</c:v>
                </c:pt>
                <c:pt idx="6">
                  <c:v>CO-006</c:v>
                </c:pt>
                <c:pt idx="7">
                  <c:v>CO-007</c:v>
                </c:pt>
                <c:pt idx="8">
                  <c:v>CO-008</c:v>
                </c:pt>
                <c:pt idx="9">
                  <c:v>CO-009</c:v>
                </c:pt>
                <c:pt idx="10">
                  <c:v>CO-010</c:v>
                </c:pt>
              </c:strCache>
            </c:strRef>
          </c:cat>
          <c:val>
            <c:numRef>
              <c:f>'Change Order Log'!$K$31:$K$41</c:f>
              <c:numCache>
                <c:formatCode>\$#,##0</c:formatCode>
                <c:ptCount val="11"/>
                <c:pt idx="0">
                  <c:v>98940166.0970357</c:v>
                </c:pt>
                <c:pt idx="1">
                  <c:v>90440166.0970357</c:v>
                </c:pt>
                <c:pt idx="2">
                  <c:v>87240166.0970357</c:v>
                </c:pt>
                <c:pt idx="3">
                  <c:v>85140166.0970357</c:v>
                </c:pt>
                <c:pt idx="4">
                  <c:v>84240166.0970357</c:v>
                </c:pt>
                <c:pt idx="5">
                  <c:v>84240166.0970357</c:v>
                </c:pt>
                <c:pt idx="6">
                  <c:v>82440166.0970357</c:v>
                </c:pt>
                <c:pt idx="7">
                  <c:v>81140166.0970357</c:v>
                </c:pt>
                <c:pt idx="8">
                  <c:v>81140166.0970357</c:v>
                </c:pt>
                <c:pt idx="9">
                  <c:v>80040166.0970357</c:v>
                </c:pt>
                <c:pt idx="10">
                  <c:v>79440166.0970357</c:v>
                </c:pt>
              </c:numCache>
            </c:numRef>
          </c:val>
          <c:smooth val="0"/>
        </c:ser>
        <c:ser>
          <c:idx val="1"/>
          <c:order val="1"/>
          <c:tx>
            <c:strRef>
              <c:f>'Change Order Log'!$L$30</c:f>
              <c:strCache>
                <c:ptCount val="1"/>
                <c:pt idx="0">
                  <c:v>Monitor (50%)</c:v>
                </c:pt>
              </c:strCache>
            </c:strRef>
          </c:tx>
          <c:spPr>
            <a:solidFill>
              <a:srgbClr val="c9a961"/>
            </a:solidFill>
            <a:ln cap="rnd" w="28440">
              <a:solidFill>
                <a:srgbClr val="c9a961"/>
              </a:solidFill>
              <a:prstDash val="lgDash"/>
              <a:round/>
            </a:ln>
          </c:spPr>
          <c:marker>
            <c:symbol val="none"/>
          </c:marker>
          <c:dLbls>
            <c:txPr>
              <a:bodyPr wrap="square"/>
              <a:lstStyle/>
              <a:p>
                <a:pPr>
                  <a:defRPr b="0" sz="1000" spc="-1" strike="noStrike">
                    <a:solidFill>
                      <a:srgbClr val="000000"/>
                    </a:solidFill>
                    <a:latin typeface="Aptos Narrow"/>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'Change Order Log'!$J$31:$J$41</c:f>
              <c:strCache>
                <c:ptCount val="11"/>
                <c:pt idx="0">
                  <c:v>Start</c:v>
                </c:pt>
                <c:pt idx="1">
                  <c:v>CO-001</c:v>
                </c:pt>
                <c:pt idx="2">
                  <c:v>CO-002</c:v>
                </c:pt>
                <c:pt idx="3">
                  <c:v>CO-003</c:v>
                </c:pt>
                <c:pt idx="4">
                  <c:v>CO-004</c:v>
                </c:pt>
                <c:pt idx="5">
                  <c:v>CO-005</c:v>
                </c:pt>
                <c:pt idx="6">
                  <c:v>CO-006</c:v>
                </c:pt>
                <c:pt idx="7">
                  <c:v>CO-007</c:v>
                </c:pt>
                <c:pt idx="8">
                  <c:v>CO-008</c:v>
                </c:pt>
                <c:pt idx="9">
                  <c:v>CO-009</c:v>
                </c:pt>
                <c:pt idx="10">
                  <c:v>CO-010</c:v>
                </c:pt>
              </c:strCache>
            </c:strRef>
          </c:cat>
          <c:val>
            <c:numRef>
              <c:f>'Change Order Log'!$L$31:$L$41</c:f>
              <c:numCache>
                <c:formatCode>\$#,##0</c:formatCode>
                <c:ptCount val="11"/>
                <c:pt idx="0">
                  <c:v>49470083.0485178</c:v>
                </c:pt>
                <c:pt idx="1">
                  <c:v>49470083.0485178</c:v>
                </c:pt>
                <c:pt idx="2">
                  <c:v>49470083.0485178</c:v>
                </c:pt>
                <c:pt idx="3">
                  <c:v>49470083.0485178</c:v>
                </c:pt>
                <c:pt idx="4">
                  <c:v>49470083.0485178</c:v>
                </c:pt>
                <c:pt idx="5">
                  <c:v>49470083.0485178</c:v>
                </c:pt>
                <c:pt idx="6">
                  <c:v>49470083.0485178</c:v>
                </c:pt>
                <c:pt idx="7">
                  <c:v>49470083.0485178</c:v>
                </c:pt>
                <c:pt idx="8">
                  <c:v>49470083.0485178</c:v>
                </c:pt>
                <c:pt idx="9">
                  <c:v>49470083.0485178</c:v>
                </c:pt>
                <c:pt idx="10">
                  <c:v>49470083.0485178</c:v>
                </c:pt>
              </c:numCache>
            </c:numRef>
          </c:val>
          <c:smooth val="0"/>
        </c:ser>
        <c:ser>
          <c:idx val="2"/>
          <c:order val="2"/>
          <c:tx>
            <c:strRef>
              <c:f>'Change Order Log'!$M$30</c:f>
              <c:strCache>
                <c:ptCount val="1"/>
                <c:pt idx="0">
                  <c:v>Critical (20%)</c:v>
                </c:pt>
              </c:strCache>
            </c:strRef>
          </c:tx>
          <c:spPr>
            <a:solidFill>
              <a:srgbClr val="c0392b"/>
            </a:solidFill>
            <a:ln cap="rnd" w="28440">
              <a:solidFill>
                <a:srgbClr val="c0392b"/>
              </a:solidFill>
              <a:prstDash val="lgDash"/>
              <a:round/>
            </a:ln>
          </c:spPr>
          <c:marker>
            <c:symbol val="none"/>
          </c:marker>
          <c:dLbls>
            <c:txPr>
              <a:bodyPr wrap="square"/>
              <a:lstStyle/>
              <a:p>
                <a:pPr>
                  <a:defRPr b="0" sz="1000" spc="-1" strike="noStrike">
                    <a:solidFill>
                      <a:srgbClr val="000000"/>
                    </a:solidFill>
                    <a:latin typeface="Aptos Narrow"/>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'Change Order Log'!$J$31:$J$41</c:f>
              <c:strCache>
                <c:ptCount val="11"/>
                <c:pt idx="0">
                  <c:v>Start</c:v>
                </c:pt>
                <c:pt idx="1">
                  <c:v>CO-001</c:v>
                </c:pt>
                <c:pt idx="2">
                  <c:v>CO-002</c:v>
                </c:pt>
                <c:pt idx="3">
                  <c:v>CO-003</c:v>
                </c:pt>
                <c:pt idx="4">
                  <c:v>CO-004</c:v>
                </c:pt>
                <c:pt idx="5">
                  <c:v>CO-005</c:v>
                </c:pt>
                <c:pt idx="6">
                  <c:v>CO-006</c:v>
                </c:pt>
                <c:pt idx="7">
                  <c:v>CO-007</c:v>
                </c:pt>
                <c:pt idx="8">
                  <c:v>CO-008</c:v>
                </c:pt>
                <c:pt idx="9">
                  <c:v>CO-009</c:v>
                </c:pt>
                <c:pt idx="10">
                  <c:v>CO-010</c:v>
                </c:pt>
              </c:strCache>
            </c:strRef>
          </c:cat>
          <c:val>
            <c:numRef>
              <c:f>'Change Order Log'!$M$31:$M$41</c:f>
              <c:numCache>
                <c:formatCode>\$#,##0</c:formatCode>
                <c:ptCount val="11"/>
                <c:pt idx="0">
                  <c:v>19788033.2194071</c:v>
                </c:pt>
                <c:pt idx="1">
                  <c:v>19788033.2194071</c:v>
                </c:pt>
                <c:pt idx="2">
                  <c:v>19788033.2194071</c:v>
                </c:pt>
                <c:pt idx="3">
                  <c:v>19788033.2194071</c:v>
                </c:pt>
                <c:pt idx="4">
                  <c:v>19788033.2194071</c:v>
                </c:pt>
                <c:pt idx="5">
                  <c:v>19788033.2194071</c:v>
                </c:pt>
                <c:pt idx="6">
                  <c:v>19788033.2194071</c:v>
                </c:pt>
                <c:pt idx="7">
                  <c:v>19788033.2194071</c:v>
                </c:pt>
                <c:pt idx="8">
                  <c:v>19788033.2194071</c:v>
                </c:pt>
                <c:pt idx="9">
                  <c:v>19788033.2194071</c:v>
                </c:pt>
                <c:pt idx="10">
                  <c:v>19788033.2194071</c:v>
                </c:pt>
              </c:numCache>
            </c:numRef>
          </c:val>
          <c:smooth val="0"/>
        </c:ser>
        <c:hiLowLines>
          <c:spPr>
            <a:ln w="0">
              <a:noFill/>
            </a:ln>
          </c:spPr>
        </c:hiLowLines>
        <c:marker val="0"/>
        <c:axId val="25688788"/>
        <c:axId val="78467875"/>
      </c:lineChart>
      <c:catAx>
        <c:axId val="25688788"/>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800" spc="-1" strike="noStrike">
                <a:solidFill>
                  <a:srgbClr val="595959"/>
                </a:solidFill>
                <a:latin typeface="Aptos Narrow"/>
                <a:ea typeface="Aptos Narrow"/>
              </a:defRPr>
            </a:pPr>
          </a:p>
        </c:txPr>
        <c:crossAx val="78467875"/>
        <c:crosses val="autoZero"/>
        <c:auto val="1"/>
        <c:lblAlgn val="ctr"/>
        <c:lblOffset val="100"/>
        <c:noMultiLvlLbl val="0"/>
      </c:catAx>
      <c:valAx>
        <c:axId val="78467875"/>
        <c:scaling>
          <c:orientation val="minMax"/>
        </c:scaling>
        <c:delete val="0"/>
        <c:axPos val="l"/>
        <c:majorGridlines>
          <c:spPr>
            <a:ln w="9360">
              <a:solidFill>
                <a:srgbClr val="d9d9d9"/>
              </a:solidFill>
              <a:round/>
            </a:ln>
          </c:spPr>
        </c:majorGridlines>
        <c:numFmt formatCode="\$#,##0,,\M" sourceLinked="0"/>
        <c:majorTickMark val="none"/>
        <c:minorTickMark val="none"/>
        <c:tickLblPos val="nextTo"/>
        <c:spPr>
          <a:ln w="12600">
            <a:noFill/>
          </a:ln>
        </c:spPr>
        <c:txPr>
          <a:bodyPr/>
          <a:lstStyle/>
          <a:p>
            <a:pPr>
              <a:defRPr b="0" sz="800" spc="-1" strike="noStrike">
                <a:solidFill>
                  <a:srgbClr val="595959"/>
                </a:solidFill>
                <a:latin typeface="Aptos Narrow"/>
                <a:ea typeface="Aptos Narrow"/>
              </a:defRPr>
            </a:pPr>
          </a:p>
        </c:txPr>
        <c:crossAx val="25688788"/>
        <c:crosses val="autoZero"/>
        <c:crossBetween val="between"/>
      </c:valAx>
      <c:spPr>
        <a:noFill/>
        <a:ln w="0">
          <a:noFill/>
        </a:ln>
      </c:spPr>
    </c:plotArea>
    <c:legend>
      <c:legendPos val="b"/>
      <c:overlay val="0"/>
      <c:spPr>
        <a:noFill/>
        <a:ln w="0">
          <a:noFill/>
        </a:ln>
      </c:spPr>
      <c:txPr>
        <a:bodyPr/>
        <a:lstStyle/>
        <a:p>
          <a:pPr>
            <a:defRPr b="0" sz="800" spc="-1" strike="noStrike">
              <a:solidFill>
                <a:srgbClr val="595959"/>
              </a:solidFill>
              <a:latin typeface="Aptos Narrow"/>
              <a:ea typeface="Aptos Narrow"/>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100" spc="-1" strike="noStrike">
                <a:solidFill>
                  <a:srgbClr val="0e2a3a"/>
                </a:solidFill>
                <a:latin typeface="Aptos Narrow"/>
                <a:ea typeface="Aptos Narrow"/>
              </a:defRPr>
            </a:pPr>
            <a:r>
              <a:rPr b="1" lang="en-US" sz="1100" spc="-1" strike="noStrike">
                <a:solidFill>
                  <a:srgbClr val="0e2a3a"/>
                </a:solidFill>
                <a:latin typeface="Aptos Narrow"/>
                <a:ea typeface="Aptos Narrow"/>
              </a:rPr>
              <a:t>Phased Campus Build-Out</a:t>
            </a:r>
          </a:p>
        </c:rich>
      </c:tx>
      <c:overlay val="0"/>
      <c:spPr>
        <a:noFill/>
        <a:ln w="0">
          <a:noFill/>
        </a:ln>
      </c:spPr>
    </c:title>
    <c:autoTitleDeleted val="0"/>
    <c:plotArea>
      <c:barChart>
        <c:barDir val="col"/>
        <c:grouping val="clustered"/>
        <c:varyColors val="0"/>
        <c:ser>
          <c:idx val="0"/>
          <c:order val="0"/>
          <c:tx>
            <c:strRef>
              <c:f>_ChartData!$B$57</c:f>
              <c:strCache>
                <c:ptCount val="1"/>
                <c:pt idx="0">
                  <c:v>Cumulative capex ($B)</c:v>
                </c:pt>
              </c:strCache>
            </c:strRef>
          </c:tx>
          <c:spPr>
            <a:solidFill>
              <a:srgbClr val="156082"/>
            </a:solidFill>
            <a:ln w="0">
              <a:noFill/>
            </a:ln>
          </c:spPr>
          <c:invertIfNegative val="0"/>
          <c:dLbls>
            <c:txPr>
              <a:bodyPr wrap="square"/>
              <a:lstStyle/>
              <a:p>
                <a:pPr>
                  <a:defRPr b="0" sz="1000" spc="-1" strike="noStrike">
                    <a:solidFill>
                      <a:srgbClr val="000000"/>
                    </a:solidFill>
                    <a:latin typeface="Aptos Narrow"/>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_ChartData!$A$58:$A$62</c:f>
              <c:strCache>
                <c:ptCount val="5"/>
                <c:pt idx="0">
                  <c:v>Phase 1a</c:v>
                </c:pt>
                <c:pt idx="1">
                  <c:v>Phase 1b</c:v>
                </c:pt>
                <c:pt idx="2">
                  <c:v>Phase 2 </c:v>
                </c:pt>
                <c:pt idx="3">
                  <c:v>Phase 3 </c:v>
                </c:pt>
                <c:pt idx="4">
                  <c:v>Phase 4 </c:v>
                </c:pt>
              </c:strCache>
            </c:strRef>
          </c:cat>
          <c:val>
            <c:numRef>
              <c:f>_ChartData!$B$58:$B$62</c:f>
              <c:numCache>
                <c:formatCode>General</c:formatCode>
                <c:ptCount val="5"/>
                <c:pt idx="0">
                  <c:v>0.532185023984531</c:v>
                </c:pt>
                <c:pt idx="1">
                  <c:v>1.08834182706739</c:v>
                </c:pt>
                <c:pt idx="2">
                  <c:v>1.37615297266277</c:v>
                </c:pt>
                <c:pt idx="3">
                  <c:v>1.67403750835399</c:v>
                </c:pt>
                <c:pt idx="4">
                  <c:v>1.9823480027944</c:v>
                </c:pt>
              </c:numCache>
            </c:numRef>
          </c:val>
        </c:ser>
        <c:gapWidth val="219"/>
        <c:overlap val="-27"/>
        <c:axId val="7856644"/>
        <c:axId val="82204179"/>
      </c:barChart>
      <c:lineChart>
        <c:grouping val="standard"/>
        <c:varyColors val="0"/>
        <c:ser>
          <c:idx val="1"/>
          <c:order val="1"/>
          <c:tx>
            <c:strRef>
              <c:f>_ChartData!$C$57</c:f>
              <c:strCache>
                <c:ptCount val="1"/>
                <c:pt idx="0">
                  <c:v>Blended $/MW ($M)</c:v>
                </c:pt>
              </c:strCache>
            </c:strRef>
          </c:tx>
          <c:spPr>
            <a:solidFill>
              <a:srgbClr val="c9a961"/>
            </a:solidFill>
            <a:ln cap="rnd" w="31680">
              <a:solidFill>
                <a:srgbClr val="c9a961"/>
              </a:solidFill>
              <a:round/>
            </a:ln>
          </c:spPr>
          <c:marker>
            <c:symbol val="circle"/>
            <c:size val="5"/>
            <c:spPr>
              <a:solidFill>
                <a:srgbClr val="c9a961"/>
              </a:solidFill>
            </c:spPr>
          </c:marker>
          <c:dLbls>
            <c:txPr>
              <a:bodyPr wrap="square"/>
              <a:lstStyle/>
              <a:p>
                <a:pPr>
                  <a:defRPr b="0" sz="1000" spc="-1" strike="noStrike">
                    <a:solidFill>
                      <a:srgbClr val="000000"/>
                    </a:solidFill>
                    <a:latin typeface="Aptos Narrow"/>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_ChartData!$A$58:$A$62</c:f>
              <c:strCache>
                <c:ptCount val="5"/>
                <c:pt idx="0">
                  <c:v>Phase 1a</c:v>
                </c:pt>
                <c:pt idx="1">
                  <c:v>Phase 1b</c:v>
                </c:pt>
                <c:pt idx="2">
                  <c:v>Phase 2 </c:v>
                </c:pt>
                <c:pt idx="3">
                  <c:v>Phase 3 </c:v>
                </c:pt>
                <c:pt idx="4">
                  <c:v>Phase 4 </c:v>
                </c:pt>
              </c:strCache>
            </c:strRef>
          </c:cat>
          <c:val>
            <c:numRef>
              <c:f>_ChartData!$C$58:$C$62</c:f>
              <c:numCache>
                <c:formatCode>General</c:formatCode>
                <c:ptCount val="5"/>
                <c:pt idx="0">
                  <c:v>17.7395007994844</c:v>
                </c:pt>
                <c:pt idx="1">
                  <c:v>12.0926869674155</c:v>
                </c:pt>
                <c:pt idx="2">
                  <c:v>11.4679414388564</c:v>
                </c:pt>
                <c:pt idx="3">
                  <c:v>11.1602500556933</c:v>
                </c:pt>
                <c:pt idx="4">
                  <c:v>11.0130444599689</c:v>
                </c:pt>
              </c:numCache>
            </c:numRef>
          </c:val>
          <c:smooth val="0"/>
        </c:ser>
        <c:hiLowLines>
          <c:spPr>
            <a:ln w="0">
              <a:noFill/>
            </a:ln>
          </c:spPr>
        </c:hiLowLines>
        <c:marker val="1"/>
        <c:axId val="97714172"/>
        <c:axId val="47377980"/>
      </c:lineChart>
      <c:catAx>
        <c:axId val="785664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800" spc="-1" strike="noStrike">
                <a:solidFill>
                  <a:srgbClr val="595959"/>
                </a:solidFill>
                <a:latin typeface="Aptos Narrow"/>
                <a:ea typeface="Aptos Narrow"/>
              </a:defRPr>
            </a:pPr>
          </a:p>
        </c:txPr>
        <c:crossAx val="82204179"/>
        <c:crosses val="autoZero"/>
        <c:auto val="1"/>
        <c:lblAlgn val="ctr"/>
        <c:lblOffset val="100"/>
        <c:noMultiLvlLbl val="0"/>
      </c:catAx>
      <c:valAx>
        <c:axId val="82204179"/>
        <c:scaling>
          <c:orientation val="minMax"/>
        </c:scaling>
        <c:delete val="0"/>
        <c:axPos val="l"/>
        <c:majorGridlines>
          <c:spPr>
            <a:ln w="9360">
              <a:solidFill>
                <a:srgbClr val="d9d9d9"/>
              </a:solidFill>
              <a:round/>
            </a:ln>
          </c:spPr>
        </c:majorGridlines>
        <c:numFmt formatCode="\$0.0\B" sourceLinked="0"/>
        <c:majorTickMark val="none"/>
        <c:minorTickMark val="none"/>
        <c:tickLblPos val="nextTo"/>
        <c:spPr>
          <a:ln w="12600">
            <a:noFill/>
          </a:ln>
        </c:spPr>
        <c:txPr>
          <a:bodyPr/>
          <a:lstStyle/>
          <a:p>
            <a:pPr>
              <a:defRPr b="0" sz="800" spc="-1" strike="noStrike">
                <a:solidFill>
                  <a:srgbClr val="595959"/>
                </a:solidFill>
                <a:latin typeface="Aptos Narrow"/>
                <a:ea typeface="Aptos Narrow"/>
              </a:defRPr>
            </a:pPr>
          </a:p>
        </c:txPr>
        <c:crossAx val="7856644"/>
        <c:crosses val="autoZero"/>
        <c:crossBetween val="between"/>
      </c:valAx>
      <c:catAx>
        <c:axId val="97714172"/>
        <c:scaling>
          <c:orientation val="minMax"/>
        </c:scaling>
        <c:delete val="1"/>
        <c:axPos val="t"/>
        <c:numFmt formatCode="General" sourceLinked="1"/>
        <c:majorTickMark val="out"/>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47377980"/>
        <c:auto val="1"/>
        <c:lblAlgn val="ctr"/>
        <c:lblOffset val="100"/>
        <c:noMultiLvlLbl val="0"/>
      </c:catAx>
      <c:valAx>
        <c:axId val="47377980"/>
        <c:scaling>
          <c:orientation val="minMax"/>
        </c:scaling>
        <c:delete val="0"/>
        <c:axPos val="r"/>
        <c:numFmt formatCode="\$0\M" sourceLinked="0"/>
        <c:majorTickMark val="out"/>
        <c:minorTickMark val="none"/>
        <c:tickLblPos val="nextTo"/>
        <c:spPr>
          <a:ln w="12600">
            <a:noFill/>
          </a:ln>
        </c:spPr>
        <c:txPr>
          <a:bodyPr/>
          <a:lstStyle/>
          <a:p>
            <a:pPr>
              <a:defRPr b="0" sz="800" spc="-1" strike="noStrike">
                <a:solidFill>
                  <a:srgbClr val="595959"/>
                </a:solidFill>
                <a:latin typeface="Aptos Narrow"/>
                <a:ea typeface="Aptos Narrow"/>
              </a:defRPr>
            </a:pPr>
          </a:p>
        </c:txPr>
        <c:crossAx val="97714172"/>
        <c:crosses val="max"/>
        <c:crossBetween val="between"/>
      </c:valAx>
      <c:spPr>
        <a:noFill/>
        <a:ln w="0">
          <a:noFill/>
        </a:ln>
      </c:spPr>
    </c:plotArea>
    <c:legend>
      <c:legendPos val="b"/>
      <c:overlay val="0"/>
      <c:spPr>
        <a:noFill/>
        <a:ln w="0">
          <a:noFill/>
        </a:ln>
      </c:spPr>
      <c:txPr>
        <a:bodyPr/>
        <a:lstStyle/>
        <a:p>
          <a:pPr>
            <a:defRPr b="0" sz="800" spc="-1" strike="noStrike">
              <a:solidFill>
                <a:srgbClr val="595959"/>
              </a:solidFill>
              <a:latin typeface="Aptos Narrow"/>
              <a:ea typeface="Aptos Narrow"/>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Aptos Narrow"/>
              </a:defRPr>
            </a:pPr>
            <a:r>
              <a:rPr b="1" lang="en-US" sz="1800" spc="-1" strike="noStrike">
                <a:solidFill>
                  <a:srgbClr val="000000"/>
                </a:solidFill>
                <a:latin typeface="Aptos Narrow"/>
              </a:rPr>
              <a:t>Cost per MW by Scenario</a:t>
            </a:r>
          </a:p>
        </c:rich>
      </c:tx>
      <c:overlay val="0"/>
      <c:spPr>
        <a:noFill/>
        <a:ln w="0">
          <a:noFill/>
        </a:ln>
      </c:spPr>
    </c:title>
    <c:autoTitleDeleted val="0"/>
    <c:plotArea>
      <c:barChart>
        <c:barDir val="col"/>
        <c:grouping val="clustered"/>
        <c:varyColors val="0"/>
        <c:ser>
          <c:idx val="0"/>
          <c:order val="0"/>
          <c:spPr>
            <a:solidFill>
              <a:srgbClr val="156082"/>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'Scenario Comparison'!$B$5:$H$5</c:f>
              <c:strCache>
                <c:ptCount val="7"/>
                <c:pt idx="0">
                  <c:v>Current (live)</c:v>
                </c:pt>
                <c:pt idx="1">
                  <c:v>Reference — Hyperscale (Hybrid)</c:v>
                </c:pt>
                <c:pt idx="2">
                  <c:v>Air-Cooled (Chilled Water)</c:v>
                </c:pt>
                <c:pt idx="3">
                  <c:v>AI / HPC — Liquid Cooled</c:v>
                </c:pt>
                <c:pt idx="4">
                  <c:v>Enterprise</c:v>
                </c:pt>
                <c:pt idx="5">
                  <c:v>Colocation</c:v>
                </c:pt>
                <c:pt idx="6">
                  <c:v>Edge</c:v>
                </c:pt>
              </c:strCache>
            </c:strRef>
          </c:cat>
          <c:val>
            <c:numRef>
              <c:f>'Scenario Comparison'!$B$14:$H$14</c:f>
              <c:numCache>
                <c:formatCode>\$#,##0.0,,\M</c:formatCode>
                <c:ptCount val="7"/>
                <c:pt idx="0">
                  <c:v>12092686.9674155</c:v>
                </c:pt>
                <c:pt idx="1">
                  <c:v>19535950.0577645</c:v>
                </c:pt>
                <c:pt idx="2">
                  <c:v>18630644.8433245</c:v>
                </c:pt>
                <c:pt idx="3">
                  <c:v>33547633.595718</c:v>
                </c:pt>
                <c:pt idx="4">
                  <c:v>20612836.3766579</c:v>
                </c:pt>
                <c:pt idx="5">
                  <c:v>18073849.4655467</c:v>
                </c:pt>
                <c:pt idx="6">
                  <c:v>11760597.2446298</c:v>
                </c:pt>
              </c:numCache>
            </c:numRef>
          </c:val>
        </c:ser>
        <c:gapWidth val="150"/>
        <c:overlap val="0"/>
        <c:axId val="84627545"/>
        <c:axId val="98190594"/>
      </c:barChart>
      <c:catAx>
        <c:axId val="8462754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98190594"/>
        <c:crosses val="autoZero"/>
        <c:auto val="1"/>
        <c:lblAlgn val="ctr"/>
        <c:lblOffset val="100"/>
        <c:noMultiLvlLbl val="0"/>
      </c:catAx>
      <c:valAx>
        <c:axId val="98190594"/>
        <c:scaling>
          <c:orientation val="minMax"/>
        </c:scaling>
        <c:delete val="0"/>
        <c:axPos val="l"/>
        <c:majorGridlines>
          <c:spPr>
            <a:ln w="0">
              <a:solidFill>
                <a:srgbClr val="b3b3b3"/>
              </a:solidFill>
            </a:ln>
          </c:spPr>
        </c:majorGridlines>
        <c:title>
          <c:tx>
            <c:rich>
              <a:bodyPr rot="-5400000"/>
              <a:lstStyle/>
              <a:p>
                <a:pPr>
                  <a:defRPr b="1" lang="en-US" sz="1000" spc="-1" strike="noStrike">
                    <a:solidFill>
                      <a:srgbClr val="000000"/>
                    </a:solidFill>
                    <a:latin typeface="Aptos Narrow"/>
                  </a:defRPr>
                </a:pPr>
                <a:r>
                  <a:rPr b="1" lang="en-US" sz="1000" spc="-1" strike="noStrike">
                    <a:solidFill>
                      <a:srgbClr val="000000"/>
                    </a:solidFill>
                    <a:latin typeface="Aptos Narrow"/>
                  </a:rPr>
                  <a:t>$ / MW</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8462754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100" spc="-1" strike="noStrike">
                <a:solidFill>
                  <a:srgbClr val="595959"/>
                </a:solidFill>
                <a:latin typeface="Aptos Narrow"/>
              </a:defRPr>
            </a:pPr>
            <a:r>
              <a:rPr b="1" lang="en-US" sz="1100" spc="-1" strike="noStrike">
                <a:solidFill>
                  <a:srgbClr val="595959"/>
                </a:solidFill>
                <a:latin typeface="Aptos Narrow"/>
              </a:rPr>
              <a:t>Construction Scope Split (hard cost)</a:t>
            </a:r>
          </a:p>
        </c:rich>
      </c:tx>
      <c:overlay val="0"/>
      <c:spPr>
        <a:noFill/>
        <a:ln w="0">
          <a:noFill/>
        </a:ln>
      </c:spPr>
    </c:title>
    <c:autoTitleDeleted val="0"/>
    <c:plotArea>
      <c:doughnutChart>
        <c:varyColors val="1"/>
        <c:ser>
          <c:idx val="0"/>
          <c:order val="0"/>
          <c:spPr>
            <a:solidFill>
              <a:srgbClr val="156082"/>
            </a:solidFill>
            <a:ln w="0">
              <a:noFill/>
            </a:ln>
          </c:spPr>
          <c:explosion val="0"/>
          <c:dPt>
            <c:idx val="0"/>
            <c:spPr>
              <a:solidFill>
                <a:srgbClr val="1b3a4b"/>
              </a:solidFill>
              <a:ln w="19080">
                <a:solidFill>
                  <a:srgbClr val="ffffff"/>
                </a:solidFill>
                <a:round/>
              </a:ln>
            </c:spPr>
          </c:dPt>
          <c:dPt>
            <c:idx val="1"/>
            <c:spPr>
              <a:solidFill>
                <a:srgbClr val="1e7b40"/>
              </a:solidFill>
              <a:ln w="19080">
                <a:solidFill>
                  <a:srgbClr val="ffffff"/>
                </a:solidFill>
                <a:round/>
              </a:ln>
            </c:spPr>
          </c:dPt>
          <c:dPt>
            <c:idx val="2"/>
            <c:spPr>
              <a:solidFill>
                <a:srgbClr val="9ca3af"/>
              </a:solidFill>
              <a:ln w="19080">
                <a:solidFill>
                  <a:srgbClr val="ffffff"/>
                </a:solidFill>
                <a:round/>
              </a:ln>
            </c:spPr>
          </c:dPt>
          <c:dLbls>
            <c:dLbl>
              <c:idx val="0"/>
              <c:txPr>
                <a:bodyPr wrap="square"/>
                <a:lstStyle/>
                <a:p>
                  <a:pPr>
                    <a:defRPr b="1" sz="1000" spc="-1" strike="noStrike">
                      <a:solidFill>
                        <a:srgbClr val="ffffff"/>
                      </a:solidFill>
                      <a:latin typeface="Aptos Narrow"/>
                    </a:defRPr>
                  </a:pPr>
                </a:p>
              </c:txPr>
              <c:showLegendKey val="0"/>
              <c:showVal val="0"/>
              <c:showCatName val="0"/>
              <c:showSerName val="0"/>
              <c:showPercent val="1"/>
              <c:separator>
</c:separator>
            </c:dLbl>
            <c:dLbl>
              <c:idx val="1"/>
              <c:txPr>
                <a:bodyPr wrap="square"/>
                <a:lstStyle/>
                <a:p>
                  <a:pPr>
                    <a:defRPr b="1" sz="1000" spc="-1" strike="noStrike">
                      <a:solidFill>
                        <a:srgbClr val="ffffff"/>
                      </a:solidFill>
                      <a:latin typeface="Aptos Narrow"/>
                    </a:defRPr>
                  </a:pPr>
                </a:p>
              </c:txPr>
              <c:showLegendKey val="0"/>
              <c:showVal val="0"/>
              <c:showCatName val="0"/>
              <c:showSerName val="0"/>
              <c:showPercent val="1"/>
              <c:separator>
</c:separator>
            </c:dLbl>
            <c:dLbl>
              <c:idx val="2"/>
              <c:txPr>
                <a:bodyPr wrap="square"/>
                <a:lstStyle/>
                <a:p>
                  <a:pPr>
                    <a:defRPr b="1" sz="1000" spc="-1" strike="noStrike">
                      <a:solidFill>
                        <a:srgbClr val="ffffff"/>
                      </a:solidFill>
                      <a:latin typeface="Aptos Narrow"/>
                    </a:defRPr>
                  </a:pPr>
                </a:p>
              </c:txPr>
              <c:showLegendKey val="0"/>
              <c:showVal val="0"/>
              <c:showCatName val="0"/>
              <c:showSerName val="0"/>
              <c:showPercent val="1"/>
              <c:separator>
</c:separator>
            </c:dLbl>
            <c:txPr>
              <a:bodyPr wrap="square"/>
              <a:lstStyle/>
              <a:p>
                <a:pPr>
                  <a:defRPr b="1" sz="1000" spc="-1" strike="noStrike">
                    <a:solidFill>
                      <a:srgbClr val="ffffff"/>
                    </a:solidFill>
                    <a:latin typeface="Aptos Narrow"/>
                  </a:defRPr>
                </a:pPr>
              </a:p>
            </c:txPr>
            <c:showLegendKey val="0"/>
            <c:showVal val="0"/>
            <c:showCatName val="0"/>
            <c:showSerName val="0"/>
            <c:showPercent val="1"/>
            <c:separator>
</c:separator>
            <c:showLeaderLines val="1"/>
          </c:dLbls>
          <c:cat>
            <c:strRef>
              <c:f>'Campus Rollup'!$A$37:$A$39</c:f>
              <c:strCache>
                <c:ptCount val="3"/>
                <c:pt idx="0">
                  <c:v>CSA (core &amp; shell)</c:v>
                </c:pt>
                <c:pt idx="1">
                  <c:v>MEP (power &amp; cooling)</c:v>
                </c:pt>
                <c:pt idx="2">
                  <c:v>Other (Cx / GC / soft)</c:v>
                </c:pt>
              </c:strCache>
            </c:strRef>
          </c:cat>
          <c:val>
            <c:numRef>
              <c:f>'Campus Rollup'!$B$37:$B$39</c:f>
              <c:numCache>
                <c:formatCode>\$#,##0</c:formatCode>
                <c:ptCount val="3"/>
                <c:pt idx="0">
                  <c:v>275731915.866136</c:v>
                </c:pt>
                <c:pt idx="1">
                  <c:v>609160998.09738</c:v>
                </c:pt>
                <c:pt idx="2">
                  <c:v>203448913.103876</c:v>
                </c:pt>
              </c:numCache>
            </c:numRef>
          </c:val>
        </c:ser>
        <c:firstSliceAng val="0"/>
        <c:holeSize val="50"/>
      </c:doughnutChart>
      <c:spPr>
        <a:noFill/>
        <a:ln w="0">
          <a:noFill/>
        </a:ln>
      </c:spPr>
    </c:plotArea>
    <c:legend>
      <c:legendPos val="r"/>
      <c:overlay val="0"/>
      <c:spPr>
        <a:noFill/>
        <a:ln w="0">
          <a:noFill/>
        </a:ln>
      </c:spPr>
      <c:txPr>
        <a:bodyPr/>
        <a:lstStyle/>
        <a:p>
          <a:pPr>
            <a:defRPr b="0" sz="900" spc="-1" strike="noStrike">
              <a:solidFill>
                <a:srgbClr val="595959"/>
              </a:solidFill>
              <a:latin typeface="Aptos Narrow"/>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100" spc="-1" strike="noStrike">
                <a:solidFill>
                  <a:srgbClr val="595959"/>
                </a:solidFill>
                <a:latin typeface="Aptos Narrow"/>
              </a:defRPr>
            </a:pPr>
            <a:r>
              <a:rPr b="1" lang="en-US" sz="1100" spc="-1" strike="noStrike">
                <a:solidFill>
                  <a:srgbClr val="595959"/>
                </a:solidFill>
                <a:latin typeface="Aptos Narrow"/>
              </a:rPr>
              <a:t>CSA by Division (campus total)</a:t>
            </a:r>
          </a:p>
        </c:rich>
      </c:tx>
      <c:overlay val="0"/>
      <c:spPr>
        <a:noFill/>
        <a:ln w="0">
          <a:noFill/>
        </a:ln>
      </c:spPr>
    </c:title>
    <c:autoTitleDeleted val="0"/>
    <c:plotArea>
      <c:barChart>
        <c:barDir val="bar"/>
        <c:grouping val="clustered"/>
        <c:varyColors val="0"/>
        <c:ser>
          <c:idx val="0"/>
          <c:order val="0"/>
          <c:spPr>
            <a:solidFill>
              <a:srgbClr val="1b3a4b"/>
            </a:solidFill>
            <a:ln w="0">
              <a:noFill/>
            </a:ln>
          </c:spPr>
          <c:invertIfNegative val="0"/>
          <c:dLbls>
            <c:numFmt formatCode="\$#,##0,,\M" sourceLinked="1"/>
            <c:txPr>
              <a:bodyPr wrap="square"/>
              <a:lstStyle/>
              <a:p>
                <a:pPr>
                  <a:defRPr b="0" sz="800" spc="-1" strike="noStrike">
                    <a:solidFill>
                      <a:srgbClr val="404040"/>
                    </a:solidFill>
                    <a:latin typeface="Aptos Narrow"/>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'CSA Summary'!$A$35:$A$48</c:f>
              <c:strCache>
                <c:ptCount val="14"/>
                <c:pt idx="0">
                  <c:v>Earthwork (Div 31)</c:v>
                </c:pt>
                <c:pt idx="1">
                  <c:v>Exterior Improvements (Div 32)</c:v>
                </c:pt>
                <c:pt idx="2">
                  <c:v>Utilities (Div 33)</c:v>
                </c:pt>
                <c:pt idx="3">
                  <c:v>Concrete (Div 03)</c:v>
                </c:pt>
                <c:pt idx="4">
                  <c:v>Metals / Structural Steel (Div 05)</c:v>
                </c:pt>
                <c:pt idx="5">
                  <c:v>Thermal &amp; Moisture (Div 07)</c:v>
                </c:pt>
                <c:pt idx="6">
                  <c:v>Openings (Div 08)</c:v>
                </c:pt>
                <c:pt idx="7">
                  <c:v>Finishes (Div 09)</c:v>
                </c:pt>
                <c:pt idx="8">
                  <c:v>Specialties (Div 10)</c:v>
                </c:pt>
                <c:pt idx="9">
                  <c:v>Masonry (Div 04)</c:v>
                </c:pt>
                <c:pt idx="10">
                  <c:v>Wood, Plastics &amp; Composites (Div 06)</c:v>
                </c:pt>
                <c:pt idx="11">
                  <c:v>Equipment (Div 11)</c:v>
                </c:pt>
                <c:pt idx="12">
                  <c:v>Furnishings (Div 12)</c:v>
                </c:pt>
                <c:pt idx="13">
                  <c:v>Conveying Equipment (Div 14)</c:v>
                </c:pt>
              </c:strCache>
            </c:strRef>
          </c:cat>
          <c:val>
            <c:numRef>
              <c:f>'CSA Summary'!$B$35:$B$48</c:f>
              <c:numCache>
                <c:formatCode>\$#,##0,,\M</c:formatCode>
                <c:ptCount val="14"/>
                <c:pt idx="0">
                  <c:v>25614732</c:v>
                </c:pt>
                <c:pt idx="1">
                  <c:v>9371809.46422509</c:v>
                </c:pt>
                <c:pt idx="2">
                  <c:v>63598602.375</c:v>
                </c:pt>
                <c:pt idx="3">
                  <c:v>33466040.3875851</c:v>
                </c:pt>
                <c:pt idx="4">
                  <c:v>40836399.7619533</c:v>
                </c:pt>
                <c:pt idx="5">
                  <c:v>38165650.875</c:v>
                </c:pt>
                <c:pt idx="6">
                  <c:v>13742209.9773727</c:v>
                </c:pt>
                <c:pt idx="7">
                  <c:v>33189552</c:v>
                </c:pt>
                <c:pt idx="8">
                  <c:v>4010233.425</c:v>
                </c:pt>
                <c:pt idx="9">
                  <c:v>5656068</c:v>
                </c:pt>
                <c:pt idx="10">
                  <c:v>1233678.6</c:v>
                </c:pt>
                <c:pt idx="11">
                  <c:v>1525590</c:v>
                </c:pt>
                <c:pt idx="12">
                  <c:v>1217056.5</c:v>
                </c:pt>
                <c:pt idx="13">
                  <c:v>4104292.5</c:v>
                </c:pt>
              </c:numCache>
            </c:numRef>
          </c:val>
        </c:ser>
        <c:gapWidth val="182"/>
        <c:overlap val="0"/>
        <c:axId val="1383881"/>
        <c:axId val="38947293"/>
      </c:barChart>
      <c:catAx>
        <c:axId val="138388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Aptos Narrow"/>
              </a:defRPr>
            </a:pPr>
          </a:p>
        </c:txPr>
        <c:crossAx val="38947293"/>
        <c:crosses val="autoZero"/>
        <c:auto val="1"/>
        <c:lblAlgn val="ctr"/>
        <c:lblOffset val="100"/>
        <c:noMultiLvlLbl val="0"/>
      </c:catAx>
      <c:valAx>
        <c:axId val="38947293"/>
        <c:scaling>
          <c:orientation val="minMax"/>
        </c:scaling>
        <c:delete val="0"/>
        <c:axPos val="l"/>
        <c:majorGridlines>
          <c:spPr>
            <a:ln w="9360">
              <a:solidFill>
                <a:srgbClr val="d9d9d9"/>
              </a:solidFill>
              <a:round/>
            </a:ln>
          </c:spPr>
        </c:majorGridlines>
        <c:numFmt formatCode="\$#,##0,,\M" sourceLinked="0"/>
        <c:majorTickMark val="none"/>
        <c:minorTickMark val="none"/>
        <c:tickLblPos val="nextTo"/>
        <c:spPr>
          <a:ln w="12600">
            <a:noFill/>
          </a:ln>
        </c:spPr>
        <c:txPr>
          <a:bodyPr/>
          <a:lstStyle/>
          <a:p>
            <a:pPr>
              <a:defRPr b="0" sz="900" spc="-1" strike="noStrike">
                <a:solidFill>
                  <a:srgbClr val="595959"/>
                </a:solidFill>
                <a:latin typeface="Aptos Narrow"/>
              </a:defRPr>
            </a:pPr>
          </a:p>
        </c:txPr>
        <c:crossAx val="138388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080" spc="-1" strike="noStrike">
                <a:solidFill>
                  <a:srgbClr val="595959"/>
                </a:solidFill>
                <a:latin typeface="Aptos Narrow"/>
                <a:ea typeface="Aptos Narrow"/>
              </a:defRPr>
            </a:pPr>
            <a:r>
              <a:rPr b="0" lang="en-US" sz="1080" spc="-1" strike="noStrike">
                <a:solidFill>
                  <a:srgbClr val="595959"/>
                </a:solidFill>
                <a:latin typeface="Aptos Narrow"/>
                <a:ea typeface="Aptos Narrow"/>
              </a:rPr>
              <a:t>Weighted Score Composition by Bidder</a:t>
            </a:r>
          </a:p>
        </c:rich>
      </c:tx>
      <c:overlay val="0"/>
      <c:spPr>
        <a:noFill/>
        <a:ln w="0">
          <a:noFill/>
        </a:ln>
      </c:spPr>
    </c:title>
    <c:autoTitleDeleted val="0"/>
    <c:plotArea>
      <c:barChart>
        <c:barDir val="bar"/>
        <c:grouping val="stacked"/>
        <c:varyColors val="0"/>
        <c:ser>
          <c:idx val="0"/>
          <c:order val="0"/>
          <c:tx>
            <c:strRef>
              <c:f>'Bid Evaluation'!$N$11</c:f>
              <c:strCache>
                <c:ptCount val="1"/>
                <c:pt idx="0">
                  <c:v>Price</c:v>
                </c:pt>
              </c:strCache>
            </c:strRef>
          </c:tx>
          <c:spPr>
            <a:solidFill>
              <a:srgbClr val="156082"/>
            </a:solidFill>
            <a:ln w="0">
              <a:noFill/>
            </a:ln>
          </c:spPr>
          <c:invertIfNegative val="0"/>
          <c:dLbls>
            <c:txPr>
              <a:bodyPr wrap="square"/>
              <a:lstStyle/>
              <a:p>
                <a:pPr>
                  <a:defRPr b="0" sz="1000" spc="-1" strike="noStrike">
                    <a:solidFill>
                      <a:srgbClr val="000000"/>
                    </a:solidFill>
                    <a:latin typeface="Aptos Narrow"/>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'Bid Evaluation'!$M$12:$M$15</c:f>
              <c:strCache>
                <c:ptCount val="4"/>
                <c:pt idx="0">
                  <c:v>National</c:v>
                </c:pt>
                <c:pt idx="1">
                  <c:v>Western </c:v>
                </c:pt>
                <c:pt idx="2">
                  <c:v>Metro Mi</c:v>
                </c:pt>
                <c:pt idx="3">
                  <c:v>Pinnacle</c:v>
                </c:pt>
              </c:strCache>
            </c:strRef>
          </c:cat>
          <c:val>
            <c:numRef>
              <c:f>'Bid Evaluation'!$N$12:$N$15</c:f>
              <c:numCache>
                <c:formatCode>General</c:formatCode>
                <c:ptCount val="4"/>
                <c:pt idx="0">
                  <c:v>3.864</c:v>
                </c:pt>
                <c:pt idx="1">
                  <c:v>4</c:v>
                </c:pt>
                <c:pt idx="2">
                  <c:v>3.932</c:v>
                </c:pt>
                <c:pt idx="3">
                  <c:v>3.784</c:v>
                </c:pt>
              </c:numCache>
            </c:numRef>
          </c:val>
        </c:ser>
        <c:ser>
          <c:idx val="1"/>
          <c:order val="1"/>
          <c:tx>
            <c:strRef>
              <c:f>'Bid Evaluation'!$O$11</c:f>
              <c:strCache>
                <c:ptCount val="1"/>
                <c:pt idx="0">
                  <c:v>Schedule</c:v>
                </c:pt>
              </c:strCache>
            </c:strRef>
          </c:tx>
          <c:spPr>
            <a:solidFill>
              <a:srgbClr val="e97132"/>
            </a:solidFill>
            <a:ln w="0">
              <a:noFill/>
            </a:ln>
          </c:spPr>
          <c:invertIfNegative val="0"/>
          <c:dLbls>
            <c:txPr>
              <a:bodyPr wrap="square"/>
              <a:lstStyle/>
              <a:p>
                <a:pPr>
                  <a:defRPr b="0" sz="1000" spc="-1" strike="noStrike">
                    <a:solidFill>
                      <a:srgbClr val="000000"/>
                    </a:solidFill>
                    <a:latin typeface="Aptos Narrow"/>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'Bid Evaluation'!$M$12:$M$15</c:f>
              <c:strCache>
                <c:ptCount val="4"/>
                <c:pt idx="0">
                  <c:v>National</c:v>
                </c:pt>
                <c:pt idx="1">
                  <c:v>Western </c:v>
                </c:pt>
                <c:pt idx="2">
                  <c:v>Metro Mi</c:v>
                </c:pt>
                <c:pt idx="3">
                  <c:v>Pinnacle</c:v>
                </c:pt>
              </c:strCache>
            </c:strRef>
          </c:cat>
          <c:val>
            <c:numRef>
              <c:f>'Bid Evaluation'!$O$12:$O$15</c:f>
              <c:numCache>
                <c:formatCode>General</c:formatCode>
                <c:ptCount val="4"/>
                <c:pt idx="0">
                  <c:v>1.2</c:v>
                </c:pt>
                <c:pt idx="1">
                  <c:v>1.05</c:v>
                </c:pt>
                <c:pt idx="2">
                  <c:v>1.35</c:v>
                </c:pt>
                <c:pt idx="3">
                  <c:v>1.2</c:v>
                </c:pt>
              </c:numCache>
            </c:numRef>
          </c:val>
        </c:ser>
        <c:ser>
          <c:idx val="2"/>
          <c:order val="2"/>
          <c:tx>
            <c:strRef>
              <c:f>'Bid Evaluation'!$P$11</c:f>
              <c:strCache>
                <c:ptCount val="1"/>
                <c:pt idx="0">
                  <c:v>Technical</c:v>
                </c:pt>
              </c:strCache>
            </c:strRef>
          </c:tx>
          <c:spPr>
            <a:solidFill>
              <a:srgbClr val="196b24"/>
            </a:solidFill>
            <a:ln w="0">
              <a:noFill/>
            </a:ln>
          </c:spPr>
          <c:invertIfNegative val="0"/>
          <c:dLbls>
            <c:txPr>
              <a:bodyPr wrap="square"/>
              <a:lstStyle/>
              <a:p>
                <a:pPr>
                  <a:defRPr b="0" sz="1000" spc="-1" strike="noStrike">
                    <a:solidFill>
                      <a:srgbClr val="000000"/>
                    </a:solidFill>
                    <a:latin typeface="Aptos Narrow"/>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'Bid Evaluation'!$M$12:$M$15</c:f>
              <c:strCache>
                <c:ptCount val="4"/>
                <c:pt idx="0">
                  <c:v>National</c:v>
                </c:pt>
                <c:pt idx="1">
                  <c:v>Western </c:v>
                </c:pt>
                <c:pt idx="2">
                  <c:v>Metro Mi</c:v>
                </c:pt>
                <c:pt idx="3">
                  <c:v>Pinnacle</c:v>
                </c:pt>
              </c:strCache>
            </c:strRef>
          </c:cat>
          <c:val>
            <c:numRef>
              <c:f>'Bid Evaluation'!$P$12:$P$15</c:f>
              <c:numCache>
                <c:formatCode>General</c:formatCode>
                <c:ptCount val="4"/>
                <c:pt idx="0">
                  <c:v>1.35</c:v>
                </c:pt>
                <c:pt idx="1">
                  <c:v>1.05</c:v>
                </c:pt>
                <c:pt idx="2">
                  <c:v>1.2</c:v>
                </c:pt>
                <c:pt idx="3">
                  <c:v>1.35</c:v>
                </c:pt>
              </c:numCache>
            </c:numRef>
          </c:val>
        </c:ser>
        <c:ser>
          <c:idx val="3"/>
          <c:order val="3"/>
          <c:tx>
            <c:strRef>
              <c:f>'Bid Evaluation'!$Q$11</c:f>
              <c:strCache>
                <c:ptCount val="1"/>
                <c:pt idx="0">
                  <c:v>Experience</c:v>
                </c:pt>
              </c:strCache>
            </c:strRef>
          </c:tx>
          <c:spPr>
            <a:solidFill>
              <a:srgbClr val="0f9ed5"/>
            </a:solidFill>
            <a:ln w="0">
              <a:noFill/>
            </a:ln>
          </c:spPr>
          <c:invertIfNegative val="0"/>
          <c:dLbls>
            <c:txPr>
              <a:bodyPr wrap="square"/>
              <a:lstStyle/>
              <a:p>
                <a:pPr>
                  <a:defRPr b="0" sz="1000" spc="-1" strike="noStrike">
                    <a:solidFill>
                      <a:srgbClr val="000000"/>
                    </a:solidFill>
                    <a:latin typeface="Aptos Narrow"/>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'Bid Evaluation'!$M$12:$M$15</c:f>
              <c:strCache>
                <c:ptCount val="4"/>
                <c:pt idx="0">
                  <c:v>National</c:v>
                </c:pt>
                <c:pt idx="1">
                  <c:v>Western </c:v>
                </c:pt>
                <c:pt idx="2">
                  <c:v>Metro Mi</c:v>
                </c:pt>
                <c:pt idx="3">
                  <c:v>Pinnacle</c:v>
                </c:pt>
              </c:strCache>
            </c:strRef>
          </c:cat>
          <c:val>
            <c:numRef>
              <c:f>'Bid Evaluation'!$Q$12:$Q$15</c:f>
              <c:numCache>
                <c:formatCode>General</c:formatCode>
                <c:ptCount val="4"/>
                <c:pt idx="0">
                  <c:v>1.35</c:v>
                </c:pt>
                <c:pt idx="1">
                  <c:v>1.2</c:v>
                </c:pt>
                <c:pt idx="2">
                  <c:v>1.05</c:v>
                </c:pt>
                <c:pt idx="3">
                  <c:v>1.5</c:v>
                </c:pt>
              </c:numCache>
            </c:numRef>
          </c:val>
        </c:ser>
        <c:ser>
          <c:idx val="4"/>
          <c:order val="4"/>
          <c:tx>
            <c:strRef>
              <c:f>'Bid Evaluation'!$R$11</c:f>
              <c:strCache>
                <c:ptCount val="1"/>
                <c:pt idx="0">
                  <c:v>Safety</c:v>
                </c:pt>
              </c:strCache>
            </c:strRef>
          </c:tx>
          <c:spPr>
            <a:solidFill>
              <a:srgbClr val="a02b93"/>
            </a:solidFill>
            <a:ln w="0">
              <a:noFill/>
            </a:ln>
          </c:spPr>
          <c:invertIfNegative val="0"/>
          <c:dLbls>
            <c:txPr>
              <a:bodyPr wrap="square"/>
              <a:lstStyle/>
              <a:p>
                <a:pPr>
                  <a:defRPr b="0" sz="1000" spc="-1" strike="noStrike">
                    <a:solidFill>
                      <a:srgbClr val="000000"/>
                    </a:solidFill>
                    <a:latin typeface="Aptos Narrow"/>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'Bid Evaluation'!$M$12:$M$15</c:f>
              <c:strCache>
                <c:ptCount val="4"/>
                <c:pt idx="0">
                  <c:v>National</c:v>
                </c:pt>
                <c:pt idx="1">
                  <c:v>Western </c:v>
                </c:pt>
                <c:pt idx="2">
                  <c:v>Metro Mi</c:v>
                </c:pt>
                <c:pt idx="3">
                  <c:v>Pinnacle</c:v>
                </c:pt>
              </c:strCache>
            </c:strRef>
          </c:cat>
          <c:val>
            <c:numRef>
              <c:f>'Bid Evaluation'!$R$12:$R$15</c:f>
              <c:numCache>
                <c:formatCode>General</c:formatCode>
                <c:ptCount val="4"/>
                <c:pt idx="0">
                  <c:v>0.8</c:v>
                </c:pt>
                <c:pt idx="1">
                  <c:v>0.9</c:v>
                </c:pt>
                <c:pt idx="2">
                  <c:v>0.7</c:v>
                </c:pt>
                <c:pt idx="3">
                  <c:v>0.9</c:v>
                </c:pt>
              </c:numCache>
            </c:numRef>
          </c:val>
        </c:ser>
        <c:ser>
          <c:idx val="5"/>
          <c:order val="5"/>
          <c:tx>
            <c:strRef>
              <c:f>'Bid Evaluation'!$S$11</c:f>
              <c:strCache>
                <c:ptCount val="1"/>
                <c:pt idx="0">
                  <c:v>Financial</c:v>
                </c:pt>
              </c:strCache>
            </c:strRef>
          </c:tx>
          <c:spPr>
            <a:solidFill>
              <a:srgbClr val="4ea72e"/>
            </a:solidFill>
            <a:ln w="0">
              <a:noFill/>
            </a:ln>
          </c:spPr>
          <c:invertIfNegative val="0"/>
          <c:dLbls>
            <c:txPr>
              <a:bodyPr wrap="square"/>
              <a:lstStyle/>
              <a:p>
                <a:pPr>
                  <a:defRPr b="0" sz="1000" spc="-1" strike="noStrike">
                    <a:solidFill>
                      <a:srgbClr val="000000"/>
                    </a:solidFill>
                    <a:latin typeface="Aptos Narrow"/>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'Bid Evaluation'!$M$12:$M$15</c:f>
              <c:strCache>
                <c:ptCount val="4"/>
                <c:pt idx="0">
                  <c:v>National</c:v>
                </c:pt>
                <c:pt idx="1">
                  <c:v>Western </c:v>
                </c:pt>
                <c:pt idx="2">
                  <c:v>Metro Mi</c:v>
                </c:pt>
                <c:pt idx="3">
                  <c:v>Pinnacle</c:v>
                </c:pt>
              </c:strCache>
            </c:strRef>
          </c:cat>
          <c:val>
            <c:numRef>
              <c:f>'Bid Evaluation'!$S$12:$S$15</c:f>
              <c:numCache>
                <c:formatCode>General</c:formatCode>
                <c:ptCount val="4"/>
                <c:pt idx="0">
                  <c:v>0.45</c:v>
                </c:pt>
                <c:pt idx="1">
                  <c:v>0.35</c:v>
                </c:pt>
                <c:pt idx="2">
                  <c:v>0.4</c:v>
                </c:pt>
                <c:pt idx="3">
                  <c:v>0.5</c:v>
                </c:pt>
              </c:numCache>
            </c:numRef>
          </c:val>
        </c:ser>
        <c:gapWidth val="150"/>
        <c:overlap val="100"/>
        <c:axId val="2255351"/>
        <c:axId val="89529930"/>
      </c:barChart>
      <c:catAx>
        <c:axId val="225535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Aptos Narrow"/>
                <a:ea typeface="Aptos Narrow"/>
              </a:defRPr>
            </a:pPr>
          </a:p>
        </c:txPr>
        <c:crossAx val="89529930"/>
        <c:crosses val="autoZero"/>
        <c:auto val="1"/>
        <c:lblAlgn val="ctr"/>
        <c:lblOffset val="100"/>
        <c:noMultiLvlLbl val="0"/>
      </c:catAx>
      <c:valAx>
        <c:axId val="89529930"/>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12600">
            <a:noFill/>
          </a:ln>
        </c:spPr>
        <c:txPr>
          <a:bodyPr/>
          <a:lstStyle/>
          <a:p>
            <a:pPr>
              <a:defRPr b="0" sz="900" spc="-1" strike="noStrike">
                <a:solidFill>
                  <a:srgbClr val="595959"/>
                </a:solidFill>
                <a:latin typeface="Aptos Narrow"/>
                <a:ea typeface="Aptos Narrow"/>
              </a:defRPr>
            </a:pPr>
          </a:p>
        </c:txPr>
        <c:crossAx val="2255351"/>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Aptos Narrow"/>
              <a:ea typeface="Aptos Narrow"/>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Aptos Narrow"/>
              </a:defRPr>
            </a:pPr>
            <a:r>
              <a:rPr b="1" lang="en-US" sz="1800" spc="-1" strike="noStrike">
                <a:solidFill>
                  <a:srgbClr val="000000"/>
                </a:solidFill>
                <a:latin typeface="Aptos Narrow"/>
              </a:rPr>
              <a:t>Long-Lead Escalation Exposure by Package</a:t>
            </a:r>
          </a:p>
        </c:rich>
      </c:tx>
      <c:overlay val="0"/>
      <c:spPr>
        <a:noFill/>
        <a:ln w="0">
          <a:noFill/>
        </a:ln>
      </c:spPr>
    </c:title>
    <c:autoTitleDeleted val="0"/>
    <c:plotArea>
      <c:barChart>
        <c:barDir val="bar"/>
        <c:grouping val="clustered"/>
        <c:varyColors val="0"/>
        <c:ser>
          <c:idx val="0"/>
          <c:order val="0"/>
          <c:tx>
            <c:strRef>
              <c:f>'Procurement &amp; Long-Lead'!$J$10</c:f>
              <c:strCache>
                <c:ptCount val="1"/>
                <c:pt idx="0">
                  <c:v>Escal. Exposure</c:v>
                </c:pt>
              </c:strCache>
            </c:strRef>
          </c:tx>
          <c:spPr>
            <a:solidFill>
              <a:srgbClr val="156082"/>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'Procurement &amp; Long-Lead'!$A$11:$A$25</c:f>
              <c:strCache>
                <c:ptCount val="15"/>
                <c:pt idx="0">
                  <c:v>Structural Steel</c:v>
                </c:pt>
                <c:pt idx="1">
                  <c:v>Raised Access Floor &amp; Aisle Containment</c:v>
                </c:pt>
                <c:pt idx="2">
                  <c:v>Clean-Agent / Pre-Action Fire Suppression</c:v>
                </c:pt>
                <c:pt idx="3">
                  <c:v>CRAH / In-Row Cooling Units</c:v>
                </c:pt>
                <c:pt idx="4">
                  <c:v>Centrifugal Chillers</c:v>
                </c:pt>
                <c:pt idx="5">
                  <c:v>Direct Liquid Cooling / CDUs</c:v>
                </c:pt>
                <c:pt idx="6">
                  <c:v>Thermal Energy Storage</c:v>
                </c:pt>
                <c:pt idx="7">
                  <c:v>Air-Cooled Chillers (N+1 backup)</c:v>
                </c:pt>
                <c:pt idx="8">
                  <c:v>Air-Side Economizers / Evaporative Units</c:v>
                </c:pt>
                <c:pt idx="9">
                  <c:v>Air Handling Units (AHUs)</c:v>
                </c:pt>
                <c:pt idx="10">
                  <c:v>Chilled-Water &amp; Condenser Pumps / Skids</c:v>
                </c:pt>
                <c:pt idx="11">
                  <c:v>Cooling Towers</c:v>
                </c:pt>
                <c:pt idx="12">
                  <c:v>Bulk Fuel Oil Storage Farm</c:v>
                </c:pt>
                <c:pt idx="13">
                  <c:v>Generator Fuel &amp; Day Tanks</c:v>
                </c:pt>
                <c:pt idx="14">
                  <c:v>EPMS / DCIM / BMS Controls</c:v>
                </c:pt>
              </c:strCache>
            </c:strRef>
          </c:cat>
          <c:val>
            <c:numRef>
              <c:f>'Procurement &amp; Long-Lead'!$J$11:$J$25</c:f>
              <c:numCache>
                <c:formatCode>\$#,##0,,\M</c:formatCode>
                <c:ptCount val="15"/>
                <c:pt idx="0">
                  <c:v>518269.230769231</c:v>
                </c:pt>
                <c:pt idx="1">
                  <c:v>254423.076923077</c:v>
                </c:pt>
                <c:pt idx="2">
                  <c:v>242307.692307692</c:v>
                </c:pt>
                <c:pt idx="3">
                  <c:v>1130769.23076923</c:v>
                </c:pt>
                <c:pt idx="4">
                  <c:v>1514423.07692308</c:v>
                </c:pt>
                <c:pt idx="5">
                  <c:v>1052692.30769231</c:v>
                </c:pt>
                <c:pt idx="6">
                  <c:v>868269.230769231</c:v>
                </c:pt>
                <c:pt idx="7">
                  <c:v>969230.769230769</c:v>
                </c:pt>
                <c:pt idx="8">
                  <c:v>516923.076923077</c:v>
                </c:pt>
                <c:pt idx="9">
                  <c:v>403846.153846154</c:v>
                </c:pt>
                <c:pt idx="10">
                  <c:v>301538.461538462</c:v>
                </c:pt>
                <c:pt idx="11">
                  <c:v>245000</c:v>
                </c:pt>
                <c:pt idx="12">
                  <c:v>245000</c:v>
                </c:pt>
                <c:pt idx="13">
                  <c:v>161538.461538462</c:v>
                </c:pt>
                <c:pt idx="14">
                  <c:v>525000</c:v>
                </c:pt>
              </c:numCache>
            </c:numRef>
          </c:val>
        </c:ser>
        <c:gapWidth val="150"/>
        <c:overlap val="0"/>
        <c:axId val="51579679"/>
        <c:axId val="13523975"/>
      </c:barChart>
      <c:catAx>
        <c:axId val="5157967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13523975"/>
        <c:crosses val="autoZero"/>
        <c:auto val="1"/>
        <c:lblAlgn val="ctr"/>
        <c:lblOffset val="100"/>
        <c:noMultiLvlLbl val="0"/>
      </c:catAx>
      <c:valAx>
        <c:axId val="13523975"/>
        <c:scaling>
          <c:orientation val="minMax"/>
        </c:scaling>
        <c:delete val="0"/>
        <c:axPos val="l"/>
        <c:majorGridlines>
          <c:spPr>
            <a:ln w="0">
              <a:solidFill>
                <a:srgbClr val="b3b3b3"/>
              </a:solidFill>
            </a:ln>
          </c:spPr>
        </c:majorGridlines>
        <c:numFmt formatCode="\$#,##0,,\M"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5157967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Aptos Narrow"/>
              </a:defRPr>
            </a:pPr>
            <a:r>
              <a:rPr b="1" lang="en-US" sz="1800" spc="-1" strike="noStrike">
                <a:solidFill>
                  <a:srgbClr val="000000"/>
                </a:solidFill>
                <a:latin typeface="Aptos Narrow"/>
              </a:rPr>
              <a:t>Monte-Carlo: Total Risk Contingency Distribution</a:t>
            </a:r>
          </a:p>
        </c:rich>
      </c:tx>
      <c:overlay val="0"/>
      <c:spPr>
        <a:noFill/>
        <a:ln w="0">
          <a:noFill/>
        </a:ln>
      </c:spPr>
    </c:title>
    <c:autoTitleDeleted val="0"/>
    <c:plotArea>
      <c:barChart>
        <c:barDir val="col"/>
        <c:grouping val="clustered"/>
        <c:varyColors val="0"/>
        <c:ser>
          <c:idx val="0"/>
          <c:order val="0"/>
          <c:tx>
            <c:strRef>
              <c:f>'Risk &amp; Contingency'!$I$43</c:f>
              <c:strCache>
                <c:ptCount val="1"/>
                <c:pt idx="0">
                  <c:v>Frequency</c:v>
                </c:pt>
              </c:strCache>
            </c:strRef>
          </c:tx>
          <c:spPr>
            <a:solidFill>
              <a:srgbClr val="156082"/>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'Risk &amp; Contingency'!$H$44:$H$59</c:f>
              <c:strCache>
                <c:ptCount val="16"/>
                <c:pt idx="0">
                  <c:v>$6</c:v>
                </c:pt>
                <c:pt idx="1">
                  <c:v>$17</c:v>
                </c:pt>
                <c:pt idx="2">
                  <c:v>$28</c:v>
                </c:pt>
                <c:pt idx="3">
                  <c:v>$40</c:v>
                </c:pt>
                <c:pt idx="4">
                  <c:v>$51</c:v>
                </c:pt>
                <c:pt idx="5">
                  <c:v>$62</c:v>
                </c:pt>
                <c:pt idx="6">
                  <c:v>$74</c:v>
                </c:pt>
                <c:pt idx="7">
                  <c:v>$85</c:v>
                </c:pt>
                <c:pt idx="8">
                  <c:v>$96</c:v>
                </c:pt>
                <c:pt idx="9">
                  <c:v>$107</c:v>
                </c:pt>
                <c:pt idx="10">
                  <c:v>$119</c:v>
                </c:pt>
                <c:pt idx="11">
                  <c:v>$130</c:v>
                </c:pt>
                <c:pt idx="12">
                  <c:v>$141</c:v>
                </c:pt>
                <c:pt idx="13">
                  <c:v>$153</c:v>
                </c:pt>
                <c:pt idx="14">
                  <c:v>$164</c:v>
                </c:pt>
                <c:pt idx="15">
                  <c:v>$175</c:v>
                </c:pt>
              </c:strCache>
            </c:strRef>
          </c:cat>
          <c:val>
            <c:numRef>
              <c:f>'Risk &amp; Contingency'!$I$44:$I$59</c:f>
              <c:numCache>
                <c:formatCode>General</c:formatCode>
                <c:ptCount val="16"/>
                <c:pt idx="0">
                  <c:v>15</c:v>
                </c:pt>
                <c:pt idx="1">
                  <c:v>47</c:v>
                </c:pt>
                <c:pt idx="2">
                  <c:v>176</c:v>
                </c:pt>
                <c:pt idx="3">
                  <c:v>373</c:v>
                </c:pt>
                <c:pt idx="4">
                  <c:v>627</c:v>
                </c:pt>
                <c:pt idx="5">
                  <c:v>894</c:v>
                </c:pt>
                <c:pt idx="6">
                  <c:v>1209</c:v>
                </c:pt>
                <c:pt idx="7">
                  <c:v>1357</c:v>
                </c:pt>
                <c:pt idx="8">
                  <c:v>1384</c:v>
                </c:pt>
                <c:pt idx="9">
                  <c:v>1220</c:v>
                </c:pt>
                <c:pt idx="10">
                  <c:v>960</c:v>
                </c:pt>
                <c:pt idx="11">
                  <c:v>728</c:v>
                </c:pt>
                <c:pt idx="12">
                  <c:v>474</c:v>
                </c:pt>
                <c:pt idx="13">
                  <c:v>271</c:v>
                </c:pt>
                <c:pt idx="14">
                  <c:v>132</c:v>
                </c:pt>
                <c:pt idx="15">
                  <c:v>83</c:v>
                </c:pt>
              </c:numCache>
            </c:numRef>
          </c:val>
        </c:ser>
        <c:gapWidth val="150"/>
        <c:overlap val="0"/>
        <c:axId val="21883741"/>
        <c:axId val="20683009"/>
      </c:barChart>
      <c:catAx>
        <c:axId val="21883741"/>
        <c:scaling>
          <c:orientation val="minMax"/>
        </c:scaling>
        <c:delete val="0"/>
        <c:axPos val="b"/>
        <c:title>
          <c:tx>
            <c:rich>
              <a:bodyPr rot="0"/>
              <a:lstStyle/>
              <a:p>
                <a:pPr>
                  <a:defRPr b="1" lang="en-US" sz="1000" spc="-1" strike="noStrike">
                    <a:solidFill>
                      <a:srgbClr val="000000"/>
                    </a:solidFill>
                    <a:latin typeface="Aptos Narrow"/>
                  </a:defRPr>
                </a:pPr>
                <a:r>
                  <a:rPr b="1" lang="en-US" sz="1000" spc="-1" strike="noStrike">
                    <a:solidFill>
                      <a:srgbClr val="000000"/>
                    </a:solidFill>
                    <a:latin typeface="Aptos Narrow"/>
                  </a:rPr>
                  <a:t>Contingency ($M)</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20683009"/>
        <c:crosses val="autoZero"/>
        <c:auto val="1"/>
        <c:lblAlgn val="ctr"/>
        <c:lblOffset val="100"/>
        <c:noMultiLvlLbl val="0"/>
      </c:catAx>
      <c:valAx>
        <c:axId val="20683009"/>
        <c:scaling>
          <c:orientation val="minMax"/>
        </c:scaling>
        <c:delete val="0"/>
        <c:axPos val="l"/>
        <c:majorGridlines>
          <c:spPr>
            <a:ln w="0">
              <a:solidFill>
                <a:srgbClr val="b3b3b3"/>
              </a:solidFill>
            </a:ln>
          </c:spPr>
        </c:majorGridlines>
        <c:title>
          <c:tx>
            <c:rich>
              <a:bodyPr rot="-5400000"/>
              <a:lstStyle/>
              <a:p>
                <a:pPr>
                  <a:defRPr b="1" lang="en-US" sz="1000" spc="-1" strike="noStrike">
                    <a:solidFill>
                      <a:srgbClr val="000000"/>
                    </a:solidFill>
                    <a:latin typeface="Aptos Narrow"/>
                  </a:defRPr>
                </a:pPr>
                <a:r>
                  <a:rPr b="1" lang="en-US" sz="1000" spc="-1" strike="noStrike">
                    <a:solidFill>
                      <a:srgbClr val="000000"/>
                    </a:solidFill>
                    <a:latin typeface="Aptos Narrow"/>
                  </a:rPr>
                  <a:t>Frequency</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2188374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Aptos Narrow"/>
              </a:defRPr>
            </a:pPr>
            <a:r>
              <a:rPr b="1" lang="en-US" sz="1800" spc="-1" strike="noStrike">
                <a:solidFill>
                  <a:srgbClr val="000000"/>
                </a:solidFill>
                <a:latin typeface="Aptos Narrow"/>
              </a:rPr>
              <a:t>Contingency Drawdown</a:t>
            </a:r>
          </a:p>
        </c:rich>
      </c:tx>
      <c:overlay val="0"/>
      <c:spPr>
        <a:noFill/>
        <a:ln w="0">
          <a:noFill/>
        </a:ln>
      </c:spPr>
    </c:title>
    <c:autoTitleDeleted val="0"/>
    <c:plotArea>
      <c:lineChart>
        <c:grouping val="standard"/>
        <c:varyColors val="0"/>
        <c:ser>
          <c:idx val="0"/>
          <c:order val="0"/>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'Change Order Log'!$A$8:$A$17</c:f>
              <c:strCache>
                <c:ptCount val="10"/>
                <c:pt idx="0">
                  <c:v>CO-001</c:v>
                </c:pt>
                <c:pt idx="1">
                  <c:v>CO-002</c:v>
                </c:pt>
                <c:pt idx="2">
                  <c:v>CO-003</c:v>
                </c:pt>
                <c:pt idx="3">
                  <c:v>CO-004</c:v>
                </c:pt>
                <c:pt idx="4">
                  <c:v>CO-005</c:v>
                </c:pt>
                <c:pt idx="5">
                  <c:v>CO-006</c:v>
                </c:pt>
                <c:pt idx="6">
                  <c:v>CO-007</c:v>
                </c:pt>
                <c:pt idx="7">
                  <c:v>CO-008</c:v>
                </c:pt>
                <c:pt idx="8">
                  <c:v>CO-009</c:v>
                </c:pt>
                <c:pt idx="9">
                  <c:v>CO-010</c:v>
                </c:pt>
              </c:strCache>
            </c:strRef>
          </c:cat>
          <c:val>
            <c:numRef>
              <c:f>'Change Order Log'!$H$8:$H$17</c:f>
              <c:numCache>
                <c:formatCode>\$#,##0</c:formatCode>
                <c:ptCount val="10"/>
                <c:pt idx="0">
                  <c:v>90440166.0970357</c:v>
                </c:pt>
                <c:pt idx="1">
                  <c:v>87240166.0970357</c:v>
                </c:pt>
                <c:pt idx="2">
                  <c:v>85140166.0970357</c:v>
                </c:pt>
                <c:pt idx="3">
                  <c:v>84240166.0970357</c:v>
                </c:pt>
                <c:pt idx="4">
                  <c:v>84240166.0970357</c:v>
                </c:pt>
                <c:pt idx="5">
                  <c:v>82440166.0970357</c:v>
                </c:pt>
                <c:pt idx="6">
                  <c:v>81140166.0970357</c:v>
                </c:pt>
                <c:pt idx="7">
                  <c:v>81140166.0970357</c:v>
                </c:pt>
                <c:pt idx="8">
                  <c:v>80040166.0970357</c:v>
                </c:pt>
                <c:pt idx="9">
                  <c:v>79440166.0970357</c:v>
                </c:pt>
              </c:numCache>
            </c:numRef>
          </c:val>
          <c:smooth val="1"/>
        </c:ser>
        <c:hiLowLines>
          <c:spPr>
            <a:ln w="0">
              <a:noFill/>
            </a:ln>
          </c:spPr>
        </c:hiLowLines>
        <c:marker val="0"/>
        <c:axId val="37724290"/>
        <c:axId val="15276793"/>
      </c:lineChart>
      <c:catAx>
        <c:axId val="37724290"/>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15276793"/>
        <c:crosses val="autoZero"/>
        <c:auto val="1"/>
        <c:lblAlgn val="ctr"/>
        <c:lblOffset val="100"/>
        <c:noMultiLvlLbl val="0"/>
      </c:catAx>
      <c:valAx>
        <c:axId val="15276793"/>
        <c:scaling>
          <c:orientation val="minMax"/>
        </c:scaling>
        <c:delete val="0"/>
        <c:axPos val="l"/>
        <c:majorGridlines>
          <c:spPr>
            <a:ln w="0">
              <a:solidFill>
                <a:srgbClr val="b3b3b3"/>
              </a:solidFill>
            </a:ln>
          </c:spPr>
        </c:majorGridlines>
        <c:title>
          <c:tx>
            <c:rich>
              <a:bodyPr rot="-5400000"/>
              <a:lstStyle/>
              <a:p>
                <a:pPr>
                  <a:defRPr b="1" lang="en-US" sz="1000" spc="-1" strike="noStrike">
                    <a:solidFill>
                      <a:srgbClr val="000000"/>
                    </a:solidFill>
                    <a:latin typeface="Aptos Narrow"/>
                  </a:defRPr>
                </a:pPr>
                <a:r>
                  <a:rPr b="1" lang="en-US" sz="1000" spc="-1" strike="noStrike">
                    <a:solidFill>
                      <a:srgbClr val="000000"/>
                    </a:solidFill>
                    <a:latin typeface="Aptos Narrow"/>
                  </a:rPr>
                  <a:t>Contingency remaining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3772429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300" spc="-1" strike="noStrike">
                <a:solidFill>
                  <a:srgbClr val="1b3a4b"/>
                </a:solidFill>
                <a:latin typeface="Aptos Narrow"/>
                <a:ea typeface="Aptos Narrow"/>
              </a:defRPr>
            </a:pPr>
            <a:r>
              <a:rPr b="1" lang="en-US" sz="1300" spc="-1" strike="noStrike">
                <a:solidFill>
                  <a:srgbClr val="1b3a4b"/>
                </a:solidFill>
                <a:latin typeface="Aptos Narrow"/>
                <a:ea typeface="Aptos Narrow"/>
              </a:rPr>
              <a:t>Contingency Drawdown</a:t>
            </a:r>
          </a:p>
        </c:rich>
      </c:tx>
      <c:overlay val="0"/>
      <c:spPr>
        <a:noFill/>
        <a:ln w="0">
          <a:noFill/>
        </a:ln>
      </c:spPr>
    </c:title>
    <c:autoTitleDeleted val="0"/>
    <c:plotArea>
      <c:lineChart>
        <c:grouping val="standard"/>
        <c:varyColors val="0"/>
        <c:ser>
          <c:idx val="0"/>
          <c:order val="0"/>
          <c:tx>
            <c:strRef>
              <c:f>'Change Order Log'!$K$30</c:f>
              <c:strCache>
                <c:ptCount val="1"/>
                <c:pt idx="0">
                  <c:v>Remaining</c:v>
                </c:pt>
              </c:strCache>
            </c:strRef>
          </c:tx>
          <c:spPr>
            <a:solidFill>
              <a:srgbClr val="2e5496"/>
            </a:solidFill>
            <a:ln cap="rnd" w="31680">
              <a:solidFill>
                <a:srgbClr val="2e5496"/>
              </a:solidFill>
              <a:round/>
            </a:ln>
          </c:spPr>
          <c:marker>
            <c:symbol val="circle"/>
            <c:size val="5"/>
            <c:spPr>
              <a:solidFill>
                <a:srgbClr val="2e5496"/>
              </a:solidFill>
            </c:spPr>
          </c:marker>
          <c:dLbls>
            <c:txPr>
              <a:bodyPr wrap="square"/>
              <a:lstStyle/>
              <a:p>
                <a:pPr>
                  <a:defRPr b="0" sz="1000" spc="-1" strike="noStrike">
                    <a:solidFill>
                      <a:srgbClr val="000000"/>
                    </a:solidFill>
                    <a:latin typeface="Aptos Narrow"/>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'Change Order Log'!$J$31:$J$41</c:f>
              <c:strCache>
                <c:ptCount val="11"/>
                <c:pt idx="0">
                  <c:v>Start</c:v>
                </c:pt>
                <c:pt idx="1">
                  <c:v>CO-001</c:v>
                </c:pt>
                <c:pt idx="2">
                  <c:v>CO-002</c:v>
                </c:pt>
                <c:pt idx="3">
                  <c:v>CO-003</c:v>
                </c:pt>
                <c:pt idx="4">
                  <c:v>CO-004</c:v>
                </c:pt>
                <c:pt idx="5">
                  <c:v>CO-005</c:v>
                </c:pt>
                <c:pt idx="6">
                  <c:v>CO-006</c:v>
                </c:pt>
                <c:pt idx="7">
                  <c:v>CO-007</c:v>
                </c:pt>
                <c:pt idx="8">
                  <c:v>CO-008</c:v>
                </c:pt>
                <c:pt idx="9">
                  <c:v>CO-009</c:v>
                </c:pt>
                <c:pt idx="10">
                  <c:v>CO-010</c:v>
                </c:pt>
              </c:strCache>
            </c:strRef>
          </c:cat>
          <c:val>
            <c:numRef>
              <c:f>'Change Order Log'!$K$31:$K$41</c:f>
              <c:numCache>
                <c:formatCode>\$#,##0</c:formatCode>
                <c:ptCount val="11"/>
                <c:pt idx="0">
                  <c:v>98940166.0970357</c:v>
                </c:pt>
                <c:pt idx="1">
                  <c:v>90440166.0970357</c:v>
                </c:pt>
                <c:pt idx="2">
                  <c:v>87240166.0970357</c:v>
                </c:pt>
                <c:pt idx="3">
                  <c:v>85140166.0970357</c:v>
                </c:pt>
                <c:pt idx="4">
                  <c:v>84240166.0970357</c:v>
                </c:pt>
                <c:pt idx="5">
                  <c:v>84240166.0970357</c:v>
                </c:pt>
                <c:pt idx="6">
                  <c:v>82440166.0970357</c:v>
                </c:pt>
                <c:pt idx="7">
                  <c:v>81140166.0970357</c:v>
                </c:pt>
                <c:pt idx="8">
                  <c:v>81140166.0970357</c:v>
                </c:pt>
                <c:pt idx="9">
                  <c:v>80040166.0970357</c:v>
                </c:pt>
                <c:pt idx="10">
                  <c:v>79440166.0970357</c:v>
                </c:pt>
              </c:numCache>
            </c:numRef>
          </c:val>
          <c:smooth val="0"/>
        </c:ser>
        <c:ser>
          <c:idx val="1"/>
          <c:order val="1"/>
          <c:tx>
            <c:strRef>
              <c:f>'Change Order Log'!$L$30</c:f>
              <c:strCache>
                <c:ptCount val="1"/>
                <c:pt idx="0">
                  <c:v>Monitor (50%)</c:v>
                </c:pt>
              </c:strCache>
            </c:strRef>
          </c:tx>
          <c:spPr>
            <a:solidFill>
              <a:srgbClr val="9c6500"/>
            </a:solidFill>
            <a:ln cap="rnd" w="28440">
              <a:solidFill>
                <a:srgbClr val="9c6500"/>
              </a:solidFill>
              <a:prstDash val="lgDash"/>
              <a:round/>
            </a:ln>
          </c:spPr>
          <c:marker>
            <c:symbol val="none"/>
          </c:marker>
          <c:dLbls>
            <c:txPr>
              <a:bodyPr wrap="square"/>
              <a:lstStyle/>
              <a:p>
                <a:pPr>
                  <a:defRPr b="0" sz="1000" spc="-1" strike="noStrike">
                    <a:solidFill>
                      <a:srgbClr val="000000"/>
                    </a:solidFill>
                    <a:latin typeface="Aptos Narrow"/>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'Change Order Log'!$J$31:$J$41</c:f>
              <c:strCache>
                <c:ptCount val="11"/>
                <c:pt idx="0">
                  <c:v>Start</c:v>
                </c:pt>
                <c:pt idx="1">
                  <c:v>CO-001</c:v>
                </c:pt>
                <c:pt idx="2">
                  <c:v>CO-002</c:v>
                </c:pt>
                <c:pt idx="3">
                  <c:v>CO-003</c:v>
                </c:pt>
                <c:pt idx="4">
                  <c:v>CO-004</c:v>
                </c:pt>
                <c:pt idx="5">
                  <c:v>CO-005</c:v>
                </c:pt>
                <c:pt idx="6">
                  <c:v>CO-006</c:v>
                </c:pt>
                <c:pt idx="7">
                  <c:v>CO-007</c:v>
                </c:pt>
                <c:pt idx="8">
                  <c:v>CO-008</c:v>
                </c:pt>
                <c:pt idx="9">
                  <c:v>CO-009</c:v>
                </c:pt>
                <c:pt idx="10">
                  <c:v>CO-010</c:v>
                </c:pt>
              </c:strCache>
            </c:strRef>
          </c:cat>
          <c:val>
            <c:numRef>
              <c:f>'Change Order Log'!$L$31:$L$41</c:f>
              <c:numCache>
                <c:formatCode>\$#,##0</c:formatCode>
                <c:ptCount val="11"/>
                <c:pt idx="0">
                  <c:v>49470083.0485178</c:v>
                </c:pt>
                <c:pt idx="1">
                  <c:v>49470083.0485178</c:v>
                </c:pt>
                <c:pt idx="2">
                  <c:v>49470083.0485178</c:v>
                </c:pt>
                <c:pt idx="3">
                  <c:v>49470083.0485178</c:v>
                </c:pt>
                <c:pt idx="4">
                  <c:v>49470083.0485178</c:v>
                </c:pt>
                <c:pt idx="5">
                  <c:v>49470083.0485178</c:v>
                </c:pt>
                <c:pt idx="6">
                  <c:v>49470083.0485178</c:v>
                </c:pt>
                <c:pt idx="7">
                  <c:v>49470083.0485178</c:v>
                </c:pt>
                <c:pt idx="8">
                  <c:v>49470083.0485178</c:v>
                </c:pt>
                <c:pt idx="9">
                  <c:v>49470083.0485178</c:v>
                </c:pt>
                <c:pt idx="10">
                  <c:v>49470083.0485178</c:v>
                </c:pt>
              </c:numCache>
            </c:numRef>
          </c:val>
          <c:smooth val="0"/>
        </c:ser>
        <c:ser>
          <c:idx val="2"/>
          <c:order val="2"/>
          <c:tx>
            <c:strRef>
              <c:f>'Change Order Log'!$M$30</c:f>
              <c:strCache>
                <c:ptCount val="1"/>
                <c:pt idx="0">
                  <c:v>Critical (20%)</c:v>
                </c:pt>
              </c:strCache>
            </c:strRef>
          </c:tx>
          <c:spPr>
            <a:solidFill>
              <a:srgbClr val="9c0006"/>
            </a:solidFill>
            <a:ln cap="rnd" w="28440">
              <a:solidFill>
                <a:srgbClr val="9c0006"/>
              </a:solidFill>
              <a:prstDash val="lgDash"/>
              <a:round/>
            </a:ln>
          </c:spPr>
          <c:marker>
            <c:symbol val="none"/>
          </c:marker>
          <c:dLbls>
            <c:txPr>
              <a:bodyPr wrap="square"/>
              <a:lstStyle/>
              <a:p>
                <a:pPr>
                  <a:defRPr b="0" sz="1000" spc="-1" strike="noStrike">
                    <a:solidFill>
                      <a:srgbClr val="000000"/>
                    </a:solidFill>
                    <a:latin typeface="Aptos Narrow"/>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'Change Order Log'!$J$31:$J$41</c:f>
              <c:strCache>
                <c:ptCount val="11"/>
                <c:pt idx="0">
                  <c:v>Start</c:v>
                </c:pt>
                <c:pt idx="1">
                  <c:v>CO-001</c:v>
                </c:pt>
                <c:pt idx="2">
                  <c:v>CO-002</c:v>
                </c:pt>
                <c:pt idx="3">
                  <c:v>CO-003</c:v>
                </c:pt>
                <c:pt idx="4">
                  <c:v>CO-004</c:v>
                </c:pt>
                <c:pt idx="5">
                  <c:v>CO-005</c:v>
                </c:pt>
                <c:pt idx="6">
                  <c:v>CO-006</c:v>
                </c:pt>
                <c:pt idx="7">
                  <c:v>CO-007</c:v>
                </c:pt>
                <c:pt idx="8">
                  <c:v>CO-008</c:v>
                </c:pt>
                <c:pt idx="9">
                  <c:v>CO-009</c:v>
                </c:pt>
                <c:pt idx="10">
                  <c:v>CO-010</c:v>
                </c:pt>
              </c:strCache>
            </c:strRef>
          </c:cat>
          <c:val>
            <c:numRef>
              <c:f>'Change Order Log'!$M$31:$M$41</c:f>
              <c:numCache>
                <c:formatCode>\$#,##0</c:formatCode>
                <c:ptCount val="11"/>
                <c:pt idx="0">
                  <c:v>19788033.2194071</c:v>
                </c:pt>
                <c:pt idx="1">
                  <c:v>19788033.2194071</c:v>
                </c:pt>
                <c:pt idx="2">
                  <c:v>19788033.2194071</c:v>
                </c:pt>
                <c:pt idx="3">
                  <c:v>19788033.2194071</c:v>
                </c:pt>
                <c:pt idx="4">
                  <c:v>19788033.2194071</c:v>
                </c:pt>
                <c:pt idx="5">
                  <c:v>19788033.2194071</c:v>
                </c:pt>
                <c:pt idx="6">
                  <c:v>19788033.2194071</c:v>
                </c:pt>
                <c:pt idx="7">
                  <c:v>19788033.2194071</c:v>
                </c:pt>
                <c:pt idx="8">
                  <c:v>19788033.2194071</c:v>
                </c:pt>
                <c:pt idx="9">
                  <c:v>19788033.2194071</c:v>
                </c:pt>
                <c:pt idx="10">
                  <c:v>19788033.2194071</c:v>
                </c:pt>
              </c:numCache>
            </c:numRef>
          </c:val>
          <c:smooth val="0"/>
        </c:ser>
        <c:hiLowLines>
          <c:spPr>
            <a:ln w="0">
              <a:noFill/>
            </a:ln>
          </c:spPr>
        </c:hiLowLines>
        <c:marker val="1"/>
        <c:axId val="51610789"/>
        <c:axId val="78060318"/>
      </c:lineChart>
      <c:catAx>
        <c:axId val="51610789"/>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Aptos Narrow"/>
                <a:ea typeface="Aptos Narrow"/>
              </a:defRPr>
            </a:pPr>
          </a:p>
        </c:txPr>
        <c:crossAx val="78060318"/>
        <c:crosses val="autoZero"/>
        <c:auto val="1"/>
        <c:lblAlgn val="ctr"/>
        <c:lblOffset val="100"/>
        <c:noMultiLvlLbl val="0"/>
      </c:catAx>
      <c:valAx>
        <c:axId val="78060318"/>
        <c:scaling>
          <c:orientation val="minMax"/>
          <c:min val="0"/>
        </c:scaling>
        <c:delete val="0"/>
        <c:axPos val="l"/>
        <c:majorGridlines>
          <c:spPr>
            <a:ln w="6480">
              <a:solidFill>
                <a:srgbClr val="e7e7e7"/>
              </a:solidFill>
              <a:round/>
            </a:ln>
          </c:spPr>
        </c:majorGridlines>
        <c:numFmt formatCode="\$#,##0,,\M" sourceLinked="0"/>
        <c:majorTickMark val="none"/>
        <c:minorTickMark val="none"/>
        <c:tickLblPos val="nextTo"/>
        <c:spPr>
          <a:ln w="12600">
            <a:noFill/>
          </a:ln>
        </c:spPr>
        <c:txPr>
          <a:bodyPr/>
          <a:lstStyle/>
          <a:p>
            <a:pPr>
              <a:defRPr b="0" sz="900" spc="-1" strike="noStrike">
                <a:solidFill>
                  <a:srgbClr val="595959"/>
                </a:solidFill>
                <a:latin typeface="Aptos Narrow"/>
                <a:ea typeface="Aptos Narrow"/>
              </a:defRPr>
            </a:pPr>
          </a:p>
        </c:txPr>
        <c:crossAx val="51610789"/>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Aptos Narrow"/>
              <a:ea typeface="Aptos Narrow"/>
            </a:defRPr>
          </a:pPr>
        </a:p>
      </c:txPr>
    </c:legend>
    <c:plotVisOnly val="1"/>
    <c:dispBlanksAs val="gap"/>
  </c:chart>
  <c:spPr>
    <a:solidFill>
      <a:srgbClr val="ffffff"/>
    </a:solidFill>
    <a:ln w="25560">
      <a:noFill/>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100" spc="-1" strike="noStrike">
                <a:solidFill>
                  <a:srgbClr val="595959"/>
                </a:solidFill>
                <a:latin typeface="Aptos Narrow"/>
              </a:defRPr>
            </a:pPr>
            <a:r>
              <a:rPr b="1" lang="en-US" sz="1100" spc="-1" strike="noStrike">
                <a:solidFill>
                  <a:srgbClr val="595959"/>
                </a:solidFill>
                <a:latin typeface="Aptos Narrow"/>
              </a:rPr>
              <a:t>TDC Cost Structure</a:t>
            </a:r>
          </a:p>
        </c:rich>
      </c:tx>
      <c:overlay val="0"/>
      <c:spPr>
        <a:noFill/>
        <a:ln w="0">
          <a:noFill/>
        </a:ln>
      </c:spPr>
    </c:title>
    <c:autoTitleDeleted val="0"/>
    <c:plotArea>
      <c:doughnutChart>
        <c:varyColors val="1"/>
        <c:ser>
          <c:idx val="0"/>
          <c:order val="0"/>
          <c:spPr>
            <a:solidFill>
              <a:srgbClr val="156082"/>
            </a:solidFill>
            <a:ln w="0">
              <a:noFill/>
            </a:ln>
          </c:spPr>
          <c:explosion val="0"/>
          <c:dPt>
            <c:idx val="0"/>
            <c:spPr>
              <a:solidFill>
                <a:srgbClr val="1b3a4b"/>
              </a:solidFill>
              <a:ln w="19080">
                <a:solidFill>
                  <a:srgbClr val="ffffff"/>
                </a:solidFill>
                <a:round/>
              </a:ln>
            </c:spPr>
          </c:dPt>
          <c:dPt>
            <c:idx val="1"/>
            <c:spPr>
              <a:solidFill>
                <a:srgbClr val="1e7b40"/>
              </a:solidFill>
              <a:ln w="19080">
                <a:solidFill>
                  <a:srgbClr val="ffffff"/>
                </a:solidFill>
                <a:round/>
              </a:ln>
            </c:spPr>
          </c:dPt>
          <c:dPt>
            <c:idx val="2"/>
            <c:spPr>
              <a:solidFill>
                <a:srgbClr val="9ca3af"/>
              </a:solidFill>
              <a:ln w="19080">
                <a:solidFill>
                  <a:srgbClr val="ffffff"/>
                </a:solidFill>
                <a:round/>
              </a:ln>
            </c:spPr>
          </c:dPt>
          <c:dPt>
            <c:idx val="3"/>
            <c:spPr>
              <a:solidFill>
                <a:srgbClr val="c8a227"/>
              </a:solidFill>
              <a:ln w="19080">
                <a:solidFill>
                  <a:srgbClr val="ffffff"/>
                </a:solidFill>
                <a:round/>
              </a:ln>
            </c:spPr>
          </c:dPt>
          <c:dLbls>
            <c:dLbl>
              <c:idx val="0"/>
              <c:txPr>
                <a:bodyPr wrap="square"/>
                <a:lstStyle/>
                <a:p>
                  <a:pPr>
                    <a:defRPr b="1" sz="900" spc="-1" strike="noStrike">
                      <a:solidFill>
                        <a:srgbClr val="ffffff"/>
                      </a:solidFill>
                      <a:latin typeface="Aptos Narrow"/>
                    </a:defRPr>
                  </a:pPr>
                </a:p>
              </c:txPr>
              <c:showLegendKey val="0"/>
              <c:showVal val="0"/>
              <c:showCatName val="0"/>
              <c:showSerName val="0"/>
              <c:showPercent val="1"/>
              <c:separator>
</c:separator>
            </c:dLbl>
            <c:dLbl>
              <c:idx val="1"/>
              <c:txPr>
                <a:bodyPr wrap="square"/>
                <a:lstStyle/>
                <a:p>
                  <a:pPr>
                    <a:defRPr b="1" sz="900" spc="-1" strike="noStrike">
                      <a:solidFill>
                        <a:srgbClr val="ffffff"/>
                      </a:solidFill>
                      <a:latin typeface="Aptos Narrow"/>
                    </a:defRPr>
                  </a:pPr>
                </a:p>
              </c:txPr>
              <c:showLegendKey val="0"/>
              <c:showVal val="0"/>
              <c:showCatName val="0"/>
              <c:showSerName val="0"/>
              <c:showPercent val="1"/>
              <c:separator>
</c:separator>
            </c:dLbl>
            <c:dLbl>
              <c:idx val="2"/>
              <c:txPr>
                <a:bodyPr wrap="square"/>
                <a:lstStyle/>
                <a:p>
                  <a:pPr>
                    <a:defRPr b="1" sz="900" spc="-1" strike="noStrike">
                      <a:solidFill>
                        <a:srgbClr val="ffffff"/>
                      </a:solidFill>
                      <a:latin typeface="Aptos Narrow"/>
                    </a:defRPr>
                  </a:pPr>
                </a:p>
              </c:txPr>
              <c:showLegendKey val="0"/>
              <c:showVal val="0"/>
              <c:showCatName val="0"/>
              <c:showSerName val="0"/>
              <c:showPercent val="1"/>
              <c:separator>
</c:separator>
            </c:dLbl>
            <c:dLbl>
              <c:idx val="3"/>
              <c:txPr>
                <a:bodyPr wrap="square"/>
                <a:lstStyle/>
                <a:p>
                  <a:pPr>
                    <a:defRPr b="1" sz="900" spc="-1" strike="noStrike">
                      <a:solidFill>
                        <a:srgbClr val="ffffff"/>
                      </a:solidFill>
                      <a:latin typeface="Aptos Narrow"/>
                    </a:defRPr>
                  </a:pPr>
                </a:p>
              </c:txPr>
              <c:showLegendKey val="0"/>
              <c:showVal val="0"/>
              <c:showCatName val="0"/>
              <c:showSerName val="0"/>
              <c:showPercent val="1"/>
              <c:separator>
</c:separator>
            </c:dLbl>
            <c:txPr>
              <a:bodyPr wrap="square"/>
              <a:lstStyle/>
              <a:p>
                <a:pPr>
                  <a:defRPr b="1" sz="900" spc="-1" strike="noStrike">
                    <a:solidFill>
                      <a:srgbClr val="ffffff"/>
                    </a:solidFill>
                    <a:latin typeface="Aptos Narrow"/>
                  </a:defRPr>
                </a:pPr>
              </a:p>
            </c:txPr>
            <c:showLegendKey val="0"/>
            <c:showVal val="0"/>
            <c:showCatName val="0"/>
            <c:showSerName val="0"/>
            <c:showPercent val="1"/>
            <c:separator>
</c:separator>
            <c:showLeaderLines val="1"/>
          </c:dLbls>
          <c:cat>
            <c:strRef>
              <c:f>'Total Development Cost'!$A$66:$A$69</c:f>
              <c:strCache>
                <c:ptCount val="4"/>
                <c:pt idx="0">
                  <c:v>Hard construction</c:v>
                </c:pt>
                <c:pt idx="1">
                  <c:v>Owner soft costs</c:v>
                </c:pt>
                <c:pt idx="2">
                  <c:v>Financing (IDC)</c:v>
                </c:pt>
                <c:pt idx="3">
                  <c:v>Owner's contingency</c:v>
                </c:pt>
              </c:strCache>
            </c:strRef>
          </c:cat>
          <c:val>
            <c:numRef>
              <c:f>'Total Development Cost'!$B$66:$B$69</c:f>
              <c:numCache>
                <c:formatCode>\$#,##0</c:formatCode>
                <c:ptCount val="4"/>
                <c:pt idx="0">
                  <c:v>1088341827.06739</c:v>
                </c:pt>
                <c:pt idx="1">
                  <c:v>268533673.082696</c:v>
                </c:pt>
                <c:pt idx="2">
                  <c:v>83956671.5717866</c:v>
                </c:pt>
                <c:pt idx="3">
                  <c:v>72041608.5860937</c:v>
                </c:pt>
              </c:numCache>
            </c:numRef>
          </c:val>
        </c:ser>
        <c:firstSliceAng val="0"/>
        <c:holeSize val="50"/>
      </c:doughnutChart>
      <c:spPr>
        <a:noFill/>
        <a:ln w="0">
          <a:noFill/>
        </a:ln>
      </c:spPr>
    </c:plotArea>
    <c:legend>
      <c:legendPos val="r"/>
      <c:overlay val="0"/>
      <c:spPr>
        <a:noFill/>
        <a:ln w="0">
          <a:noFill/>
        </a:ln>
      </c:spPr>
      <c:txPr>
        <a:bodyPr/>
        <a:lstStyle/>
        <a:p>
          <a:pPr>
            <a:defRPr b="0" sz="900" spc="-1" strike="noStrike">
              <a:solidFill>
                <a:srgbClr val="595959"/>
              </a:solidFill>
              <a:latin typeface="Aptos Narrow"/>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100" spc="-1" strike="noStrike">
                <a:solidFill>
                  <a:srgbClr val="595959"/>
                </a:solidFill>
                <a:latin typeface="Aptos Narrow"/>
              </a:defRPr>
            </a:pPr>
            <a:r>
              <a:rPr b="1" lang="en-US" sz="1100" spc="-1" strike="noStrike">
                <a:solidFill>
                  <a:srgbClr val="595959"/>
                </a:solidFill>
                <a:latin typeface="Aptos Narrow"/>
              </a:rPr>
              <a:t>Uses of Funds</a:t>
            </a:r>
          </a:p>
        </c:rich>
      </c:tx>
      <c:overlay val="0"/>
      <c:spPr>
        <a:noFill/>
        <a:ln w="0">
          <a:noFill/>
        </a:ln>
      </c:spPr>
    </c:title>
    <c:autoTitleDeleted val="0"/>
    <c:plotArea>
      <c:doughnutChart>
        <c:varyColors val="1"/>
        <c:ser>
          <c:idx val="0"/>
          <c:order val="0"/>
          <c:spPr>
            <a:solidFill>
              <a:srgbClr val="156082"/>
            </a:solidFill>
            <a:ln w="0">
              <a:noFill/>
            </a:ln>
          </c:spPr>
          <c:explosion val="0"/>
          <c:dPt>
            <c:idx val="0"/>
            <c:spPr>
              <a:solidFill>
                <a:srgbClr val="1b3a4b"/>
              </a:solidFill>
              <a:ln w="19080">
                <a:solidFill>
                  <a:srgbClr val="ffffff"/>
                </a:solidFill>
                <a:round/>
              </a:ln>
            </c:spPr>
          </c:dPt>
          <c:dPt>
            <c:idx val="1"/>
            <c:spPr>
              <a:solidFill>
                <a:srgbClr val="1e7b40"/>
              </a:solidFill>
              <a:ln w="19080">
                <a:solidFill>
                  <a:srgbClr val="ffffff"/>
                </a:solidFill>
                <a:round/>
              </a:ln>
            </c:spPr>
          </c:dPt>
          <c:dPt>
            <c:idx val="2"/>
            <c:spPr>
              <a:solidFill>
                <a:srgbClr val="2e86ab"/>
              </a:solidFill>
              <a:ln w="19080">
                <a:solidFill>
                  <a:srgbClr val="ffffff"/>
                </a:solidFill>
                <a:round/>
              </a:ln>
            </c:spPr>
          </c:dPt>
          <c:dPt>
            <c:idx val="3"/>
            <c:spPr>
              <a:solidFill>
                <a:srgbClr val="9ca3af"/>
              </a:solidFill>
              <a:ln w="19080">
                <a:solidFill>
                  <a:srgbClr val="ffffff"/>
                </a:solidFill>
                <a:round/>
              </a:ln>
            </c:spPr>
          </c:dPt>
          <c:dPt>
            <c:idx val="4"/>
            <c:spPr>
              <a:solidFill>
                <a:srgbClr val="c8a227"/>
              </a:solidFill>
              <a:ln w="19080">
                <a:solidFill>
                  <a:srgbClr val="ffffff"/>
                </a:solidFill>
                <a:round/>
              </a:ln>
            </c:spPr>
          </c:dPt>
          <c:dPt>
            <c:idx val="5"/>
            <c:spPr>
              <a:solidFill>
                <a:srgbClr val="a6492e"/>
              </a:solidFill>
              <a:ln w="19080">
                <a:solidFill>
                  <a:srgbClr val="ffffff"/>
                </a:solidFill>
                <a:round/>
              </a:ln>
            </c:spPr>
          </c:dPt>
          <c:dLbls>
            <c:dLbl>
              <c:idx val="0"/>
              <c:txPr>
                <a:bodyPr wrap="square"/>
                <a:lstStyle/>
                <a:p>
                  <a:pPr>
                    <a:defRPr b="1" sz="900" spc="-1" strike="noStrike">
                      <a:solidFill>
                        <a:srgbClr val="ffffff"/>
                      </a:solidFill>
                      <a:latin typeface="Aptos Narrow"/>
                    </a:defRPr>
                  </a:pPr>
                </a:p>
              </c:txPr>
              <c:showLegendKey val="0"/>
              <c:showVal val="0"/>
              <c:showCatName val="0"/>
              <c:showSerName val="0"/>
              <c:showPercent val="1"/>
              <c:separator>
</c:separator>
            </c:dLbl>
            <c:dLbl>
              <c:idx val="1"/>
              <c:txPr>
                <a:bodyPr wrap="square"/>
                <a:lstStyle/>
                <a:p>
                  <a:pPr>
                    <a:defRPr b="1" sz="900" spc="-1" strike="noStrike">
                      <a:solidFill>
                        <a:srgbClr val="ffffff"/>
                      </a:solidFill>
                      <a:latin typeface="Aptos Narrow"/>
                    </a:defRPr>
                  </a:pPr>
                </a:p>
              </c:txPr>
              <c:showLegendKey val="0"/>
              <c:showVal val="0"/>
              <c:showCatName val="0"/>
              <c:showSerName val="0"/>
              <c:showPercent val="1"/>
              <c:separator>
</c:separator>
            </c:dLbl>
            <c:dLbl>
              <c:idx val="2"/>
              <c:txPr>
                <a:bodyPr wrap="square"/>
                <a:lstStyle/>
                <a:p>
                  <a:pPr>
                    <a:defRPr b="1" sz="900" spc="-1" strike="noStrike">
                      <a:solidFill>
                        <a:srgbClr val="ffffff"/>
                      </a:solidFill>
                      <a:latin typeface="Aptos Narrow"/>
                    </a:defRPr>
                  </a:pPr>
                </a:p>
              </c:txPr>
              <c:showLegendKey val="0"/>
              <c:showVal val="0"/>
              <c:showCatName val="0"/>
              <c:showSerName val="0"/>
              <c:showPercent val="1"/>
              <c:separator>
</c:separator>
            </c:dLbl>
            <c:dLbl>
              <c:idx val="3"/>
              <c:txPr>
                <a:bodyPr wrap="square"/>
                <a:lstStyle/>
                <a:p>
                  <a:pPr>
                    <a:defRPr b="1" sz="900" spc="-1" strike="noStrike">
                      <a:solidFill>
                        <a:srgbClr val="ffffff"/>
                      </a:solidFill>
                      <a:latin typeface="Aptos Narrow"/>
                    </a:defRPr>
                  </a:pPr>
                </a:p>
              </c:txPr>
              <c:showLegendKey val="0"/>
              <c:showVal val="0"/>
              <c:showCatName val="0"/>
              <c:showSerName val="0"/>
              <c:showPercent val="1"/>
              <c:separator>
</c:separator>
            </c:dLbl>
            <c:dLbl>
              <c:idx val="4"/>
              <c:txPr>
                <a:bodyPr wrap="square"/>
                <a:lstStyle/>
                <a:p>
                  <a:pPr>
                    <a:defRPr b="1" sz="900" spc="-1" strike="noStrike">
                      <a:solidFill>
                        <a:srgbClr val="ffffff"/>
                      </a:solidFill>
                      <a:latin typeface="Aptos Narrow"/>
                    </a:defRPr>
                  </a:pPr>
                </a:p>
              </c:txPr>
              <c:showLegendKey val="0"/>
              <c:showVal val="0"/>
              <c:showCatName val="0"/>
              <c:showSerName val="0"/>
              <c:showPercent val="1"/>
              <c:separator>
</c:separator>
            </c:dLbl>
            <c:dLbl>
              <c:idx val="5"/>
              <c:txPr>
                <a:bodyPr wrap="square"/>
                <a:lstStyle/>
                <a:p>
                  <a:pPr>
                    <a:defRPr b="1" sz="900" spc="-1" strike="noStrike">
                      <a:solidFill>
                        <a:srgbClr val="ffffff"/>
                      </a:solidFill>
                      <a:latin typeface="Aptos Narrow"/>
                    </a:defRPr>
                  </a:pPr>
                </a:p>
              </c:txPr>
              <c:showLegendKey val="0"/>
              <c:showVal val="0"/>
              <c:showCatName val="0"/>
              <c:showSerName val="0"/>
              <c:showPercent val="1"/>
              <c:separator>
</c:separator>
            </c:dLbl>
            <c:txPr>
              <a:bodyPr wrap="square"/>
              <a:lstStyle/>
              <a:p>
                <a:pPr>
                  <a:defRPr b="1" sz="900" spc="-1" strike="noStrike">
                    <a:solidFill>
                      <a:srgbClr val="ffffff"/>
                    </a:solidFill>
                    <a:latin typeface="Aptos Narrow"/>
                  </a:defRPr>
                </a:pPr>
              </a:p>
            </c:txPr>
            <c:showLegendKey val="0"/>
            <c:showVal val="0"/>
            <c:showCatName val="0"/>
            <c:showSerName val="0"/>
            <c:showPercent val="1"/>
            <c:separator>
</c:separator>
            <c:showLeaderLines val="1"/>
          </c:dLbls>
          <c:cat>
            <c:strRef>
              <c:f>'Sources &amp; Uses'!$A$61:$A$66</c:f>
              <c:strCache>
                <c:ptCount val="6"/>
                <c:pt idx="0">
                  <c:v>Construction (hard cost)</c:v>
                </c:pt>
                <c:pt idx="1">
                  <c:v>Land &amp; assemblage</c:v>
                </c:pt>
                <c:pt idx="2">
                  <c:v>Utility &amp; off-site</c:v>
                </c:pt>
                <c:pt idx="3">
                  <c:v>Owner soft costs</c:v>
                </c:pt>
                <c:pt idx="4">
                  <c:v>Financing (IDC)</c:v>
                </c:pt>
                <c:pt idx="5">
                  <c:v>Contingency</c:v>
                </c:pt>
              </c:strCache>
            </c:strRef>
          </c:cat>
          <c:val>
            <c:numRef>
              <c:f>'Sources &amp; Uses'!$B$61:$B$66</c:f>
              <c:numCache>
                <c:formatCode>\$#,##0</c:formatCode>
                <c:ptCount val="6"/>
                <c:pt idx="0">
                  <c:v>1088341827.06739</c:v>
                </c:pt>
                <c:pt idx="1">
                  <c:v>80000000</c:v>
                </c:pt>
                <c:pt idx="2">
                  <c:v>117000000</c:v>
                </c:pt>
                <c:pt idx="3">
                  <c:v>71533673.0826957</c:v>
                </c:pt>
                <c:pt idx="4">
                  <c:v>83956671.5717866</c:v>
                </c:pt>
                <c:pt idx="5">
                  <c:v>72041608.5860937</c:v>
                </c:pt>
              </c:numCache>
            </c:numRef>
          </c:val>
        </c:ser>
        <c:firstSliceAng val="0"/>
        <c:holeSize val="50"/>
      </c:doughnutChart>
      <c:spPr>
        <a:noFill/>
        <a:ln w="0">
          <a:noFill/>
        </a:ln>
      </c:spPr>
    </c:plotArea>
    <c:legend>
      <c:legendPos val="r"/>
      <c:overlay val="0"/>
      <c:spPr>
        <a:noFill/>
        <a:ln w="0">
          <a:noFill/>
        </a:ln>
      </c:spPr>
      <c:txPr>
        <a:bodyPr/>
        <a:lstStyle/>
        <a:p>
          <a:pPr>
            <a:defRPr b="0" sz="900" spc="-1" strike="noStrike">
              <a:solidFill>
                <a:srgbClr val="595959"/>
              </a:solidFill>
              <a:latin typeface="Aptos Narrow"/>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100" spc="-1" strike="noStrike">
                <a:solidFill>
                  <a:srgbClr val="595959"/>
                </a:solidFill>
                <a:latin typeface="Aptos Narrow"/>
              </a:defRPr>
            </a:pPr>
            <a:r>
              <a:rPr b="1" lang="en-US" sz="1100" spc="-1" strike="noStrike">
                <a:solidFill>
                  <a:srgbClr val="595959"/>
                </a:solidFill>
                <a:latin typeface="Aptos Narrow"/>
              </a:rPr>
              <a:t>NOI Ramp — lease-up to stabilized</a:t>
            </a:r>
          </a:p>
        </c:rich>
      </c:tx>
      <c:overlay val="0"/>
      <c:spPr>
        <a:noFill/>
        <a:ln w="0">
          <a:noFill/>
        </a:ln>
      </c:spPr>
    </c:title>
    <c:autoTitleDeleted val="0"/>
    <c:plotArea>
      <c:barChart>
        <c:barDir val="col"/>
        <c:grouping val="clustered"/>
        <c:varyColors val="0"/>
        <c:ser>
          <c:idx val="0"/>
          <c:order val="0"/>
          <c:spPr>
            <a:solidFill>
              <a:srgbClr val="1e7b40"/>
            </a:solidFill>
            <a:ln w="0">
              <a:noFill/>
            </a:ln>
          </c:spPr>
          <c:invertIfNegative val="0"/>
          <c:dLbls>
            <c:numFmt formatCode="\$#,##0,,\M" sourceLinked="1"/>
            <c:txPr>
              <a:bodyPr wrap="square"/>
              <a:lstStyle/>
              <a:p>
                <a:pPr>
                  <a:defRPr b="1" sz="800" spc="-1" strike="noStrike">
                    <a:solidFill>
                      <a:srgbClr val="404040"/>
                    </a:solidFill>
                    <a:latin typeface="Aptos Narrow"/>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'Investment Pro Forma'!$M$6:$M$13</c:f>
              <c:strCache>
                <c:ptCount val="8"/>
                <c:pt idx="0">
                  <c:v>Yr 1</c:v>
                </c:pt>
                <c:pt idx="1">
                  <c:v>Yr 2</c:v>
                </c:pt>
                <c:pt idx="2">
                  <c:v>Yr 3</c:v>
                </c:pt>
                <c:pt idx="3">
                  <c:v>Yr 4</c:v>
                </c:pt>
                <c:pt idx="4">
                  <c:v>Yr 5</c:v>
                </c:pt>
                <c:pt idx="5">
                  <c:v>Yr 6</c:v>
                </c:pt>
                <c:pt idx="6">
                  <c:v>Yr 7</c:v>
                </c:pt>
                <c:pt idx="7">
                  <c:v>Yr 8</c:v>
                </c:pt>
              </c:strCache>
            </c:strRef>
          </c:cat>
          <c:val>
            <c:numRef>
              <c:f>'Investment Pro Forma'!$N$6:$N$13</c:f>
              <c:numCache>
                <c:formatCode>\$#,##0,,\M</c:formatCode>
                <c:ptCount val="8"/>
                <c:pt idx="0">
                  <c:v>76632970.7702869</c:v>
                </c:pt>
                <c:pt idx="1">
                  <c:v>135769990.312911</c:v>
                </c:pt>
                <c:pt idx="2">
                  <c:v>167943812.261707</c:v>
                </c:pt>
                <c:pt idx="3">
                  <c:v>180218062.606205</c:v>
                </c:pt>
                <c:pt idx="4">
                  <c:v>185624604.484392</c:v>
                </c:pt>
                <c:pt idx="5">
                  <c:v>191193342.618923</c:v>
                </c:pt>
                <c:pt idx="6">
                  <c:v>196929142.897491</c:v>
                </c:pt>
                <c:pt idx="7">
                  <c:v>202837017.184416</c:v>
                </c:pt>
              </c:numCache>
            </c:numRef>
          </c:val>
        </c:ser>
        <c:gapWidth val="219"/>
        <c:overlap val="-27"/>
        <c:axId val="5672062"/>
        <c:axId val="71761698"/>
      </c:barChart>
      <c:catAx>
        <c:axId val="5672062"/>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Aptos Narrow"/>
              </a:defRPr>
            </a:pPr>
          </a:p>
        </c:txPr>
        <c:crossAx val="71761698"/>
        <c:crosses val="autoZero"/>
        <c:auto val="1"/>
        <c:lblAlgn val="ctr"/>
        <c:lblOffset val="100"/>
        <c:noMultiLvlLbl val="0"/>
      </c:catAx>
      <c:valAx>
        <c:axId val="71761698"/>
        <c:scaling>
          <c:orientation val="minMax"/>
        </c:scaling>
        <c:delete val="0"/>
        <c:axPos val="l"/>
        <c:majorGridlines>
          <c:spPr>
            <a:ln w="9360">
              <a:solidFill>
                <a:srgbClr val="d9d9d9"/>
              </a:solidFill>
              <a:round/>
            </a:ln>
          </c:spPr>
        </c:majorGridlines>
        <c:title>
          <c:tx>
            <c:rich>
              <a:bodyPr rot="-5400000"/>
              <a:lstStyle/>
              <a:p>
                <a:pPr>
                  <a:defRPr b="0" lang="en-US" sz="900" spc="-1" strike="noStrike">
                    <a:solidFill>
                      <a:srgbClr val="595959"/>
                    </a:solidFill>
                    <a:latin typeface="Aptos Narrow"/>
                  </a:defRPr>
                </a:pPr>
                <a:r>
                  <a:rPr b="0" lang="en-US" sz="900" spc="-1" strike="noStrike">
                    <a:solidFill>
                      <a:srgbClr val="595959"/>
                    </a:solidFill>
                    <a:latin typeface="Aptos Narrow"/>
                  </a:rPr>
                  <a:t>NOI ($M)</a:t>
                </a:r>
              </a:p>
            </c:rich>
          </c:tx>
          <c:overlay val="0"/>
          <c:spPr>
            <a:noFill/>
            <a:ln w="0">
              <a:noFill/>
            </a:ln>
          </c:spPr>
        </c:title>
        <c:numFmt formatCode="\$#,##0,,\M" sourceLinked="0"/>
        <c:majorTickMark val="none"/>
        <c:minorTickMark val="none"/>
        <c:tickLblPos val="nextTo"/>
        <c:spPr>
          <a:ln w="12600">
            <a:noFill/>
          </a:ln>
        </c:spPr>
        <c:txPr>
          <a:bodyPr/>
          <a:lstStyle/>
          <a:p>
            <a:pPr>
              <a:defRPr b="0" sz="900" spc="-1" strike="noStrike">
                <a:solidFill>
                  <a:srgbClr val="595959"/>
                </a:solidFill>
                <a:latin typeface="Aptos Narrow"/>
              </a:defRPr>
            </a:pPr>
          </a:p>
        </c:txPr>
        <c:crossAx val="567206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100" spc="-1" strike="noStrike">
                <a:solidFill>
                  <a:srgbClr val="595959"/>
                </a:solidFill>
                <a:latin typeface="Aptos Narrow"/>
              </a:defRPr>
            </a:pPr>
            <a:r>
              <a:rPr b="1" lang="en-US" sz="1100" spc="-1" strike="noStrike">
                <a:solidFill>
                  <a:srgbClr val="595959"/>
                </a:solidFill>
                <a:latin typeface="Aptos Narrow"/>
              </a:rPr>
              <a:t>Unlevered IRR Sensitivity to Cost Variance</a:t>
            </a:r>
          </a:p>
        </c:rich>
      </c:tx>
      <c:overlay val="0"/>
      <c:spPr>
        <a:noFill/>
        <a:ln w="0">
          <a:noFill/>
        </a:ln>
      </c:spPr>
    </c:title>
    <c:autoTitleDeleted val="0"/>
    <c:plotArea>
      <c:barChart>
        <c:barDir val="col"/>
        <c:grouping val="clustered"/>
        <c:varyColors val="0"/>
        <c:ser>
          <c:idx val="0"/>
          <c:order val="0"/>
          <c:spPr>
            <a:solidFill>
              <a:srgbClr val="156082"/>
            </a:solidFill>
            <a:ln w="0">
              <a:noFill/>
            </a:ln>
          </c:spPr>
          <c:invertIfNegative val="0"/>
          <c:dPt>
            <c:idx val="0"/>
            <c:invertIfNegative val="0"/>
            <c:spPr>
              <a:solidFill>
                <a:srgbClr val="1e7b40"/>
              </a:solidFill>
              <a:ln w="0">
                <a:noFill/>
              </a:ln>
            </c:spPr>
          </c:dPt>
          <c:dPt>
            <c:idx val="1"/>
            <c:invertIfNegative val="0"/>
            <c:spPr>
              <a:solidFill>
                <a:srgbClr val="1e7b40"/>
              </a:solidFill>
              <a:ln w="0">
                <a:noFill/>
              </a:ln>
            </c:spPr>
          </c:dPt>
          <c:dPt>
            <c:idx val="2"/>
            <c:invertIfNegative val="0"/>
            <c:spPr>
              <a:solidFill>
                <a:srgbClr val="9ca3af"/>
              </a:solidFill>
              <a:ln w="0">
                <a:noFill/>
              </a:ln>
            </c:spPr>
          </c:dPt>
          <c:dPt>
            <c:idx val="3"/>
            <c:invertIfNegative val="0"/>
            <c:spPr>
              <a:solidFill>
                <a:srgbClr val="c0392b"/>
              </a:solidFill>
              <a:ln w="0">
                <a:noFill/>
              </a:ln>
            </c:spPr>
          </c:dPt>
          <c:dPt>
            <c:idx val="4"/>
            <c:invertIfNegative val="0"/>
            <c:spPr>
              <a:solidFill>
                <a:srgbClr val="c0392b"/>
              </a:solidFill>
              <a:ln w="0">
                <a:noFill/>
              </a:ln>
            </c:spPr>
          </c:dPt>
          <c:dPt>
            <c:idx val="5"/>
            <c:invertIfNegative val="0"/>
            <c:spPr>
              <a:solidFill>
                <a:srgbClr val="c0392b"/>
              </a:solidFill>
              <a:ln w="0">
                <a:noFill/>
              </a:ln>
            </c:spPr>
          </c:dPt>
          <c:dLbls>
            <c:numFmt formatCode="\+#,##0;\-#,##0" sourceLinked="1"/>
            <c:dLbl>
              <c:idx val="0"/>
              <c:numFmt formatCode="\+#,##0;\-#,##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dLbl>
            <c:dLbl>
              <c:idx val="1"/>
              <c:numFmt formatCode="\+#,##0;\-#,##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dLbl>
            <c:dLbl>
              <c:idx val="2"/>
              <c:numFmt formatCode="\+#,##0;\-#,##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dLbl>
            <c:dLbl>
              <c:idx val="3"/>
              <c:numFmt formatCode="\+#,##0;\-#,##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dLbl>
            <c:dLbl>
              <c:idx val="4"/>
              <c:numFmt formatCode="\+#,##0;\-#,##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dLbl>
            <c:dLbl>
              <c:idx val="5"/>
              <c:numFmt formatCode="\+#,##0;\-#,##0" sourceLinked="1"/>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dLbl>
            <c:txPr>
              <a:bodyPr wrap="square"/>
              <a:lstStyle/>
              <a:p>
                <a:pPr>
                  <a:defRPr b="1" sz="900" spc="-1" strike="noStrike">
                    <a:solidFill>
                      <a:srgbClr val="404040"/>
                    </a:solidFill>
                    <a:latin typeface="Aptos Narrow"/>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'Variance-to-Return'!$A$58:$A$63</c:f>
              <c:strCache>
                <c:ptCount val="6"/>
                <c:pt idx="0">
                  <c:v>Cost −5%</c:v>
                </c:pt>
                <c:pt idx="1">
                  <c:v>Cost −2.5%</c:v>
                </c:pt>
                <c:pt idx="2">
                  <c:v>Baseline</c:v>
                </c:pt>
                <c:pt idx="3">
                  <c:v>Cost +2.5%</c:v>
                </c:pt>
                <c:pt idx="4">
                  <c:v>Cost +5%</c:v>
                </c:pt>
                <c:pt idx="5">
                  <c:v>Cost +10%</c:v>
                </c:pt>
              </c:strCache>
            </c:strRef>
          </c:cat>
          <c:val>
            <c:numRef>
              <c:f>'Variance-to-Return'!$B$58:$B$63</c:f>
              <c:numCache>
                <c:formatCode>\+#,##0" bps";\(#,##0") bps";0" bps"</c:formatCode>
                <c:ptCount val="6"/>
                <c:pt idx="0">
                  <c:v>94.6587514699032</c:v>
                </c:pt>
                <c:pt idx="1">
                  <c:v>46.5468417412177</c:v>
                </c:pt>
                <c:pt idx="2">
                  <c:v>0</c:v>
                </c:pt>
                <c:pt idx="3">
                  <c:v>-45.0730162862389</c:v>
                </c:pt>
                <c:pt idx="4">
                  <c:v>-88.755932094087</c:v>
                </c:pt>
                <c:pt idx="5">
                  <c:v>-172.253414871417</c:v>
                </c:pt>
              </c:numCache>
            </c:numRef>
          </c:val>
        </c:ser>
        <c:gapWidth val="219"/>
        <c:overlap val="-27"/>
        <c:axId val="4938604"/>
        <c:axId val="70613903"/>
      </c:barChart>
      <c:catAx>
        <c:axId val="493860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Aptos Narrow"/>
              </a:defRPr>
            </a:pPr>
          </a:p>
        </c:txPr>
        <c:crossAx val="70613903"/>
        <c:crosses val="autoZero"/>
        <c:auto val="1"/>
        <c:lblAlgn val="ctr"/>
        <c:lblOffset val="100"/>
        <c:noMultiLvlLbl val="0"/>
      </c:catAx>
      <c:valAx>
        <c:axId val="70613903"/>
        <c:scaling>
          <c:orientation val="minMax"/>
        </c:scaling>
        <c:delete val="0"/>
        <c:axPos val="l"/>
        <c:majorGridlines>
          <c:spPr>
            <a:ln w="9360">
              <a:solidFill>
                <a:srgbClr val="d9d9d9"/>
              </a:solidFill>
              <a:round/>
            </a:ln>
          </c:spPr>
        </c:majorGridlines>
        <c:title>
          <c:tx>
            <c:rich>
              <a:bodyPr rot="-5400000"/>
              <a:lstStyle/>
              <a:p>
                <a:pPr>
                  <a:defRPr b="0" lang="el-GR" sz="900" spc="-1" strike="noStrike">
                    <a:solidFill>
                      <a:srgbClr val="595959"/>
                    </a:solidFill>
                    <a:latin typeface="Aptos Narrow"/>
                  </a:defRPr>
                </a:pPr>
                <a:r>
                  <a:rPr b="0" lang="el-GR" sz="900" spc="-1" strike="noStrike">
                    <a:solidFill>
                      <a:srgbClr val="595959"/>
                    </a:solidFill>
                    <a:latin typeface="Aptos Narrow"/>
                  </a:rPr>
                  <a:t>Δ unlevered IRR (bps)</a:t>
                </a:r>
              </a:p>
            </c:rich>
          </c:tx>
          <c:overlay val="0"/>
          <c:spPr>
            <a:noFill/>
            <a:ln w="0">
              <a:noFill/>
            </a:ln>
          </c:spPr>
        </c:title>
        <c:numFmt formatCode="\+#,##0&quot; bps&quot;;\(#,##0&quot;) bps&quot;;0&quot; bps&quot;" sourceLinked="0"/>
        <c:majorTickMark val="none"/>
        <c:minorTickMark val="none"/>
        <c:tickLblPos val="nextTo"/>
        <c:spPr>
          <a:ln w="12600">
            <a:noFill/>
          </a:ln>
        </c:spPr>
        <c:txPr>
          <a:bodyPr/>
          <a:lstStyle/>
          <a:p>
            <a:pPr>
              <a:defRPr b="0" sz="900" spc="-1" strike="noStrike">
                <a:solidFill>
                  <a:srgbClr val="595959"/>
                </a:solidFill>
                <a:latin typeface="Aptos Narrow"/>
              </a:defRPr>
            </a:pPr>
          </a:p>
        </c:txPr>
        <c:crossAx val="493860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100" spc="-1" strike="noStrike">
                <a:solidFill>
                  <a:srgbClr val="1b3a4b"/>
                </a:solidFill>
                <a:latin typeface="Aptos Narrow"/>
              </a:defRPr>
            </a:pPr>
            <a:r>
              <a:rPr b="1" lang="en-US" sz="1100" spc="-1" strike="noStrike">
                <a:solidFill>
                  <a:srgbClr val="1b3a4b"/>
                </a:solidFill>
                <a:latin typeface="Aptos Narrow"/>
              </a:rPr>
              <a:t>Sources of Capital</a:t>
            </a:r>
          </a:p>
        </c:rich>
      </c:tx>
      <c:overlay val="0"/>
      <c:spPr>
        <a:noFill/>
        <a:ln w="0">
          <a:noFill/>
        </a:ln>
      </c:spPr>
    </c:title>
    <c:autoTitleDeleted val="0"/>
    <c:plotArea>
      <c:doughnutChart>
        <c:varyColors val="1"/>
        <c:ser>
          <c:idx val="0"/>
          <c:order val="0"/>
          <c:spPr>
            <a:solidFill>
              <a:srgbClr val="156082"/>
            </a:solidFill>
            <a:ln w="0">
              <a:noFill/>
            </a:ln>
          </c:spPr>
          <c:explosion val="0"/>
          <c:dPt>
            <c:idx val="0"/>
            <c:spPr>
              <a:solidFill>
                <a:srgbClr val="1b3a4b"/>
              </a:solidFill>
              <a:ln w="19080">
                <a:solidFill>
                  <a:srgbClr val="ffffff"/>
                </a:solidFill>
                <a:round/>
              </a:ln>
            </c:spPr>
          </c:dPt>
          <c:dPt>
            <c:idx val="1"/>
            <c:spPr>
              <a:solidFill>
                <a:srgbClr val="1e7b40"/>
              </a:solidFill>
              <a:ln w="19080">
                <a:solidFill>
                  <a:srgbClr val="ffffff"/>
                </a:solidFill>
                <a:round/>
              </a:ln>
            </c:spPr>
          </c:dPt>
          <c:dLbls>
            <c:dLbl>
              <c:idx val="0"/>
              <c:txPr>
                <a:bodyPr wrap="square"/>
                <a:lstStyle/>
                <a:p>
                  <a:pPr>
                    <a:defRPr b="1" sz="1000" spc="-1" strike="noStrike">
                      <a:solidFill>
                        <a:srgbClr val="ffffff"/>
                      </a:solidFill>
                      <a:latin typeface="Aptos Narrow"/>
                    </a:defRPr>
                  </a:pPr>
                </a:p>
              </c:txPr>
              <c:showLegendKey val="0"/>
              <c:showVal val="0"/>
              <c:showCatName val="0"/>
              <c:showSerName val="0"/>
              <c:showPercent val="1"/>
              <c:separator>
</c:separator>
            </c:dLbl>
            <c:dLbl>
              <c:idx val="1"/>
              <c:txPr>
                <a:bodyPr wrap="square"/>
                <a:lstStyle/>
                <a:p>
                  <a:pPr>
                    <a:defRPr b="1" sz="1000" spc="-1" strike="noStrike">
                      <a:solidFill>
                        <a:srgbClr val="ffffff"/>
                      </a:solidFill>
                      <a:latin typeface="Aptos Narrow"/>
                    </a:defRPr>
                  </a:pPr>
                </a:p>
              </c:txPr>
              <c:showLegendKey val="0"/>
              <c:showVal val="0"/>
              <c:showCatName val="0"/>
              <c:showSerName val="0"/>
              <c:showPercent val="1"/>
              <c:separator>
</c:separator>
            </c:dLbl>
            <c:txPr>
              <a:bodyPr wrap="square"/>
              <a:lstStyle/>
              <a:p>
                <a:pPr>
                  <a:defRPr b="1" sz="1000" spc="-1" strike="noStrike">
                    <a:solidFill>
                      <a:srgbClr val="ffffff"/>
                    </a:solidFill>
                    <a:latin typeface="Aptos Narrow"/>
                  </a:defRPr>
                </a:pPr>
              </a:p>
            </c:txPr>
            <c:showLegendKey val="0"/>
            <c:showVal val="0"/>
            <c:showCatName val="0"/>
            <c:showSerName val="0"/>
            <c:showPercent val="1"/>
            <c:separator>
</c:separator>
            <c:showLeaderLines val="1"/>
          </c:dLbls>
          <c:cat>
            <c:strRef>
              <c:f>'IC Summary'!$A$41:$A$42</c:f>
              <c:strCache>
                <c:ptCount val="2"/>
                <c:pt idx="0">
                  <c:v>Senior debt (perm)</c:v>
                </c:pt>
                <c:pt idx="1">
                  <c:v>Sponsor equity</c:v>
                </c:pt>
              </c:strCache>
            </c:strRef>
          </c:cat>
          <c:val>
            <c:numRef>
              <c:f>'IC Summary'!$B$41:$B$42</c:f>
              <c:numCache>
                <c:formatCode>\$#,##0;"($"#,##0\);\-</c:formatCode>
                <c:ptCount val="2"/>
                <c:pt idx="0">
                  <c:v>907724268.184781</c:v>
                </c:pt>
                <c:pt idx="1">
                  <c:v>605149512.123187</c:v>
                </c:pt>
              </c:numCache>
            </c:numRef>
          </c:val>
        </c:ser>
        <c:firstSliceAng val="0"/>
        <c:holeSize val="50"/>
      </c:doughnutChart>
      <c:spPr>
        <a:noFill/>
        <a:ln w="0">
          <a:noFill/>
        </a:ln>
      </c:spPr>
    </c:plotArea>
    <c:legend>
      <c:legendPos val="b"/>
      <c:overlay val="0"/>
      <c:spPr>
        <a:noFill/>
        <a:ln w="0">
          <a:noFill/>
        </a:ln>
      </c:spPr>
      <c:txPr>
        <a:bodyPr/>
        <a:lstStyle/>
        <a:p>
          <a:pPr>
            <a:defRPr b="0" sz="900" spc="-1" strike="noStrike">
              <a:solidFill>
                <a:srgbClr val="595959"/>
              </a:solidFill>
              <a:latin typeface="Aptos Narrow"/>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100" spc="-1" strike="noStrike">
                <a:solidFill>
                  <a:srgbClr val="595959"/>
                </a:solidFill>
                <a:latin typeface="Aptos Narrow"/>
              </a:defRPr>
            </a:pPr>
            <a:r>
              <a:rPr b="1" lang="en-US" sz="1100" spc="-1" strike="noStrike">
                <a:solidFill>
                  <a:srgbClr val="595959"/>
                </a:solidFill>
                <a:latin typeface="Aptos Narrow"/>
              </a:rPr>
              <a:t>Project vs Equity IRR</a:t>
            </a:r>
          </a:p>
        </c:rich>
      </c:tx>
      <c:overlay val="0"/>
      <c:spPr>
        <a:noFill/>
        <a:ln w="0">
          <a:noFill/>
        </a:ln>
      </c:spPr>
    </c:title>
    <c:autoTitleDeleted val="0"/>
    <c:plotArea>
      <c:barChart>
        <c:barDir val="col"/>
        <c:grouping val="clustered"/>
        <c:varyColors val="0"/>
        <c:ser>
          <c:idx val="0"/>
          <c:order val="0"/>
          <c:spPr>
            <a:solidFill>
              <a:srgbClr val="156082"/>
            </a:solidFill>
            <a:ln w="0">
              <a:noFill/>
            </a:ln>
          </c:spPr>
          <c:invertIfNegative val="0"/>
          <c:dPt>
            <c:idx val="0"/>
            <c:invertIfNegative val="0"/>
            <c:spPr>
              <a:solidFill>
                <a:srgbClr val="1b3a4b"/>
              </a:solidFill>
              <a:ln w="0">
                <a:noFill/>
              </a:ln>
            </c:spPr>
          </c:dPt>
          <c:dPt>
            <c:idx val="1"/>
            <c:invertIfNegative val="0"/>
            <c:spPr>
              <a:solidFill>
                <a:srgbClr val="1e7b40"/>
              </a:solidFill>
              <a:ln w="0">
                <a:noFill/>
              </a:ln>
            </c:spPr>
          </c:dPt>
          <c:dLbls>
            <c:numFmt formatCode="0.0%" sourceLinked="1"/>
            <c:dLbl>
              <c:idx val="0"/>
              <c:numFmt formatCode="0.0%" sourceLinked="1"/>
              <c:txPr>
                <a:bodyPr wrap="square"/>
                <a:lstStyle/>
                <a:p>
                  <a:pPr>
                    <a:defRPr b="1" sz="1000" spc="-1" strike="noStrike">
                      <a:solidFill>
                        <a:srgbClr val="404040"/>
                      </a:solidFill>
                      <a:latin typeface="Aptos Narrow"/>
                    </a:defRPr>
                  </a:pPr>
                </a:p>
              </c:txPr>
              <c:dLblPos val="outEnd"/>
              <c:showLegendKey val="0"/>
              <c:showVal val="1"/>
              <c:showCatName val="0"/>
              <c:showSerName val="0"/>
              <c:showPercent val="0"/>
              <c:separator>; </c:separator>
            </c:dLbl>
            <c:dLbl>
              <c:idx val="1"/>
              <c:numFmt formatCode="0.0%" sourceLinked="1"/>
              <c:txPr>
                <a:bodyPr wrap="square"/>
                <a:lstStyle/>
                <a:p>
                  <a:pPr>
                    <a:defRPr b="1" sz="1000" spc="-1" strike="noStrike">
                      <a:solidFill>
                        <a:srgbClr val="404040"/>
                      </a:solidFill>
                      <a:latin typeface="Aptos Narrow"/>
                    </a:defRPr>
                  </a:pPr>
                </a:p>
              </c:txPr>
              <c:dLblPos val="outEnd"/>
              <c:showLegendKey val="0"/>
              <c:showVal val="1"/>
              <c:showCatName val="0"/>
              <c:showSerName val="0"/>
              <c:showPercent val="0"/>
              <c:separator>; </c:separator>
            </c:dLbl>
            <c:txPr>
              <a:bodyPr wrap="square"/>
              <a:lstStyle/>
              <a:p>
                <a:pPr>
                  <a:defRPr b="1" sz="1000" spc="-1" strike="noStrike">
                    <a:solidFill>
                      <a:srgbClr val="404040"/>
                    </a:solidFill>
                    <a:latin typeface="Aptos Narrow"/>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'IC Summary'!$A$44:$A$45</c:f>
              <c:strCache>
                <c:ptCount val="2"/>
                <c:pt idx="0">
                  <c:v>Unlevered IRR (project)</c:v>
                </c:pt>
                <c:pt idx="1">
                  <c:v>Levered IRR (equity)</c:v>
                </c:pt>
              </c:strCache>
            </c:strRef>
          </c:cat>
          <c:val>
            <c:numRef>
              <c:f>'IC Summary'!$B$44:$B$45</c:f>
              <c:numCache>
                <c:formatCode>0.0%</c:formatCode>
                <c:ptCount val="2"/>
                <c:pt idx="0">
                  <c:v>0.174414701484592</c:v>
                </c:pt>
                <c:pt idx="1">
                  <c:v>0.266511265789023</c:v>
                </c:pt>
              </c:numCache>
            </c:numRef>
          </c:val>
        </c:ser>
        <c:gapWidth val="219"/>
        <c:overlap val="-27"/>
        <c:axId val="66678657"/>
        <c:axId val="45111016"/>
      </c:barChart>
      <c:catAx>
        <c:axId val="6667865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Aptos Narrow"/>
              </a:defRPr>
            </a:pPr>
          </a:p>
        </c:txPr>
        <c:crossAx val="45111016"/>
        <c:crosses val="autoZero"/>
        <c:auto val="1"/>
        <c:lblAlgn val="ctr"/>
        <c:lblOffset val="100"/>
        <c:noMultiLvlLbl val="0"/>
      </c:catAx>
      <c:valAx>
        <c:axId val="45111016"/>
        <c:scaling>
          <c:orientation val="minMax"/>
          <c:min val="0"/>
        </c:scaling>
        <c:delete val="0"/>
        <c:axPos val="l"/>
        <c:majorGridlines>
          <c:spPr>
            <a:ln w="9360">
              <a:solidFill>
                <a:srgbClr val="d9d9d9"/>
              </a:solidFill>
              <a:round/>
            </a:ln>
          </c:spPr>
        </c:majorGridlines>
        <c:numFmt formatCode="0%" sourceLinked="0"/>
        <c:majorTickMark val="none"/>
        <c:minorTickMark val="none"/>
        <c:tickLblPos val="nextTo"/>
        <c:spPr>
          <a:ln w="12600">
            <a:noFill/>
          </a:ln>
        </c:spPr>
        <c:txPr>
          <a:bodyPr/>
          <a:lstStyle/>
          <a:p>
            <a:pPr>
              <a:defRPr b="0" sz="900" spc="-1" strike="noStrike">
                <a:solidFill>
                  <a:srgbClr val="595959"/>
                </a:solidFill>
                <a:latin typeface="Aptos Narrow"/>
              </a:defRPr>
            </a:pPr>
          </a:p>
        </c:txPr>
        <c:crossAx val="6667865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Aptos Narrow"/>
              </a:defRPr>
            </a:pPr>
            <a:r>
              <a:rPr b="1" lang="en-US" sz="1800" spc="-1" strike="noStrike">
                <a:solidFill>
                  <a:srgbClr val="000000"/>
                </a:solidFill>
                <a:latin typeface="Aptos Narrow"/>
              </a:rPr>
              <a:t>Capital Deployment by Year</a:t>
            </a:r>
          </a:p>
        </c:rich>
      </c:tx>
      <c:overlay val="0"/>
      <c:spPr>
        <a:noFill/>
        <a:ln w="0">
          <a:noFill/>
        </a:ln>
      </c:spPr>
    </c:title>
    <c:autoTitleDeleted val="0"/>
    <c:plotArea>
      <c:barChart>
        <c:barDir val="col"/>
        <c:grouping val="clustered"/>
        <c:varyColors val="0"/>
        <c:ser>
          <c:idx val="0"/>
          <c:order val="0"/>
          <c:tx>
            <c:strRef>
              <c:f>'Phased Capital Plan'!$F$12</c:f>
              <c:strCache>
                <c:ptCount val="1"/>
                <c:pt idx="0">
                  <c:v>Escalated capex</c:v>
                </c:pt>
              </c:strCache>
            </c:strRef>
          </c:tx>
          <c:spPr>
            <a:solidFill>
              <a:srgbClr val="156082"/>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'Phased Capital Plan'!$A$13:$A$17</c:f>
              <c:strCache>
                <c:ptCount val="5"/>
                <c:pt idx="0">
                  <c:v>2026</c:v>
                </c:pt>
                <c:pt idx="1">
                  <c:v>2027</c:v>
                </c:pt>
                <c:pt idx="2">
                  <c:v>2028</c:v>
                </c:pt>
                <c:pt idx="3">
                  <c:v>2029</c:v>
                </c:pt>
                <c:pt idx="4">
                  <c:v>2030</c:v>
                </c:pt>
              </c:strCache>
            </c:strRef>
          </c:cat>
          <c:val>
            <c:numRef>
              <c:f>'Phased Capital Plan'!$F$13:$F$17</c:f>
              <c:numCache>
                <c:formatCode>\$#,##0</c:formatCode>
                <c:ptCount val="5"/>
                <c:pt idx="0">
                  <c:v>532185023.984531</c:v>
                </c:pt>
                <c:pt idx="1">
                  <c:v>556156803.082861</c:v>
                </c:pt>
                <c:pt idx="2">
                  <c:v>287811145.59538</c:v>
                </c:pt>
                <c:pt idx="3">
                  <c:v>297884535.691219</c:v>
                </c:pt>
                <c:pt idx="4">
                  <c:v>308310494.440411</c:v>
                </c:pt>
              </c:numCache>
            </c:numRef>
          </c:val>
        </c:ser>
        <c:gapWidth val="150"/>
        <c:overlap val="0"/>
        <c:axId val="28151907"/>
        <c:axId val="26490996"/>
      </c:barChart>
      <c:lineChart>
        <c:grouping val="standard"/>
        <c:varyColors val="0"/>
        <c:ser>
          <c:idx val="1"/>
          <c:order val="1"/>
          <c:tx>
            <c:strRef>
              <c:f>'Phased Capital Plan'!$G$12</c:f>
              <c:strCache>
                <c:ptCount val="1"/>
                <c:pt idx="0">
                  <c:v>Cumulative capex</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'Phased Capital Plan'!$A$13:$A$17</c:f>
              <c:strCache>
                <c:ptCount val="5"/>
                <c:pt idx="0">
                  <c:v>2026</c:v>
                </c:pt>
                <c:pt idx="1">
                  <c:v>2027</c:v>
                </c:pt>
                <c:pt idx="2">
                  <c:v>2028</c:v>
                </c:pt>
                <c:pt idx="3">
                  <c:v>2029</c:v>
                </c:pt>
                <c:pt idx="4">
                  <c:v>2030</c:v>
                </c:pt>
              </c:strCache>
            </c:strRef>
          </c:cat>
          <c:val>
            <c:numRef>
              <c:f>'Phased Capital Plan'!$G$13:$G$17</c:f>
              <c:numCache>
                <c:formatCode>\$#,##0</c:formatCode>
                <c:ptCount val="5"/>
                <c:pt idx="0">
                  <c:v>532185023.984531</c:v>
                </c:pt>
                <c:pt idx="1">
                  <c:v>1088341827.06739</c:v>
                </c:pt>
                <c:pt idx="2">
                  <c:v>1376152972.66277</c:v>
                </c:pt>
                <c:pt idx="3">
                  <c:v>1674037508.35399</c:v>
                </c:pt>
                <c:pt idx="4">
                  <c:v>1982348002.7944</c:v>
                </c:pt>
              </c:numCache>
            </c:numRef>
          </c:val>
          <c:smooth val="1"/>
        </c:ser>
        <c:hiLowLines>
          <c:spPr>
            <a:ln w="0">
              <a:noFill/>
            </a:ln>
          </c:spPr>
        </c:hiLowLines>
        <c:marker val="0"/>
        <c:axId val="40148525"/>
        <c:axId val="29135048"/>
      </c:lineChart>
      <c:catAx>
        <c:axId val="2815190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26490996"/>
        <c:crosses val="autoZero"/>
        <c:auto val="1"/>
        <c:lblAlgn val="ctr"/>
        <c:lblOffset val="100"/>
        <c:noMultiLvlLbl val="0"/>
      </c:catAx>
      <c:valAx>
        <c:axId val="26490996"/>
        <c:scaling>
          <c:orientation val="minMax"/>
        </c:scaling>
        <c:delete val="0"/>
        <c:axPos val="l"/>
        <c:majorGridlines>
          <c:spPr>
            <a:ln w="0">
              <a:solidFill>
                <a:srgbClr val="b3b3b3"/>
              </a:solidFill>
            </a:ln>
          </c:spPr>
        </c:majorGridlines>
        <c:title>
          <c:tx>
            <c:rich>
              <a:bodyPr rot="-5400000"/>
              <a:lstStyle/>
              <a:p>
                <a:pPr>
                  <a:defRPr b="1" lang="en-US" sz="1000" spc="-1" strike="noStrike">
                    <a:solidFill>
                      <a:srgbClr val="000000"/>
                    </a:solidFill>
                    <a:latin typeface="Aptos Narrow"/>
                  </a:defRPr>
                </a:pPr>
                <a:r>
                  <a:rPr b="1" lang="en-US" sz="1000" spc="-1" strike="noStrike">
                    <a:solidFill>
                      <a:srgbClr val="000000"/>
                    </a:solidFill>
                    <a:latin typeface="Aptos Narrow"/>
                  </a:rPr>
                  <a:t>Annual capex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28151907"/>
        <c:crosses val="autoZero"/>
        <c:crossBetween val="between"/>
      </c:valAx>
      <c:catAx>
        <c:axId val="40148525"/>
        <c:scaling>
          <c:orientation val="minMax"/>
        </c:scaling>
        <c:delete val="0"/>
        <c:axPos val="t"/>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29135048"/>
        <c:crosses val="autoZero"/>
        <c:auto val="1"/>
        <c:lblAlgn val="ctr"/>
        <c:lblOffset val="100"/>
        <c:noMultiLvlLbl val="0"/>
      </c:catAx>
      <c:valAx>
        <c:axId val="29135048"/>
        <c:scaling>
          <c:orientation val="minMax"/>
        </c:scaling>
        <c:delete val="0"/>
        <c:axPos val="r"/>
        <c:title>
          <c:tx>
            <c:rich>
              <a:bodyPr rot="-5400000"/>
              <a:lstStyle/>
              <a:p>
                <a:pPr>
                  <a:defRPr b="1" lang="en-US" sz="1000" spc="-1" strike="noStrike">
                    <a:solidFill>
                      <a:srgbClr val="000000"/>
                    </a:solidFill>
                    <a:latin typeface="Aptos Narrow"/>
                  </a:defRPr>
                </a:pPr>
                <a:r>
                  <a:rPr b="1" lang="en-US" sz="1000" spc="-1" strike="noStrike">
                    <a:solidFill>
                      <a:srgbClr val="000000"/>
                    </a:solidFill>
                    <a:latin typeface="Aptos Narrow"/>
                  </a:rPr>
                  <a:t>Cumulative ($)</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40148525"/>
        <c:crosses val="max"/>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Aptos Narrow"/>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200" spc="-1" strike="noStrike">
                <a:solidFill>
                  <a:srgbClr val="595959"/>
                </a:solidFill>
                <a:latin typeface="Aptos Narrow"/>
              </a:defRPr>
            </a:pPr>
            <a:r>
              <a:rPr b="1" lang="en-US" sz="1200" spc="-1" strike="noStrike">
                <a:solidFill>
                  <a:srgbClr val="595959"/>
                </a:solidFill>
                <a:latin typeface="Aptos Narrow"/>
              </a:rPr>
              <a:t>Construction Draw Curve — Monthly Outlay &amp; Cumulative</a:t>
            </a:r>
          </a:p>
        </c:rich>
      </c:tx>
      <c:overlay val="0"/>
      <c:spPr>
        <a:noFill/>
        <a:ln w="0">
          <a:noFill/>
        </a:ln>
      </c:spPr>
    </c:title>
    <c:autoTitleDeleted val="0"/>
    <c:plotArea>
      <c:barChart>
        <c:barDir val="col"/>
        <c:grouping val="clustered"/>
        <c:varyColors val="0"/>
        <c:ser>
          <c:idx val="0"/>
          <c:order val="0"/>
          <c:tx>
            <c:strRef>
              <c:f>"Monthly Draw ($M)"</c:f>
              <c:strCache>
                <c:ptCount val="1"/>
                <c:pt idx="0">
                  <c:v>Monthly Draw ($M)</c:v>
                </c:pt>
              </c:strCache>
            </c:strRef>
          </c:tx>
          <c:spPr>
            <a:solidFill>
              <a:srgbClr val="3b82f6"/>
            </a:solidFill>
            <a:ln w="0">
              <a:noFill/>
            </a:ln>
          </c:spPr>
          <c:invertIfNegative val="0"/>
          <c:dLbls>
            <c:txPr>
              <a:bodyPr wrap="square"/>
              <a:lstStyle/>
              <a:p>
                <a:pPr>
                  <a:defRPr b="0" sz="1000" spc="-1" strike="noStrike">
                    <a:solidFill>
                      <a:srgbClr val="000000"/>
                    </a:solidFill>
                    <a:latin typeface="Aptos Narrow"/>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'Draw Schedule'!$G$7:$AD$7</c:f>
              <c:multiLvlStrCache>
                <c:ptCount val="1"/>
                <c:lvl>
                  <c:pt idx="0">
                    <c:v>30-Apr</c:v>
                  </c:pt>
                </c:lvl>
                <c:lvl>
                  <c:pt idx="0">
                    <c:v>31-Mar</c:v>
                  </c:pt>
                </c:lvl>
                <c:lvl>
                  <c:pt idx="0">
                    <c:v>29-Feb</c:v>
                  </c:pt>
                </c:lvl>
                <c:lvl>
                  <c:pt idx="0">
                    <c:v>31-Jan</c:v>
                  </c:pt>
                </c:lvl>
                <c:lvl>
                  <c:pt idx="0">
                    <c:v>31-Dec</c:v>
                  </c:pt>
                </c:lvl>
                <c:lvl>
                  <c:pt idx="0">
                    <c:v>30-Nov</c:v>
                  </c:pt>
                </c:lvl>
                <c:lvl>
                  <c:pt idx="0">
                    <c:v>31-Oct</c:v>
                  </c:pt>
                </c:lvl>
                <c:lvl>
                  <c:pt idx="0">
                    <c:v>30-Sep</c:v>
                  </c:pt>
                </c:lvl>
                <c:lvl>
                  <c:pt idx="0">
                    <c:v>31-Aug</c:v>
                  </c:pt>
                </c:lvl>
                <c:lvl>
                  <c:pt idx="0">
                    <c:v>31-Jul</c:v>
                  </c:pt>
                </c:lvl>
                <c:lvl>
                  <c:pt idx="0">
                    <c:v>30-Jun</c:v>
                  </c:pt>
                </c:lvl>
                <c:lvl>
                  <c:pt idx="0">
                    <c:v>31-May</c:v>
                  </c:pt>
                </c:lvl>
                <c:lvl>
                  <c:pt idx="0">
                    <c:v>30-Apr</c:v>
                  </c:pt>
                </c:lvl>
                <c:lvl>
                  <c:pt idx="0">
                    <c:v>31-Mar</c:v>
                  </c:pt>
                </c:lvl>
                <c:lvl>
                  <c:pt idx="0">
                    <c:v>28-Feb</c:v>
                  </c:pt>
                </c:lvl>
                <c:lvl>
                  <c:pt idx="0">
                    <c:v>31-Jan</c:v>
                  </c:pt>
                </c:lvl>
                <c:lvl>
                  <c:pt idx="0">
                    <c:v>31-Dec</c:v>
                  </c:pt>
                </c:lvl>
                <c:lvl>
                  <c:pt idx="0">
                    <c:v>30-Nov</c:v>
                  </c:pt>
                </c:lvl>
                <c:lvl>
                  <c:pt idx="0">
                    <c:v>31-Oct</c:v>
                  </c:pt>
                </c:lvl>
                <c:lvl>
                  <c:pt idx="0">
                    <c:v>30-Sep</c:v>
                  </c:pt>
                </c:lvl>
                <c:lvl>
                  <c:pt idx="0">
                    <c:v>31-Aug</c:v>
                  </c:pt>
                </c:lvl>
                <c:lvl>
                  <c:pt idx="0">
                    <c:v>31-Jul</c:v>
                  </c:pt>
                </c:lvl>
                <c:lvl>
                  <c:pt idx="0">
                    <c:v>30-Jun</c:v>
                  </c:pt>
                </c:lvl>
                <c:lvl>
                  <c:pt idx="0">
                    <c:v>31-May</c:v>
                  </c:pt>
                </c:lvl>
              </c:multiLvlStrCache>
            </c:multiLvlStrRef>
          </c:cat>
          <c:val>
            <c:numRef>
              <c:f>'Draw Schedule'!$G$32:$AJ$32</c:f>
              <c:numCache>
                <c:formatCode>\$#,##0.0,,;"($"#,##0.0,,\);""</c:formatCode>
                <c:ptCount val="30"/>
                <c:pt idx="0">
                  <c:v>9830083.92822731</c:v>
                </c:pt>
                <c:pt idx="1">
                  <c:v>11387896.9977838</c:v>
                </c:pt>
                <c:pt idx="2">
                  <c:v>13416438.198869</c:v>
                </c:pt>
                <c:pt idx="3">
                  <c:v>16621173.2217346</c:v>
                </c:pt>
                <c:pt idx="4">
                  <c:v>19547508.6102007</c:v>
                </c:pt>
                <c:pt idx="5">
                  <c:v>21124531.0718645</c:v>
                </c:pt>
                <c:pt idx="6">
                  <c:v>21352240.606726</c:v>
                </c:pt>
                <c:pt idx="7">
                  <c:v>23508586.9416242</c:v>
                </c:pt>
                <c:pt idx="8">
                  <c:v>28427724.4215018</c:v>
                </c:pt>
                <c:pt idx="9">
                  <c:v>34619709.4052577</c:v>
                </c:pt>
                <c:pt idx="10">
                  <c:v>41519972.0430808</c:v>
                </c:pt>
                <c:pt idx="11">
                  <c:v>46861468.2319185</c:v>
                </c:pt>
                <c:pt idx="12">
                  <c:v>49754053.3374538</c:v>
                </c:pt>
                <c:pt idx="13">
                  <c:v>51186428.2042063</c:v>
                </c:pt>
                <c:pt idx="14">
                  <c:v>51647878.6674872</c:v>
                </c:pt>
                <c:pt idx="15">
                  <c:v>51492706.1634922</c:v>
                </c:pt>
                <c:pt idx="16">
                  <c:v>51931098.7721241</c:v>
                </c:pt>
                <c:pt idx="17">
                  <c:v>53897682.2594928</c:v>
                </c:pt>
                <c:pt idx="18">
                  <c:v>55548583.0340304</c:v>
                </c:pt>
                <c:pt idx="19">
                  <c:v>55541420.1660016</c:v>
                </c:pt>
                <c:pt idx="20">
                  <c:v>54924276.9901625</c:v>
                </c:pt>
                <c:pt idx="21">
                  <c:v>53235929.4402311</c:v>
                </c:pt>
                <c:pt idx="22">
                  <c:v>52473910.9813211</c:v>
                </c:pt>
                <c:pt idx="23">
                  <c:v>52376773.728073</c:v>
                </c:pt>
                <c:pt idx="24">
                  <c:v>49522619.8398332</c:v>
                </c:pt>
                <c:pt idx="25">
                  <c:v>43577241.1494856</c:v>
                </c:pt>
                <c:pt idx="26">
                  <c:v>34622850.1049135</c:v>
                </c:pt>
                <c:pt idx="27">
                  <c:v>22279214.1346557</c:v>
                </c:pt>
                <c:pt idx="28">
                  <c:v>11437081.3889417</c:v>
                </c:pt>
                <c:pt idx="29">
                  <c:v>4674745.02669696</c:v>
                </c:pt>
              </c:numCache>
            </c:numRef>
          </c:val>
        </c:ser>
        <c:gapWidth val="219"/>
        <c:overlap val="-27"/>
        <c:axId val="25454311"/>
        <c:axId val="80933689"/>
      </c:barChart>
      <c:lineChart>
        <c:grouping val="standard"/>
        <c:varyColors val="0"/>
        <c:ser>
          <c:idx val="1"/>
          <c:order val="1"/>
          <c:tx>
            <c:strRef>
              <c:f>"Cumulative ($M)"</c:f>
              <c:strCache>
                <c:ptCount val="1"/>
                <c:pt idx="0">
                  <c:v>Cumulative ($M)</c:v>
                </c:pt>
              </c:strCache>
            </c:strRef>
          </c:tx>
          <c:spPr>
            <a:solidFill>
              <a:srgbClr val="1f2937"/>
            </a:solidFill>
            <a:ln cap="rnd" w="31680">
              <a:solidFill>
                <a:srgbClr val="1f2937"/>
              </a:solidFill>
              <a:round/>
            </a:ln>
          </c:spPr>
          <c:marker>
            <c:symbol val="none"/>
          </c:marker>
          <c:dLbls>
            <c:txPr>
              <a:bodyPr wrap="square"/>
              <a:lstStyle/>
              <a:p>
                <a:pPr>
                  <a:defRPr b="0" sz="1000" spc="-1" strike="noStrike">
                    <a:solidFill>
                      <a:srgbClr val="000000"/>
                    </a:solidFill>
                    <a:latin typeface="Aptos Narrow"/>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'Draw Schedule'!$G$7:$AD$7</c:f>
              <c:multiLvlStrCache>
                <c:ptCount val="1"/>
                <c:lvl>
                  <c:pt idx="0">
                    <c:v>30-Apr</c:v>
                  </c:pt>
                </c:lvl>
                <c:lvl>
                  <c:pt idx="0">
                    <c:v>31-Mar</c:v>
                  </c:pt>
                </c:lvl>
                <c:lvl>
                  <c:pt idx="0">
                    <c:v>29-Feb</c:v>
                  </c:pt>
                </c:lvl>
                <c:lvl>
                  <c:pt idx="0">
                    <c:v>31-Jan</c:v>
                  </c:pt>
                </c:lvl>
                <c:lvl>
                  <c:pt idx="0">
                    <c:v>31-Dec</c:v>
                  </c:pt>
                </c:lvl>
                <c:lvl>
                  <c:pt idx="0">
                    <c:v>30-Nov</c:v>
                  </c:pt>
                </c:lvl>
                <c:lvl>
                  <c:pt idx="0">
                    <c:v>31-Oct</c:v>
                  </c:pt>
                </c:lvl>
                <c:lvl>
                  <c:pt idx="0">
                    <c:v>30-Sep</c:v>
                  </c:pt>
                </c:lvl>
                <c:lvl>
                  <c:pt idx="0">
                    <c:v>31-Aug</c:v>
                  </c:pt>
                </c:lvl>
                <c:lvl>
                  <c:pt idx="0">
                    <c:v>31-Jul</c:v>
                  </c:pt>
                </c:lvl>
                <c:lvl>
                  <c:pt idx="0">
                    <c:v>30-Jun</c:v>
                  </c:pt>
                </c:lvl>
                <c:lvl>
                  <c:pt idx="0">
                    <c:v>31-May</c:v>
                  </c:pt>
                </c:lvl>
                <c:lvl>
                  <c:pt idx="0">
                    <c:v>30-Apr</c:v>
                  </c:pt>
                </c:lvl>
                <c:lvl>
                  <c:pt idx="0">
                    <c:v>31-Mar</c:v>
                  </c:pt>
                </c:lvl>
                <c:lvl>
                  <c:pt idx="0">
                    <c:v>28-Feb</c:v>
                  </c:pt>
                </c:lvl>
                <c:lvl>
                  <c:pt idx="0">
                    <c:v>31-Jan</c:v>
                  </c:pt>
                </c:lvl>
                <c:lvl>
                  <c:pt idx="0">
                    <c:v>31-Dec</c:v>
                  </c:pt>
                </c:lvl>
                <c:lvl>
                  <c:pt idx="0">
                    <c:v>30-Nov</c:v>
                  </c:pt>
                </c:lvl>
                <c:lvl>
                  <c:pt idx="0">
                    <c:v>31-Oct</c:v>
                  </c:pt>
                </c:lvl>
                <c:lvl>
                  <c:pt idx="0">
                    <c:v>30-Sep</c:v>
                  </c:pt>
                </c:lvl>
                <c:lvl>
                  <c:pt idx="0">
                    <c:v>31-Aug</c:v>
                  </c:pt>
                </c:lvl>
                <c:lvl>
                  <c:pt idx="0">
                    <c:v>31-Jul</c:v>
                  </c:pt>
                </c:lvl>
                <c:lvl>
                  <c:pt idx="0">
                    <c:v>30-Jun</c:v>
                  </c:pt>
                </c:lvl>
                <c:lvl>
                  <c:pt idx="0">
                    <c:v>31-May</c:v>
                  </c:pt>
                </c:lvl>
              </c:multiLvlStrCache>
            </c:multiLvlStrRef>
          </c:cat>
          <c:val>
            <c:numRef>
              <c:f>'Draw Schedule'!$G$33:$AD$33</c:f>
              <c:numCache>
                <c:formatCode>\$#,##0.0,,</c:formatCode>
                <c:ptCount val="24"/>
                <c:pt idx="0">
                  <c:v>9830083.92822731</c:v>
                </c:pt>
                <c:pt idx="1">
                  <c:v>21217980.9260111</c:v>
                </c:pt>
                <c:pt idx="2">
                  <c:v>34634419.1248801</c:v>
                </c:pt>
                <c:pt idx="3">
                  <c:v>51255592.3466147</c:v>
                </c:pt>
                <c:pt idx="4">
                  <c:v>70803100.9568153</c:v>
                </c:pt>
                <c:pt idx="5">
                  <c:v>91927632.0286798</c:v>
                </c:pt>
                <c:pt idx="6">
                  <c:v>113279872.635406</c:v>
                </c:pt>
                <c:pt idx="7">
                  <c:v>136788459.57703</c:v>
                </c:pt>
                <c:pt idx="8">
                  <c:v>165216183.998532</c:v>
                </c:pt>
                <c:pt idx="9">
                  <c:v>199835893.40379</c:v>
                </c:pt>
                <c:pt idx="10">
                  <c:v>241355865.44687</c:v>
                </c:pt>
                <c:pt idx="11">
                  <c:v>288217333.678789</c:v>
                </c:pt>
                <c:pt idx="12">
                  <c:v>337971387.016243</c:v>
                </c:pt>
                <c:pt idx="13">
                  <c:v>389157815.220449</c:v>
                </c:pt>
                <c:pt idx="14">
                  <c:v>440805693.887936</c:v>
                </c:pt>
                <c:pt idx="15">
                  <c:v>492298400.051428</c:v>
                </c:pt>
                <c:pt idx="16">
                  <c:v>544229498.823552</c:v>
                </c:pt>
                <c:pt idx="17">
                  <c:v>598127181.083045</c:v>
                </c:pt>
                <c:pt idx="18">
                  <c:v>653675764.117076</c:v>
                </c:pt>
                <c:pt idx="19">
                  <c:v>709217184.283077</c:v>
                </c:pt>
                <c:pt idx="20">
                  <c:v>764141461.27324</c:v>
                </c:pt>
                <c:pt idx="21">
                  <c:v>817377390.713471</c:v>
                </c:pt>
                <c:pt idx="22">
                  <c:v>869851301.694792</c:v>
                </c:pt>
                <c:pt idx="23">
                  <c:v>922228075.422865</c:v>
                </c:pt>
              </c:numCache>
            </c:numRef>
          </c:val>
          <c:smooth val="0"/>
        </c:ser>
        <c:hiLowLines>
          <c:spPr>
            <a:ln w="0">
              <a:noFill/>
            </a:ln>
          </c:spPr>
        </c:hiLowLines>
        <c:marker val="0"/>
        <c:axId val="61900802"/>
        <c:axId val="7342782"/>
      </c:lineChart>
      <c:catAx>
        <c:axId val="25454311"/>
        <c:scaling>
          <c:orientation val="minMax"/>
        </c:scaling>
        <c:delete val="0"/>
        <c:axPos val="b"/>
        <c:numFmt formatCode="d\-mmm"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Aptos Narrow"/>
              </a:defRPr>
            </a:pPr>
          </a:p>
        </c:txPr>
        <c:crossAx val="80933689"/>
        <c:crosses val="autoZero"/>
        <c:auto val="1"/>
        <c:lblAlgn val="ctr"/>
        <c:lblOffset val="100"/>
        <c:noMultiLvlLbl val="0"/>
      </c:catAx>
      <c:valAx>
        <c:axId val="80933689"/>
        <c:scaling>
          <c:orientation val="minMax"/>
        </c:scaling>
        <c:delete val="0"/>
        <c:axPos val="l"/>
        <c:majorGridlines>
          <c:spPr>
            <a:ln w="9360">
              <a:solidFill>
                <a:srgbClr val="d9d9d9"/>
              </a:solidFill>
              <a:round/>
            </a:ln>
          </c:spPr>
        </c:majorGridlines>
        <c:title>
          <c:tx>
            <c:rich>
              <a:bodyPr rot="-5400000"/>
              <a:lstStyle/>
              <a:p>
                <a:pPr>
                  <a:defRPr b="0" lang="en-US" sz="1000" spc="-1" strike="noStrike">
                    <a:solidFill>
                      <a:srgbClr val="595959"/>
                    </a:solidFill>
                    <a:latin typeface="Aptos Narrow"/>
                  </a:defRPr>
                </a:pPr>
                <a:r>
                  <a:rPr b="0" lang="en-US" sz="1000" spc="-1" strike="noStrike">
                    <a:solidFill>
                      <a:srgbClr val="595959"/>
                    </a:solidFill>
                    <a:latin typeface="Aptos Narrow"/>
                  </a:rPr>
                  <a:t>Monthly ($M)</a:t>
                </a:r>
              </a:p>
            </c:rich>
          </c:tx>
          <c:overlay val="0"/>
          <c:spPr>
            <a:noFill/>
            <a:ln w="0">
              <a:noFill/>
            </a:ln>
          </c:spPr>
        </c:title>
        <c:numFmt formatCode="\$#,##0,,\M" sourceLinked="0"/>
        <c:majorTickMark val="none"/>
        <c:minorTickMark val="none"/>
        <c:tickLblPos val="nextTo"/>
        <c:spPr>
          <a:ln w="12600">
            <a:noFill/>
          </a:ln>
        </c:spPr>
        <c:txPr>
          <a:bodyPr/>
          <a:lstStyle/>
          <a:p>
            <a:pPr>
              <a:defRPr b="0" sz="900" spc="-1" strike="noStrike">
                <a:solidFill>
                  <a:srgbClr val="595959"/>
                </a:solidFill>
                <a:latin typeface="Aptos Narrow"/>
              </a:defRPr>
            </a:pPr>
          </a:p>
        </c:txPr>
        <c:crossAx val="25454311"/>
        <c:crosses val="autoZero"/>
        <c:crossBetween val="between"/>
      </c:valAx>
      <c:dateAx>
        <c:axId val="61900802"/>
        <c:scaling>
          <c:orientation val="minMax"/>
        </c:scaling>
        <c:delete val="1"/>
        <c:axPos val="t"/>
        <c:numFmt formatCode="General" sourceLinked="1"/>
        <c:majorTickMark val="out"/>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7342782"/>
        <c:auto val="1"/>
        <c:lblOffset val="100"/>
        <c:baseTimeUnit val="months"/>
        <c:noMultiLvlLbl val="0"/>
      </c:dateAx>
      <c:valAx>
        <c:axId val="7342782"/>
        <c:scaling>
          <c:orientation val="minMax"/>
        </c:scaling>
        <c:delete val="0"/>
        <c:axPos val="r"/>
        <c:title>
          <c:tx>
            <c:rich>
              <a:bodyPr rot="-5400000"/>
              <a:lstStyle/>
              <a:p>
                <a:pPr>
                  <a:defRPr b="0" lang="en-US" sz="1000" spc="-1" strike="noStrike">
                    <a:solidFill>
                      <a:srgbClr val="595959"/>
                    </a:solidFill>
                    <a:latin typeface="Aptos Narrow"/>
                  </a:defRPr>
                </a:pPr>
                <a:r>
                  <a:rPr b="0" lang="en-US" sz="1000" spc="-1" strike="noStrike">
                    <a:solidFill>
                      <a:srgbClr val="595959"/>
                    </a:solidFill>
                    <a:latin typeface="Aptos Narrow"/>
                  </a:rPr>
                  <a:t>Cumulative ($M)</a:t>
                </a:r>
              </a:p>
            </c:rich>
          </c:tx>
          <c:overlay val="0"/>
          <c:spPr>
            <a:noFill/>
            <a:ln w="0">
              <a:noFill/>
            </a:ln>
          </c:spPr>
        </c:title>
        <c:numFmt formatCode="\$#,##0,,\M" sourceLinked="0"/>
        <c:majorTickMark val="out"/>
        <c:minorTickMark val="none"/>
        <c:tickLblPos val="nextTo"/>
        <c:spPr>
          <a:ln w="12600">
            <a:noFill/>
          </a:ln>
        </c:spPr>
        <c:txPr>
          <a:bodyPr/>
          <a:lstStyle/>
          <a:p>
            <a:pPr>
              <a:defRPr b="0" sz="900" spc="-1" strike="noStrike">
                <a:solidFill>
                  <a:srgbClr val="595959"/>
                </a:solidFill>
                <a:latin typeface="Aptos Narrow"/>
              </a:defRPr>
            </a:pPr>
          </a:p>
        </c:txPr>
        <c:crossAx val="61900802"/>
        <c:crosses val="max"/>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Aptos Narrow"/>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Aptos Narrow"/>
              </a:defRPr>
            </a:pPr>
            <a:r>
              <a:rPr b="1" lang="en-US" sz="1800" spc="-1" strike="noStrike">
                <a:solidFill>
                  <a:srgbClr val="000000"/>
                </a:solidFill>
                <a:latin typeface="Aptos Narrow"/>
              </a:rPr>
              <a:t>Project S-Curve — PV / EV / AC</a:t>
            </a:r>
          </a:p>
        </c:rich>
      </c:tx>
      <c:overlay val="0"/>
      <c:spPr>
        <a:noFill/>
        <a:ln w="0">
          <a:noFill/>
        </a:ln>
      </c:spPr>
    </c:title>
    <c:autoTitleDeleted val="0"/>
    <c:plotArea>
      <c:lineChart>
        <c:grouping val="standard"/>
        <c:varyColors val="0"/>
        <c:ser>
          <c:idx val="0"/>
          <c:order val="0"/>
          <c:tx>
            <c:strRef>
              <c:f>'Cash Flow &amp; EVM'!$D$23</c:f>
              <c:strCache>
                <c:ptCount val="1"/>
                <c:pt idx="0">
                  <c:v>Cum PV ($M)</c:v>
                </c:pt>
              </c:strCache>
            </c:strRef>
          </c:tx>
          <c:spPr>
            <a:solidFill>
              <a:srgbClr val="4472c4"/>
            </a:solidFill>
            <a:ln w="25560">
              <a:solidFill>
                <a:srgbClr val="4472c4"/>
              </a:solidFill>
              <a:prstDash val="lgDash"/>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'Cash Flow &amp; EVM'!$A$24:$A$53</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'Cash Flow &amp; EVM'!$D$24:$D$53</c:f>
              <c:numCache>
                <c:formatCode>#,##0.0,,</c:formatCode>
                <c:ptCount val="30"/>
                <c:pt idx="0">
                  <c:v>9830083.92822731</c:v>
                </c:pt>
                <c:pt idx="1">
                  <c:v>21217980.9260111</c:v>
                </c:pt>
                <c:pt idx="2">
                  <c:v>34634419.1248801</c:v>
                </c:pt>
                <c:pt idx="3">
                  <c:v>51255592.3466147</c:v>
                </c:pt>
                <c:pt idx="4">
                  <c:v>70803100.9568153</c:v>
                </c:pt>
                <c:pt idx="5">
                  <c:v>91927632.0286798</c:v>
                </c:pt>
                <c:pt idx="6">
                  <c:v>113279872.635406</c:v>
                </c:pt>
                <c:pt idx="7">
                  <c:v>136788459.57703</c:v>
                </c:pt>
                <c:pt idx="8">
                  <c:v>165216183.998532</c:v>
                </c:pt>
                <c:pt idx="9">
                  <c:v>199835893.40379</c:v>
                </c:pt>
                <c:pt idx="10">
                  <c:v>241355865.44687</c:v>
                </c:pt>
                <c:pt idx="11">
                  <c:v>288217333.678789</c:v>
                </c:pt>
                <c:pt idx="12">
                  <c:v>337971387.016243</c:v>
                </c:pt>
                <c:pt idx="13">
                  <c:v>389157815.220449</c:v>
                </c:pt>
                <c:pt idx="14">
                  <c:v>440805693.887936</c:v>
                </c:pt>
                <c:pt idx="15">
                  <c:v>492298400.051428</c:v>
                </c:pt>
                <c:pt idx="16">
                  <c:v>544229498.823552</c:v>
                </c:pt>
                <c:pt idx="17">
                  <c:v>598127181.083045</c:v>
                </c:pt>
                <c:pt idx="18">
                  <c:v>653675764.117076</c:v>
                </c:pt>
                <c:pt idx="19">
                  <c:v>709217184.283077</c:v>
                </c:pt>
                <c:pt idx="20">
                  <c:v>764141461.27324</c:v>
                </c:pt>
                <c:pt idx="21">
                  <c:v>817377390.713471</c:v>
                </c:pt>
                <c:pt idx="22">
                  <c:v>869851301.694792</c:v>
                </c:pt>
                <c:pt idx="23">
                  <c:v>922228075.422865</c:v>
                </c:pt>
                <c:pt idx="24">
                  <c:v>971750695.262698</c:v>
                </c:pt>
                <c:pt idx="25">
                  <c:v>1015327936.41218</c:v>
                </c:pt>
                <c:pt idx="26">
                  <c:v>1049950786.5171</c:v>
                </c:pt>
                <c:pt idx="27">
                  <c:v>1072230000.65175</c:v>
                </c:pt>
                <c:pt idx="28">
                  <c:v>1083667082.04069</c:v>
                </c:pt>
                <c:pt idx="29">
                  <c:v>1088341827.06739</c:v>
                </c:pt>
              </c:numCache>
            </c:numRef>
          </c:val>
          <c:smooth val="1"/>
        </c:ser>
        <c:ser>
          <c:idx val="1"/>
          <c:order val="1"/>
          <c:tx>
            <c:strRef>
              <c:f>'Cash Flow &amp; EVM'!$H$23</c:f>
              <c:strCache>
                <c:ptCount val="1"/>
                <c:pt idx="0">
                  <c:v>Cum EV ($M)</c:v>
                </c:pt>
              </c:strCache>
            </c:strRef>
          </c:tx>
          <c:spPr>
            <a:solidFill>
              <a:srgbClr val="70ad47"/>
            </a:solidFill>
            <a:ln w="31680">
              <a:solidFill>
                <a:srgbClr val="70ad47"/>
              </a:solidFill>
              <a:round/>
            </a:ln>
          </c:spPr>
          <c:marker>
            <c:symbol val="circle"/>
            <c:size val="5"/>
            <c:spPr>
              <a:solidFill>
                <a:srgbClr val="70ad47"/>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'Cash Flow &amp; EVM'!$A$24:$A$53</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'Cash Flow &amp; EVM'!$H$24:$H$53</c:f>
              <c:numCache>
                <c:formatCode>#,##0.0,,</c:formatCode>
                <c:ptCount val="30"/>
              </c:numCache>
            </c:numRef>
          </c:val>
          <c:smooth val="1"/>
        </c:ser>
        <c:ser>
          <c:idx val="2"/>
          <c:order val="2"/>
          <c:tx>
            <c:strRef>
              <c:f>'Cash Flow &amp; EVM'!$F$23</c:f>
              <c:strCache>
                <c:ptCount val="1"/>
                <c:pt idx="0">
                  <c:v>Cum AC ($M)</c:v>
                </c:pt>
              </c:strCache>
            </c:strRef>
          </c:tx>
          <c:spPr>
            <a:solidFill>
              <a:srgbClr val="c00000"/>
            </a:solidFill>
            <a:ln w="31680">
              <a:solidFill>
                <a:srgbClr val="c00000"/>
              </a:solidFill>
              <a:round/>
            </a:ln>
          </c:spPr>
          <c:marker>
            <c:symbol val="circle"/>
            <c:size val="5"/>
            <c:spPr>
              <a:solidFill>
                <a:srgbClr val="c00000"/>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'Cash Flow &amp; EVM'!$A$24:$A$53</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'Cash Flow &amp; EVM'!$F$24:$F$53</c:f>
              <c:numCache>
                <c:formatCode>#,##0.0,,</c:formatCode>
                <c:ptCount val="30"/>
              </c:numCache>
            </c:numRef>
          </c:val>
          <c:smooth val="1"/>
        </c:ser>
        <c:ser>
          <c:idx val="3"/>
          <c:order val="3"/>
          <c:tx>
            <c:strRef>
              <c:f>"Forecast AC ($M)"</c:f>
              <c:strCache>
                <c:ptCount val="1"/>
                <c:pt idx="0">
                  <c:v>Forecast AC ($M)</c:v>
                </c:pt>
              </c:strCache>
            </c:strRef>
          </c:tx>
          <c:spPr>
            <a:solidFill>
              <a:srgbClr val="c00000"/>
            </a:solidFill>
            <a:ln w="22320">
              <a:solidFill>
                <a:srgbClr val="c00000"/>
              </a:solidFill>
              <a:prstDash val="lgDash"/>
              <a:round/>
            </a:ln>
          </c:spPr>
          <c:marker>
            <c:symbol val="none"/>
          </c:marker>
          <c:dLbls>
            <c:txPr>
              <a:bodyPr wrap="square"/>
              <a:lstStyle/>
              <a:p>
                <a:pPr>
                  <a:defRPr b="0" sz="1000" spc="-1" strike="noStrike">
                    <a:solidFill>
                      <a:srgbClr val="000000"/>
                    </a:solidFill>
                    <a:latin typeface="Aptos Narrow"/>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 Flow &amp; EVM'!$A$24:$A$53</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'Cash Flow &amp; EVM'!$K$24:$K$53</c:f>
              <c:numCache>
                <c:formatCode>#,##0.0,,</c:formatCode>
                <c:ptCount val="30"/>
              </c:numCache>
            </c:numRef>
          </c:val>
          <c:smooth val="1"/>
        </c:ser>
        <c:ser>
          <c:idx val="4"/>
          <c:order val="4"/>
          <c:tx>
            <c:strRef>
              <c:f>"Forecast EV ($M)"</c:f>
              <c:strCache>
                <c:ptCount val="1"/>
                <c:pt idx="0">
                  <c:v>Forecast EV ($M)</c:v>
                </c:pt>
              </c:strCache>
            </c:strRef>
          </c:tx>
          <c:spPr>
            <a:solidFill>
              <a:srgbClr val="548235"/>
            </a:solidFill>
            <a:ln w="22320">
              <a:solidFill>
                <a:srgbClr val="548235"/>
              </a:solidFill>
              <a:prstDash val="lgDash"/>
              <a:round/>
            </a:ln>
          </c:spPr>
          <c:marker>
            <c:symbol val="none"/>
          </c:marker>
          <c:dLbls>
            <c:txPr>
              <a:bodyPr wrap="square"/>
              <a:lstStyle/>
              <a:p>
                <a:pPr>
                  <a:defRPr b="0" sz="1000" spc="-1" strike="noStrike">
                    <a:solidFill>
                      <a:srgbClr val="000000"/>
                    </a:solidFill>
                    <a:latin typeface="Aptos Narrow"/>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 Flow &amp; EVM'!$A$24:$A$53</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'Cash Flow &amp; EVM'!$L$24:$L$53</c:f>
              <c:numCache>
                <c:formatCode>#,##0.0,,</c:formatCode>
                <c:ptCount val="30"/>
              </c:numCache>
            </c:numRef>
          </c:val>
          <c:smooth val="1"/>
        </c:ser>
        <c:hiLowLines>
          <c:spPr>
            <a:ln w="0">
              <a:noFill/>
            </a:ln>
          </c:spPr>
        </c:hiLowLines>
        <c:marker val="1"/>
        <c:axId val="94201945"/>
        <c:axId val="83326870"/>
      </c:lineChart>
      <c:catAx>
        <c:axId val="94201945"/>
        <c:scaling>
          <c:orientation val="minMax"/>
        </c:scaling>
        <c:delete val="0"/>
        <c:axPos val="b"/>
        <c:title>
          <c:tx>
            <c:rich>
              <a:bodyPr rot="0"/>
              <a:lstStyle/>
              <a:p>
                <a:pPr>
                  <a:defRPr b="1" lang="en-US" sz="1000" spc="-1" strike="noStrike">
                    <a:solidFill>
                      <a:srgbClr val="000000"/>
                    </a:solidFill>
                    <a:latin typeface="Aptos Narrow"/>
                  </a:defRPr>
                </a:pPr>
                <a:r>
                  <a:rPr b="1" lang="en-US" sz="1000" spc="-1" strike="noStrike">
                    <a:solidFill>
                      <a:srgbClr val="000000"/>
                    </a:solidFill>
                    <a:latin typeface="Aptos Narrow"/>
                  </a:rPr>
                  <a:t>Month</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83326870"/>
        <c:crosses val="autoZero"/>
        <c:auto val="1"/>
        <c:lblAlgn val="ctr"/>
        <c:lblOffset val="100"/>
        <c:noMultiLvlLbl val="0"/>
      </c:catAx>
      <c:valAx>
        <c:axId val="83326870"/>
        <c:scaling>
          <c:orientation val="minMax"/>
        </c:scaling>
        <c:delete val="0"/>
        <c:axPos val="l"/>
        <c:majorGridlines>
          <c:spPr>
            <a:ln w="0">
              <a:solidFill>
                <a:srgbClr val="b3b3b3"/>
              </a:solidFill>
            </a:ln>
          </c:spPr>
        </c:majorGridlines>
        <c:title>
          <c:tx>
            <c:rich>
              <a:bodyPr rot="-5400000"/>
              <a:lstStyle/>
              <a:p>
                <a:pPr>
                  <a:defRPr b="1" lang="en-US" sz="1000" spc="-1" strike="noStrike">
                    <a:solidFill>
                      <a:srgbClr val="000000"/>
                    </a:solidFill>
                    <a:latin typeface="Aptos Narrow"/>
                  </a:defRPr>
                </a:pPr>
                <a:r>
                  <a:rPr b="1" lang="en-US" sz="1000" spc="-1" strike="noStrike">
                    <a:solidFill>
                      <a:srgbClr val="000000"/>
                    </a:solidFill>
                    <a:latin typeface="Aptos Narrow"/>
                  </a:rPr>
                  <a:t>Cumulative $</a:t>
                </a:r>
              </a:p>
            </c:rich>
          </c:tx>
          <c:overlay val="0"/>
          <c:spPr>
            <a:noFill/>
            <a:ln w="0">
              <a:noFill/>
            </a:ln>
          </c:spPr>
        </c:title>
        <c:numFmt formatCode="\$#,##0,,\M" sourceLinked="0"/>
        <c:majorTickMark val="none"/>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9420194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Aptos Narrow"/>
            </a:defRPr>
          </a:pPr>
        </a:p>
      </c:txPr>
    </c:legend>
    <c:plotVisOnly val="1"/>
    <c:dispBlanksAs val="zero"/>
  </c:chart>
  <c:spPr>
    <a:solidFill>
      <a:srgbClr val="ffffff"/>
    </a:solidFill>
    <a:ln w="9360">
      <a:solidFill>
        <a:srgbClr val="d9d9d9"/>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100" spc="-1" strike="noStrike">
                <a:solidFill>
                  <a:srgbClr val="000000"/>
                </a:solidFill>
                <a:latin typeface="Aptos Narrow"/>
              </a:defRPr>
            </a:pPr>
            <a:r>
              <a:rPr b="1" lang="en-US" sz="1100" spc="-1" strike="noStrike">
                <a:solidFill>
                  <a:srgbClr val="000000"/>
                </a:solidFill>
                <a:latin typeface="Aptos Narrow"/>
              </a:rPr>
              <a:t>Lifecycle Carbon — Embodied vs Operational</a:t>
            </a:r>
          </a:p>
        </c:rich>
      </c:tx>
      <c:overlay val="0"/>
      <c:spPr>
        <a:noFill/>
        <a:ln w="0">
          <a:noFill/>
        </a:ln>
      </c:spPr>
    </c:title>
    <c:autoTitleDeleted val="0"/>
    <c:plotArea>
      <c:doughnutChart>
        <c:varyColors val="1"/>
        <c:ser>
          <c:idx val="0"/>
          <c:order val="0"/>
          <c:spPr>
            <a:solidFill>
              <a:srgbClr val="156082"/>
            </a:solidFill>
            <a:ln w="0">
              <a:noFill/>
            </a:ln>
          </c:spPr>
          <c:explosion val="0"/>
          <c:dPt>
            <c:idx val="0"/>
            <c:spPr>
              <a:solidFill>
                <a:srgbClr val="c55a11"/>
              </a:solidFill>
              <a:ln w="0">
                <a:noFill/>
              </a:ln>
            </c:spPr>
          </c:dPt>
          <c:dPt>
            <c:idx val="1"/>
            <c:spPr>
              <a:solidFill>
                <a:srgbClr val="2e75b6"/>
              </a:solidFill>
              <a:ln w="0">
                <a:noFill/>
              </a:ln>
            </c:spPr>
          </c:dPt>
          <c:dLbls>
            <c:dLbl>
              <c:idx val="0"/>
              <c:txPr>
                <a:bodyPr wrap="square"/>
                <a:lstStyle/>
                <a:p>
                  <a:pPr>
                    <a:defRPr b="0" sz="1000" spc="-1" strike="noStrike">
                      <a:solidFill>
                        <a:srgbClr val="000000"/>
                      </a:solidFill>
                      <a:latin typeface="Arial"/>
                    </a:defRPr>
                  </a:pPr>
                </a:p>
              </c:txPr>
              <c:showLegendKey val="0"/>
              <c:showVal val="0"/>
              <c:showCatName val="0"/>
              <c:showSerName val="0"/>
              <c:showPercent val="1"/>
              <c:separator>
</c:separator>
            </c:dLbl>
            <c:dLbl>
              <c:idx val="1"/>
              <c:txPr>
                <a:bodyPr wrap="square"/>
                <a:lstStyle/>
                <a:p>
                  <a:pPr>
                    <a:defRPr b="0" sz="1000" spc="-1" strike="noStrike">
                      <a:solidFill>
                        <a:srgbClr val="000000"/>
                      </a:solidFill>
                      <a:latin typeface="Arial"/>
                    </a:defRPr>
                  </a:pPr>
                </a:p>
              </c:txPr>
              <c:showLegendKey val="0"/>
              <c:showVal val="0"/>
              <c:showCatName val="0"/>
              <c:showSerName val="0"/>
              <c:showPercent val="1"/>
              <c:separator>
</c:separator>
            </c:dLbl>
            <c:txPr>
              <a:bodyPr wrap="square"/>
              <a:lstStyle/>
              <a:p>
                <a:pPr>
                  <a:defRPr b="0" sz="1000" spc="-1" strike="noStrike">
                    <a:solidFill>
                      <a:srgbClr val="000000"/>
                    </a:solidFill>
                    <a:latin typeface="Arial"/>
                  </a:defRPr>
                </a:pPr>
              </a:p>
            </c:txPr>
            <c:showLegendKey val="0"/>
            <c:showVal val="0"/>
            <c:showCatName val="0"/>
            <c:showSerName val="0"/>
            <c:showPercent val="1"/>
            <c:separator>
</c:separator>
            <c:showLeaderLines val="1"/>
          </c:dLbls>
          <c:cat>
            <c:strRef>
              <c:f>'Carbon &amp; Sustainability'!$G$14:$G$15</c:f>
              <c:strCache>
                <c:ptCount val="2"/>
                <c:pt idx="0">
                  <c:v>Embodied</c:v>
                </c:pt>
                <c:pt idx="1">
                  <c:v>Operational (life)</c:v>
                </c:pt>
              </c:strCache>
            </c:strRef>
          </c:cat>
          <c:val>
            <c:numRef>
              <c:f>'Carbon &amp; Sustainability'!$H$14:$H$15</c:f>
              <c:numCache>
                <c:formatCode>#,##0</c:formatCode>
                <c:ptCount val="2"/>
                <c:pt idx="0">
                  <c:v>400000</c:v>
                </c:pt>
                <c:pt idx="1">
                  <c:v>283824</c:v>
                </c:pt>
              </c:numCache>
            </c:numRef>
          </c:val>
        </c:ser>
        <c:firstSliceAng val="0"/>
        <c:holeSize val="50"/>
      </c:doughnutChart>
      <c:spPr>
        <a:noFill/>
        <a:ln w="0">
          <a:noFill/>
        </a:ln>
      </c:spPr>
    </c:plotArea>
    <c:legend>
      <c:legendPos val="b"/>
      <c:overlay val="0"/>
      <c:spPr>
        <a:noFill/>
        <a:ln w="0">
          <a:noFill/>
        </a:ln>
      </c:spPr>
      <c:txPr>
        <a:bodyPr/>
        <a:lstStyle/>
        <a:p>
          <a:pPr>
            <a:defRPr b="0" sz="1000" spc="-1" strike="noStrike">
              <a:solidFill>
                <a:srgbClr val="000000"/>
              </a:solidFill>
              <a:latin typeface="Aptos Narrow"/>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100" spc="-1" strike="noStrike">
                <a:solidFill>
                  <a:srgbClr val="595959"/>
                </a:solidFill>
                <a:latin typeface="Aptos Narrow"/>
              </a:defRPr>
            </a:pPr>
            <a:r>
              <a:rPr b="1" lang="en-US" sz="1100" spc="-1" strike="noStrike">
                <a:solidFill>
                  <a:srgbClr val="595959"/>
                </a:solidFill>
                <a:latin typeface="Aptos Narrow"/>
              </a:rPr>
              <a:t>Embodied Carbon by Building Element (tCO₂e)</a:t>
            </a:r>
          </a:p>
        </c:rich>
      </c:tx>
      <c:overlay val="0"/>
      <c:spPr>
        <a:noFill/>
        <a:ln w="0">
          <a:noFill/>
        </a:ln>
      </c:spPr>
    </c:title>
    <c:autoTitleDeleted val="0"/>
    <c:plotArea>
      <c:barChart>
        <c:barDir val="bar"/>
        <c:grouping val="clustered"/>
        <c:varyColors val="0"/>
        <c:ser>
          <c:idx val="0"/>
          <c:order val="0"/>
          <c:tx>
            <c:strRef>
              <c:f>"Embodied (tCO₂e)"</c:f>
              <c:strCache>
                <c:ptCount val="1"/>
                <c:pt idx="0">
                  <c:v>Embodied (tCO₂e)</c:v>
                </c:pt>
              </c:strCache>
            </c:strRef>
          </c:tx>
          <c:spPr>
            <a:solidFill>
              <a:srgbClr val="548235"/>
            </a:solidFill>
            <a:ln w="0">
              <a:noFill/>
            </a:ln>
          </c:spPr>
          <c:invertIfNegative val="0"/>
          <c:dLbls>
            <c:numFmt formatCode="#,##0" sourceLinked="1"/>
            <c:txPr>
              <a:bodyPr wrap="square"/>
              <a:lstStyle/>
              <a:p>
                <a:pPr>
                  <a:defRPr b="0" sz="900" spc="-1" strike="noStrike">
                    <a:solidFill>
                      <a:srgbClr val="404040"/>
                    </a:solidFill>
                    <a:latin typeface="Aptos Narrow"/>
                  </a:defRPr>
                </a:pPr>
              </a:p>
            </c:txPr>
            <c:dLblPos val="outEnd"/>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'Carbon &amp; Sustainability'!$A$15:$A$17</c:f>
              <c:strCache>
                <c:ptCount val="3"/>
                <c:pt idx="0">
                  <c:v>Substructure &amp; superstructure</c:v>
                </c:pt>
                <c:pt idx="1">
                  <c:v>Envelope &amp; architecture</c:v>
                </c:pt>
                <c:pt idx="2">
                  <c:v>MEP systems &amp; equipment</c:v>
                </c:pt>
              </c:strCache>
            </c:strRef>
          </c:cat>
          <c:val>
            <c:numRef>
              <c:f>'Carbon &amp; Sustainability'!$C$15:$C$17</c:f>
              <c:numCache>
                <c:formatCode>#,##0</c:formatCode>
                <c:ptCount val="3"/>
                <c:pt idx="0">
                  <c:v>240000</c:v>
                </c:pt>
                <c:pt idx="1">
                  <c:v>64000</c:v>
                </c:pt>
                <c:pt idx="2">
                  <c:v>96000</c:v>
                </c:pt>
              </c:numCache>
            </c:numRef>
          </c:val>
        </c:ser>
        <c:gapWidth val="182"/>
        <c:overlap val="0"/>
        <c:axId val="3054651"/>
        <c:axId val="84636818"/>
      </c:barChart>
      <c:catAx>
        <c:axId val="305465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Aptos Narrow"/>
              </a:defRPr>
            </a:pPr>
          </a:p>
        </c:txPr>
        <c:crossAx val="84636818"/>
        <c:crosses val="autoZero"/>
        <c:auto val="1"/>
        <c:lblAlgn val="ctr"/>
        <c:lblOffset val="100"/>
        <c:noMultiLvlLbl val="0"/>
      </c:catAx>
      <c:valAx>
        <c:axId val="84636818"/>
        <c:scaling>
          <c:orientation val="minMax"/>
        </c:scaling>
        <c:delete val="0"/>
        <c:axPos val="l"/>
        <c:majorGridlines>
          <c:spPr>
            <a:ln w="9360">
              <a:solidFill>
                <a:srgbClr val="d9d9d9"/>
              </a:solidFill>
              <a:round/>
            </a:ln>
          </c:spPr>
        </c:majorGridlines>
        <c:numFmt formatCode="#,##0,\k" sourceLinked="0"/>
        <c:majorTickMark val="none"/>
        <c:minorTickMark val="none"/>
        <c:tickLblPos val="nextTo"/>
        <c:spPr>
          <a:ln w="12600">
            <a:noFill/>
          </a:ln>
        </c:spPr>
        <c:txPr>
          <a:bodyPr/>
          <a:lstStyle/>
          <a:p>
            <a:pPr>
              <a:defRPr b="0" sz="900" spc="-1" strike="noStrike">
                <a:solidFill>
                  <a:srgbClr val="595959"/>
                </a:solidFill>
                <a:latin typeface="Aptos Narrow"/>
              </a:defRPr>
            </a:pPr>
          </a:p>
        </c:txPr>
        <c:crossAx val="3054651"/>
        <c:crosses val="autoZero"/>
        <c:crossBetween val="between"/>
        <c:majorUnit val="100000"/>
      </c:valAx>
      <c:spPr>
        <a:noFill/>
        <a:ln w="0">
          <a:noFill/>
        </a:ln>
      </c:spPr>
    </c:plotArea>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000" spc="-1" strike="noStrike">
                <a:solidFill>
                  <a:srgbClr val="595959"/>
                </a:solidFill>
                <a:latin typeface="Aptos Narrow"/>
              </a:defRPr>
            </a:pPr>
            <a:r>
              <a:rPr b="1" lang="en-US" sz="1000" spc="-1" strike="noStrike">
                <a:solidFill>
                  <a:srgbClr val="595959"/>
                </a:solidFill>
                <a:latin typeface="Aptos Narrow"/>
              </a:rPr>
              <a:t>Lifecycle Carbon: Base vs With Levers</a:t>
            </a:r>
          </a:p>
        </c:rich>
      </c:tx>
      <c:overlay val="0"/>
      <c:spPr>
        <a:noFill/>
        <a:ln w="0">
          <a:noFill/>
        </a:ln>
      </c:spPr>
    </c:title>
    <c:autoTitleDeleted val="0"/>
    <c:plotArea>
      <c:barChart>
        <c:barDir val="col"/>
        <c:grouping val="stacked"/>
        <c:varyColors val="0"/>
        <c:ser>
          <c:idx val="0"/>
          <c:order val="0"/>
          <c:tx>
            <c:strRef>
              <c:f>'Carbon &amp; Sustainability'!$H$44</c:f>
              <c:strCache>
                <c:ptCount val="1"/>
                <c:pt idx="0">
                  <c:v>Embodied</c:v>
                </c:pt>
              </c:strCache>
            </c:strRef>
          </c:tx>
          <c:spPr>
            <a:solidFill>
              <a:srgbClr val="8497b0"/>
            </a:solidFill>
            <a:ln w="0">
              <a:noFill/>
            </a:ln>
          </c:spPr>
          <c:invertIfNegative val="0"/>
          <c:dLbls>
            <c:txPr>
              <a:bodyPr wrap="square"/>
              <a:lstStyle/>
              <a:p>
                <a:pPr>
                  <a:defRPr b="0" sz="1000" spc="-1" strike="noStrike">
                    <a:solidFill>
                      <a:srgbClr val="000000"/>
                    </a:solidFill>
                    <a:latin typeface="Aptos Narrow"/>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'Carbon &amp; Sustainability'!$G$45:$G$46</c:f>
              <c:strCache>
                <c:ptCount val="2"/>
                <c:pt idx="0">
                  <c:v>Base case</c:v>
                </c:pt>
                <c:pt idx="1">
                  <c:v>With levers</c:v>
                </c:pt>
              </c:strCache>
            </c:strRef>
          </c:cat>
          <c:val>
            <c:numRef>
              <c:f>'Carbon &amp; Sustainability'!$H$45:$H$46</c:f>
              <c:numCache>
                <c:formatCode>#,##0</c:formatCode>
                <c:ptCount val="2"/>
                <c:pt idx="0">
                  <c:v>400000</c:v>
                </c:pt>
                <c:pt idx="1">
                  <c:v>364000</c:v>
                </c:pt>
              </c:numCache>
            </c:numRef>
          </c:val>
        </c:ser>
        <c:ser>
          <c:idx val="1"/>
          <c:order val="1"/>
          <c:tx>
            <c:strRef>
              <c:f>'Carbon &amp; Sustainability'!$I$44</c:f>
              <c:strCache>
                <c:ptCount val="1"/>
                <c:pt idx="0">
                  <c:v>Operational</c:v>
                </c:pt>
              </c:strCache>
            </c:strRef>
          </c:tx>
          <c:spPr>
            <a:solidFill>
              <a:srgbClr val="70ad47"/>
            </a:solidFill>
            <a:ln w="0">
              <a:noFill/>
            </a:ln>
          </c:spPr>
          <c:invertIfNegative val="0"/>
          <c:dLbls>
            <c:txPr>
              <a:bodyPr wrap="square"/>
              <a:lstStyle/>
              <a:p>
                <a:pPr>
                  <a:defRPr b="0" sz="1000" spc="-1" strike="noStrike">
                    <a:solidFill>
                      <a:srgbClr val="000000"/>
                    </a:solidFill>
                    <a:latin typeface="Aptos Narrow"/>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'Carbon &amp; Sustainability'!$G$45:$G$46</c:f>
              <c:strCache>
                <c:ptCount val="2"/>
                <c:pt idx="0">
                  <c:v>Base case</c:v>
                </c:pt>
                <c:pt idx="1">
                  <c:v>With levers</c:v>
                </c:pt>
              </c:strCache>
            </c:strRef>
          </c:cat>
          <c:val>
            <c:numRef>
              <c:f>'Carbon &amp; Sustainability'!$I$45:$I$46</c:f>
              <c:numCache>
                <c:formatCode>#,##0</c:formatCode>
                <c:ptCount val="2"/>
                <c:pt idx="0">
                  <c:v>2152332</c:v>
                </c:pt>
                <c:pt idx="1">
                  <c:v>378207.77904</c:v>
                </c:pt>
              </c:numCache>
            </c:numRef>
          </c:val>
        </c:ser>
        <c:gapWidth val="150"/>
        <c:overlap val="100"/>
        <c:axId val="65009458"/>
        <c:axId val="72104574"/>
      </c:barChart>
      <c:catAx>
        <c:axId val="65009458"/>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Aptos Narrow"/>
              </a:defRPr>
            </a:pPr>
          </a:p>
        </c:txPr>
        <c:crossAx val="72104574"/>
        <c:crosses val="autoZero"/>
        <c:auto val="1"/>
        <c:lblAlgn val="ctr"/>
        <c:lblOffset val="100"/>
        <c:noMultiLvlLbl val="0"/>
      </c:catAx>
      <c:valAx>
        <c:axId val="72104574"/>
        <c:scaling>
          <c:orientation val="minMax"/>
        </c:scaling>
        <c:delete val="0"/>
        <c:axPos val="l"/>
        <c:majorGridlines>
          <c:spPr>
            <a:ln w="9360">
              <a:solidFill>
                <a:srgbClr val="d9d9d9"/>
              </a:solidFill>
              <a:round/>
            </a:ln>
          </c:spPr>
        </c:majorGridlines>
        <c:title>
          <c:tx>
            <c:rich>
              <a:bodyPr rot="-5400000"/>
              <a:lstStyle/>
              <a:p>
                <a:pPr>
                  <a:defRPr b="0" lang="en-US" sz="800" spc="-1" strike="noStrike">
                    <a:solidFill>
                      <a:srgbClr val="595959"/>
                    </a:solidFill>
                    <a:latin typeface="Aptos Narrow"/>
                  </a:defRPr>
                </a:pPr>
                <a:r>
                  <a:rPr b="0" lang="en-US" sz="800" spc="-1" strike="noStrike">
                    <a:solidFill>
                      <a:srgbClr val="595959"/>
                    </a:solidFill>
                    <a:latin typeface="Aptos Narrow"/>
                  </a:rPr>
                  <a:t>tCO₂e</a:t>
                </a:r>
              </a:p>
            </c:rich>
          </c:tx>
          <c:overlay val="0"/>
          <c:spPr>
            <a:noFill/>
            <a:ln w="0">
              <a:noFill/>
            </a:ln>
          </c:spPr>
        </c:title>
        <c:numFmt formatCode="#,##0" sourceLinked="0"/>
        <c:majorTickMark val="none"/>
        <c:minorTickMark val="none"/>
        <c:tickLblPos val="nextTo"/>
        <c:spPr>
          <a:ln w="12600">
            <a:noFill/>
          </a:ln>
        </c:spPr>
        <c:txPr>
          <a:bodyPr/>
          <a:lstStyle/>
          <a:p>
            <a:pPr>
              <a:defRPr b="0" sz="900" spc="-1" strike="noStrike">
                <a:solidFill>
                  <a:srgbClr val="595959"/>
                </a:solidFill>
                <a:latin typeface="Aptos Narrow"/>
              </a:defRPr>
            </a:pPr>
          </a:p>
        </c:txPr>
        <c:crossAx val="65009458"/>
        <c:crosses val="autoZero"/>
        <c:crossBetween val="between"/>
      </c:valAx>
      <c:spPr>
        <a:noFill/>
        <a:ln w="0">
          <a:noFill/>
        </a:ln>
      </c:spPr>
    </c:plotArea>
    <c:legend>
      <c:legendPos val="b"/>
      <c:overlay val="0"/>
      <c:spPr>
        <a:noFill/>
        <a:ln w="0">
          <a:noFill/>
        </a:ln>
      </c:spPr>
      <c:txPr>
        <a:bodyPr/>
        <a:lstStyle/>
        <a:p>
          <a:pPr>
            <a:defRPr b="0" sz="800" spc="-1" strike="noStrike">
              <a:solidFill>
                <a:srgbClr val="595959"/>
              </a:solidFill>
              <a:latin typeface="Aptos Narrow"/>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000" spc="-1" strike="noStrike">
                <a:solidFill>
                  <a:srgbClr val="595959"/>
                </a:solidFill>
                <a:latin typeface="Aptos Narrow"/>
              </a:defRPr>
            </a:pPr>
            <a:r>
              <a:rPr b="1" lang="en-US" sz="1000" spc="-1" strike="noStrike">
                <a:solidFill>
                  <a:srgbClr val="595959"/>
                </a:solidFill>
                <a:latin typeface="Aptos Narrow"/>
              </a:rPr>
              <a:t>Scenario Comparison: Carbon vs Water</a:t>
            </a:r>
          </a:p>
        </c:rich>
      </c:tx>
      <c:overlay val="0"/>
      <c:spPr>
        <a:noFill/>
        <a:ln w="0">
          <a:noFill/>
        </a:ln>
      </c:spPr>
    </c:title>
    <c:autoTitleDeleted val="0"/>
    <c:plotArea>
      <c:barChart>
        <c:barDir val="col"/>
        <c:grouping val="clustered"/>
        <c:varyColors val="0"/>
        <c:ser>
          <c:idx val="0"/>
          <c:order val="0"/>
          <c:tx>
            <c:strRef>
              <c:f>'Carbon &amp; Sustainability'!$G$69</c:f>
              <c:strCache>
                <c:ptCount val="1"/>
                <c:pt idx="0">
                  <c:v>Lifecycle carbon (tCO₂e)</c:v>
                </c:pt>
              </c:strCache>
            </c:strRef>
          </c:tx>
          <c:spPr>
            <a:solidFill>
              <a:srgbClr val="4472c4"/>
            </a:solidFill>
            <a:ln w="0">
              <a:noFill/>
            </a:ln>
          </c:spPr>
          <c:invertIfNegative val="0"/>
          <c:dLbls>
            <c:txPr>
              <a:bodyPr wrap="square"/>
              <a:lstStyle/>
              <a:p>
                <a:pPr>
                  <a:defRPr b="0" sz="1000" spc="-1" strike="noStrike">
                    <a:solidFill>
                      <a:srgbClr val="000000"/>
                    </a:solidFill>
                    <a:latin typeface="Aptos Narrow"/>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'Carbon &amp; Sustainability'!$H$68:$K$68</c:f>
              <c:strCache>
                <c:ptCount val="4"/>
                <c:pt idx="0">
                  <c:v>Efficient</c:v>
                </c:pt>
                <c:pt idx="1">
                  <c:v>Base</c:v>
                </c:pt>
                <c:pt idx="2">
                  <c:v>Conservative</c:v>
                </c:pt>
                <c:pt idx="3">
                  <c:v>Custom</c:v>
                </c:pt>
              </c:strCache>
            </c:strRef>
          </c:cat>
          <c:val>
            <c:numRef>
              <c:f>'Carbon &amp; Sustainability'!$H$69:$K$69</c:f>
              <c:numCache>
                <c:formatCode>#,##0</c:formatCode>
                <c:ptCount val="4"/>
                <c:pt idx="0">
                  <c:v>683824</c:v>
                </c:pt>
                <c:pt idx="1">
                  <c:v>2552332</c:v>
                </c:pt>
                <c:pt idx="2">
                  <c:v>5338537.6</c:v>
                </c:pt>
                <c:pt idx="3">
                  <c:v>2552332</c:v>
                </c:pt>
              </c:numCache>
            </c:numRef>
          </c:val>
        </c:ser>
        <c:gapWidth val="219"/>
        <c:overlap val="-27"/>
        <c:axId val="10327724"/>
        <c:axId val="96398796"/>
      </c:barChart>
      <c:lineChart>
        <c:grouping val="standard"/>
        <c:varyColors val="0"/>
        <c:ser>
          <c:idx val="1"/>
          <c:order val="1"/>
          <c:tx>
            <c:strRef>
              <c:f>'Carbon &amp; Sustainability'!$G$70</c:f>
              <c:strCache>
                <c:ptCount val="1"/>
                <c:pt idx="0">
                  <c:v>Annual water (ML)</c:v>
                </c:pt>
              </c:strCache>
            </c:strRef>
          </c:tx>
          <c:spPr>
            <a:solidFill>
              <a:srgbClr val="2e9bd6"/>
            </a:solidFill>
            <a:ln cap="rnd" w="28440">
              <a:solidFill>
                <a:srgbClr val="2e9bd6"/>
              </a:solidFill>
              <a:round/>
            </a:ln>
          </c:spPr>
          <c:marker>
            <c:symbol val="none"/>
          </c:marker>
          <c:dLbls>
            <c:txPr>
              <a:bodyPr wrap="square"/>
              <a:lstStyle/>
              <a:p>
                <a:pPr>
                  <a:defRPr b="0" sz="1000" spc="-1" strike="noStrike">
                    <a:solidFill>
                      <a:srgbClr val="000000"/>
                    </a:solidFill>
                    <a:latin typeface="Aptos Narrow"/>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'Carbon &amp; Sustainability'!$H$68:$K$68</c:f>
              <c:strCache>
                <c:ptCount val="4"/>
                <c:pt idx="0">
                  <c:v>Efficient</c:v>
                </c:pt>
                <c:pt idx="1">
                  <c:v>Base</c:v>
                </c:pt>
                <c:pt idx="2">
                  <c:v>Conservative</c:v>
                </c:pt>
                <c:pt idx="3">
                  <c:v>Custom</c:v>
                </c:pt>
              </c:strCache>
            </c:strRef>
          </c:cat>
          <c:val>
            <c:numRef>
              <c:f>'Carbon &amp; Sustainability'!$H$70:$K$70</c:f>
              <c:numCache>
                <c:formatCode>#,##0</c:formatCode>
                <c:ptCount val="4"/>
                <c:pt idx="0">
                  <c:v>126.144</c:v>
                </c:pt>
                <c:pt idx="1">
                  <c:v>1135.296</c:v>
                </c:pt>
                <c:pt idx="2">
                  <c:v>1387.584</c:v>
                </c:pt>
                <c:pt idx="3">
                  <c:v>1135.296</c:v>
                </c:pt>
              </c:numCache>
            </c:numRef>
          </c:val>
          <c:smooth val="0"/>
        </c:ser>
        <c:hiLowLines>
          <c:spPr>
            <a:ln w="0">
              <a:noFill/>
            </a:ln>
          </c:spPr>
        </c:hiLowLines>
        <c:marker val="0"/>
        <c:axId val="3332208"/>
        <c:axId val="25419873"/>
      </c:lineChart>
      <c:catAx>
        <c:axId val="1032772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Aptos Narrow"/>
              </a:defRPr>
            </a:pPr>
          </a:p>
        </c:txPr>
        <c:crossAx val="96398796"/>
        <c:crosses val="autoZero"/>
        <c:auto val="1"/>
        <c:lblAlgn val="ctr"/>
        <c:lblOffset val="100"/>
        <c:noMultiLvlLbl val="0"/>
      </c:catAx>
      <c:valAx>
        <c:axId val="96398796"/>
        <c:scaling>
          <c:orientation val="minMax"/>
        </c:scaling>
        <c:delete val="0"/>
        <c:axPos val="l"/>
        <c:majorGridlines>
          <c:spPr>
            <a:ln w="9360">
              <a:solidFill>
                <a:srgbClr val="d9d9d9"/>
              </a:solidFill>
              <a:round/>
            </a:ln>
          </c:spPr>
        </c:majorGridlines>
        <c:title>
          <c:tx>
            <c:rich>
              <a:bodyPr rot="-5400000"/>
              <a:lstStyle/>
              <a:p>
                <a:pPr>
                  <a:defRPr b="0" lang="en-US" sz="800" spc="-1" strike="noStrike">
                    <a:solidFill>
                      <a:srgbClr val="595959"/>
                    </a:solidFill>
                    <a:latin typeface="Aptos Narrow"/>
                  </a:defRPr>
                </a:pPr>
                <a:r>
                  <a:rPr b="0" lang="en-US" sz="800" spc="-1" strike="noStrike">
                    <a:solidFill>
                      <a:srgbClr val="595959"/>
                    </a:solidFill>
                    <a:latin typeface="Aptos Narrow"/>
                  </a:rPr>
                  <a:t>Lifecycle carbon (tCO₂e)</a:t>
                </a:r>
              </a:p>
            </c:rich>
          </c:tx>
          <c:overlay val="0"/>
          <c:spPr>
            <a:noFill/>
            <a:ln w="0">
              <a:noFill/>
            </a:ln>
          </c:spPr>
        </c:title>
        <c:numFmt formatCode="#,##0" sourceLinked="0"/>
        <c:majorTickMark val="none"/>
        <c:minorTickMark val="none"/>
        <c:tickLblPos val="nextTo"/>
        <c:spPr>
          <a:ln w="12600">
            <a:noFill/>
          </a:ln>
        </c:spPr>
        <c:txPr>
          <a:bodyPr/>
          <a:lstStyle/>
          <a:p>
            <a:pPr>
              <a:defRPr b="0" sz="900" spc="-1" strike="noStrike">
                <a:solidFill>
                  <a:srgbClr val="595959"/>
                </a:solidFill>
                <a:latin typeface="Aptos Narrow"/>
              </a:defRPr>
            </a:pPr>
          </a:p>
        </c:txPr>
        <c:crossAx val="10327724"/>
        <c:crosses val="autoZero"/>
        <c:crossBetween val="between"/>
      </c:valAx>
      <c:catAx>
        <c:axId val="3332208"/>
        <c:scaling>
          <c:orientation val="minMax"/>
        </c:scaling>
        <c:delete val="1"/>
        <c:axPos val="t"/>
        <c:numFmt formatCode="General" sourceLinked="1"/>
        <c:majorTickMark val="out"/>
        <c:minorTickMark val="none"/>
        <c:tickLblPos val="nextTo"/>
        <c:spPr>
          <a:ln w="0">
            <a:solidFill>
              <a:srgbClr val="b3b3b3"/>
            </a:solidFill>
          </a:ln>
        </c:spPr>
        <c:txPr>
          <a:bodyPr/>
          <a:lstStyle/>
          <a:p>
            <a:pPr>
              <a:defRPr b="0" sz="1000" spc="-1" strike="noStrike">
                <a:solidFill>
                  <a:srgbClr val="000000"/>
                </a:solidFill>
                <a:latin typeface="Aptos Narrow"/>
              </a:defRPr>
            </a:pPr>
          </a:p>
        </c:txPr>
        <c:crossAx val="25419873"/>
        <c:auto val="1"/>
        <c:lblAlgn val="ctr"/>
        <c:lblOffset val="100"/>
        <c:noMultiLvlLbl val="0"/>
      </c:catAx>
      <c:valAx>
        <c:axId val="25419873"/>
        <c:scaling>
          <c:orientation val="minMax"/>
        </c:scaling>
        <c:delete val="0"/>
        <c:axPos val="r"/>
        <c:title>
          <c:tx>
            <c:rich>
              <a:bodyPr rot="-5400000"/>
              <a:lstStyle/>
              <a:p>
                <a:pPr>
                  <a:defRPr b="0" lang="en-US" sz="800" spc="-1" strike="noStrike">
                    <a:solidFill>
                      <a:srgbClr val="595959"/>
                    </a:solidFill>
                    <a:latin typeface="Aptos Narrow"/>
                  </a:defRPr>
                </a:pPr>
                <a:r>
                  <a:rPr b="0" lang="en-US" sz="800" spc="-1" strike="noStrike">
                    <a:solidFill>
                      <a:srgbClr val="595959"/>
                    </a:solidFill>
                    <a:latin typeface="Aptos Narrow"/>
                  </a:rPr>
                  <a:t>Annual water (ML)</a:t>
                </a:r>
              </a:p>
            </c:rich>
          </c:tx>
          <c:overlay val="0"/>
          <c:spPr>
            <a:noFill/>
            <a:ln w="0">
              <a:noFill/>
            </a:ln>
          </c:spPr>
        </c:title>
        <c:numFmt formatCode="#,##0" sourceLinked="0"/>
        <c:majorTickMark val="out"/>
        <c:minorTickMark val="none"/>
        <c:tickLblPos val="nextTo"/>
        <c:spPr>
          <a:ln w="12600">
            <a:noFill/>
          </a:ln>
        </c:spPr>
        <c:txPr>
          <a:bodyPr/>
          <a:lstStyle/>
          <a:p>
            <a:pPr>
              <a:defRPr b="0" sz="900" spc="-1" strike="noStrike">
                <a:solidFill>
                  <a:srgbClr val="595959"/>
                </a:solidFill>
                <a:latin typeface="Aptos Narrow"/>
              </a:defRPr>
            </a:pPr>
          </a:p>
        </c:txPr>
        <c:crossAx val="3332208"/>
        <c:crosses val="max"/>
        <c:crossBetween val="between"/>
      </c:valAx>
      <c:spPr>
        <a:noFill/>
        <a:ln w="0">
          <a:noFill/>
        </a:ln>
      </c:spPr>
    </c:plotArea>
    <c:legend>
      <c:legendPos val="b"/>
      <c:overlay val="0"/>
      <c:spPr>
        <a:noFill/>
        <a:ln w="0">
          <a:noFill/>
        </a:ln>
      </c:spPr>
      <c:txPr>
        <a:bodyPr/>
        <a:lstStyle/>
        <a:p>
          <a:pPr>
            <a:defRPr b="0" sz="800" spc="-1" strike="noStrike">
              <a:solidFill>
                <a:srgbClr val="595959"/>
              </a:solidFill>
              <a:latin typeface="Aptos Narrow"/>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
</Relationships>
</file>

<file path=xl/drawings/_rels/drawing2.xml.rels><?xml version="1.0" encoding="UTF-8"?>
<Relationships xmlns="http://schemas.openxmlformats.org/package/2006/relationships"><Relationship Id="rId1" Type="http://schemas.openxmlformats.org/officeDocument/2006/relationships/chart" Target="../charts/chart15.xml"/>
</Relationships>
</file>

<file path=xl/drawings/_rels/drawing3.xml.rels><?xml version="1.0" encoding="UTF-8"?>
<Relationships xmlns="http://schemas.openxmlformats.org/package/2006/relationships"><Relationship Id="rId1" Type="http://schemas.openxmlformats.org/officeDocument/2006/relationships/chart" Target="../charts/chart16.xml"/>
</Relationships>
</file>

<file path=xl/drawings/_rels/drawing4.xml.rels><?xml version="1.0" encoding="UTF-8"?>
<Relationships xmlns="http://schemas.openxmlformats.org/package/2006/relationships"><Relationship Id="rId1" Type="http://schemas.openxmlformats.org/officeDocument/2006/relationships/chart" Target="../charts/chart17.xml"/>
</Relationships>
</file>

<file path=xl/drawings/_rels/drawing5.xml.rels><?xml version="1.0" encoding="UTF-8"?>
<Relationships xmlns="http://schemas.openxmlformats.org/package/2006/relationships"><Relationship Id="rId1" Type="http://schemas.openxmlformats.org/officeDocument/2006/relationships/chart" Target="../charts/chart18.xml"/>
</Relationships>
</file>

<file path=xl/drawings/_rels/drawing6.xml.rels><?xml version="1.0" encoding="UTF-8"?>
<Relationships xmlns="http://schemas.openxmlformats.org/package/2006/relationships"><Relationship Id="rId1" Type="http://schemas.openxmlformats.org/officeDocument/2006/relationships/chart" Target="../charts/chart19.xml"/>
</Relationships>
</file>

<file path=xl/drawings/_rels/drawing7.xml.rels><?xml version="1.0" encoding="UTF-8"?>
<Relationships xmlns="http://schemas.openxmlformats.org/package/2006/relationships"><Relationship Id="rId1" Type="http://schemas.openxmlformats.org/officeDocument/2006/relationships/chart" Target="../charts/chart20.xml"/>
</Relationships>
</file>

<file path=xl/drawings/_rels/drawing8.xml.rels><?xml version="1.0" encoding="UTF-8"?>
<Relationships xmlns="http://schemas.openxmlformats.org/package/2006/relationships"><Relationship Id="rId1" Type="http://schemas.openxmlformats.org/officeDocument/2006/relationships/chart" Target="../charts/chart21.xml"/><Relationship Id="rId2" Type="http://schemas.openxmlformats.org/officeDocument/2006/relationships/chart" Target="../charts/chart22.xml"/>
</Relationships>
</file>

<file path=xl/drawings/_rels/drawing9.xml.rels><?xml version="1.0" encoding="UTF-8"?>
<Relationships xmlns="http://schemas.openxmlformats.org/package/2006/relationships"><Relationship Id="rId1" Type="http://schemas.openxmlformats.org/officeDocument/2006/relationships/chart" Target="../charts/chart23.xml"/>
</Relationships>
</file>

<file path=xl/drawings/_rels/drawing10.xml.rels><?xml version="1.0" encoding="UTF-8"?>
<Relationships xmlns="http://schemas.openxmlformats.org/package/2006/relationships"><Relationship Id="rId1" Type="http://schemas.openxmlformats.org/officeDocument/2006/relationships/chart" Target="../charts/chart24.xml"/>
</Relationships>
</file>

<file path=xl/drawings/_rels/drawing11.xml.rels><?xml version="1.0" encoding="UTF-8"?>
<Relationships xmlns="http://schemas.openxmlformats.org/package/2006/relationships"><Relationship Id="rId1" Type="http://schemas.openxmlformats.org/officeDocument/2006/relationships/chart" Target="../charts/chart25.xml"/>
</Relationships>
</file>

<file path=xl/drawings/_rels/drawing12.xml.rels><?xml version="1.0" encoding="UTF-8"?>
<Relationships xmlns="http://schemas.openxmlformats.org/package/2006/relationships"><Relationship Id="rId1" Type="http://schemas.openxmlformats.org/officeDocument/2006/relationships/chart" Target="../charts/chart26.xml"/>
</Relationships>
</file>

<file path=xl/drawings/_rels/drawing13.xml.rels><?xml version="1.0" encoding="UTF-8"?>
<Relationships xmlns="http://schemas.openxmlformats.org/package/2006/relationships"><Relationship Id="rId1" Type="http://schemas.openxmlformats.org/officeDocument/2006/relationships/chart" Target="../charts/chart27.xml"/><Relationship Id="rId2" Type="http://schemas.openxmlformats.org/officeDocument/2006/relationships/chart" Target="../charts/chart28.xml"/>
</Relationships>
</file>

<file path=xl/drawings/_rels/drawing14.xml.rels><?xml version="1.0" encoding="UTF-8"?>
<Relationships xmlns="http://schemas.openxmlformats.org/package/2006/relationships"><Relationship Id="rId1" Type="http://schemas.openxmlformats.org/officeDocument/2006/relationships/chart" Target="../charts/chart29.xml"/>
</Relationships>
</file>

<file path=xl/drawings/_rels/drawing15.xml.rels><?xml version="1.0" encoding="UTF-8"?>
<Relationships xmlns="http://schemas.openxmlformats.org/package/2006/relationships"><Relationship Id="rId1" Type="http://schemas.openxmlformats.org/officeDocument/2006/relationships/chart" Target="../charts/chart30.xml"/>
</Relationships>
</file>

<file path=xl/drawings/_rels/drawing16.xml.rels><?xml version="1.0" encoding="UTF-8"?>
<Relationships xmlns="http://schemas.openxmlformats.org/package/2006/relationships"><Relationship Id="rId1" Type="http://schemas.openxmlformats.org/officeDocument/2006/relationships/chart" Target="../charts/chart31.xml"/>
</Relationships>
</file>

<file path=xl/drawings/_rels/drawing17.xml.rels><?xml version="1.0" encoding="UTF-8"?>
<Relationships xmlns="http://schemas.openxmlformats.org/package/2006/relationships"><Relationship Id="rId1" Type="http://schemas.openxmlformats.org/officeDocument/2006/relationships/chart" Target="../charts/chart32.xml"/><Relationship Id="rId2" Type="http://schemas.openxmlformats.org/officeDocument/2006/relationships/chart" Target="../charts/chart33.xml"/><Relationship Id="rId3" Type="http://schemas.openxmlformats.org/officeDocument/2006/relationships/chart" Target="../charts/chart34.xml"/><Relationship Id="rId4" Type="http://schemas.openxmlformats.org/officeDocument/2006/relationships/chart" Target="../charts/chart3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27</xdr:row>
      <xdr:rowOff>0</xdr:rowOff>
    </xdr:from>
    <xdr:to>
      <xdr:col>10</xdr:col>
      <xdr:colOff>963360</xdr:colOff>
      <xdr:row>35</xdr:row>
      <xdr:rowOff>258480</xdr:rowOff>
    </xdr:to>
    <xdr:graphicFrame>
      <xdr:nvGraphicFramePr>
        <xdr:cNvPr id="0" name="Chart 1"/>
        <xdr:cNvGraphicFramePr/>
      </xdr:nvGraphicFramePr>
      <xdr:xfrm>
        <a:off x="8749800" y="5419800"/>
        <a:ext cx="4925520" cy="2096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40</xdr:row>
      <xdr:rowOff>0</xdr:rowOff>
    </xdr:from>
    <xdr:to>
      <xdr:col>10</xdr:col>
      <xdr:colOff>963360</xdr:colOff>
      <xdr:row>47</xdr:row>
      <xdr:rowOff>236160</xdr:rowOff>
    </xdr:to>
    <xdr:graphicFrame>
      <xdr:nvGraphicFramePr>
        <xdr:cNvPr id="1" name="Chart 2"/>
        <xdr:cNvGraphicFramePr/>
      </xdr:nvGraphicFramePr>
      <xdr:xfrm>
        <a:off x="8749800" y="8153280"/>
        <a:ext cx="4925520" cy="1550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97</xdr:row>
      <xdr:rowOff>158760</xdr:rowOff>
    </xdr:from>
    <xdr:to>
      <xdr:col>5</xdr:col>
      <xdr:colOff>836640</xdr:colOff>
      <xdr:row>124</xdr:row>
      <xdr:rowOff>14400</xdr:rowOff>
    </xdr:to>
    <xdr:graphicFrame>
      <xdr:nvGraphicFramePr>
        <xdr:cNvPr id="2" name="Chart 3"/>
        <xdr:cNvGraphicFramePr/>
      </xdr:nvGraphicFramePr>
      <xdr:xfrm>
        <a:off x="202680" y="20989800"/>
        <a:ext cx="6742080" cy="4999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97</xdr:row>
      <xdr:rowOff>160560</xdr:rowOff>
    </xdr:from>
    <xdr:to>
      <xdr:col>9</xdr:col>
      <xdr:colOff>527040</xdr:colOff>
      <xdr:row>110</xdr:row>
      <xdr:rowOff>13320</xdr:rowOff>
    </xdr:to>
    <xdr:graphicFrame>
      <xdr:nvGraphicFramePr>
        <xdr:cNvPr id="3" name="Chart 4"/>
        <xdr:cNvGraphicFramePr/>
      </xdr:nvGraphicFramePr>
      <xdr:xfrm>
        <a:off x="7428960" y="20991600"/>
        <a:ext cx="4489200" cy="23295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152280</xdr:colOff>
      <xdr:row>125</xdr:row>
      <xdr:rowOff>172440</xdr:rowOff>
    </xdr:from>
    <xdr:to>
      <xdr:col>5</xdr:col>
      <xdr:colOff>658800</xdr:colOff>
      <xdr:row>140</xdr:row>
      <xdr:rowOff>6480</xdr:rowOff>
    </xdr:to>
    <xdr:graphicFrame>
      <xdr:nvGraphicFramePr>
        <xdr:cNvPr id="4" name="Chart 5"/>
        <xdr:cNvGraphicFramePr/>
      </xdr:nvGraphicFramePr>
      <xdr:xfrm>
        <a:off x="152280" y="26337600"/>
        <a:ext cx="6614640" cy="26917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816120</xdr:colOff>
      <xdr:row>125</xdr:row>
      <xdr:rowOff>172440</xdr:rowOff>
    </xdr:from>
    <xdr:to>
      <xdr:col>10</xdr:col>
      <xdr:colOff>951120</xdr:colOff>
      <xdr:row>140</xdr:row>
      <xdr:rowOff>6480</xdr:rowOff>
    </xdr:to>
    <xdr:graphicFrame>
      <xdr:nvGraphicFramePr>
        <xdr:cNvPr id="5" name="Chart 6"/>
        <xdr:cNvGraphicFramePr/>
      </xdr:nvGraphicFramePr>
      <xdr:xfrm>
        <a:off x="6924240" y="26337600"/>
        <a:ext cx="6738840" cy="269172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152280</xdr:colOff>
      <xdr:row>142</xdr:row>
      <xdr:rowOff>172080</xdr:rowOff>
    </xdr:from>
    <xdr:to>
      <xdr:col>5</xdr:col>
      <xdr:colOff>658800</xdr:colOff>
      <xdr:row>157</xdr:row>
      <xdr:rowOff>6480</xdr:rowOff>
    </xdr:to>
    <xdr:graphicFrame>
      <xdr:nvGraphicFramePr>
        <xdr:cNvPr id="6" name="Chart 7"/>
        <xdr:cNvGraphicFramePr/>
      </xdr:nvGraphicFramePr>
      <xdr:xfrm>
        <a:off x="152280" y="29575800"/>
        <a:ext cx="6614640" cy="269172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816120</xdr:colOff>
      <xdr:row>142</xdr:row>
      <xdr:rowOff>172080</xdr:rowOff>
    </xdr:from>
    <xdr:to>
      <xdr:col>10</xdr:col>
      <xdr:colOff>951120</xdr:colOff>
      <xdr:row>157</xdr:row>
      <xdr:rowOff>6480</xdr:rowOff>
    </xdr:to>
    <xdr:graphicFrame>
      <xdr:nvGraphicFramePr>
        <xdr:cNvPr id="7" name="Chart 8"/>
        <xdr:cNvGraphicFramePr/>
      </xdr:nvGraphicFramePr>
      <xdr:xfrm>
        <a:off x="6924240" y="29575800"/>
        <a:ext cx="6738840" cy="26917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152280</xdr:colOff>
      <xdr:row>160</xdr:row>
      <xdr:rowOff>11520</xdr:rowOff>
    </xdr:from>
    <xdr:to>
      <xdr:col>5</xdr:col>
      <xdr:colOff>658800</xdr:colOff>
      <xdr:row>174</xdr:row>
      <xdr:rowOff>38160</xdr:rowOff>
    </xdr:to>
    <xdr:graphicFrame>
      <xdr:nvGraphicFramePr>
        <xdr:cNvPr id="8" name="Chart 9"/>
        <xdr:cNvGraphicFramePr/>
      </xdr:nvGraphicFramePr>
      <xdr:xfrm>
        <a:off x="152280" y="32844240"/>
        <a:ext cx="6614640" cy="269352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816120</xdr:colOff>
      <xdr:row>160</xdr:row>
      <xdr:rowOff>11520</xdr:rowOff>
    </xdr:from>
    <xdr:to>
      <xdr:col>10</xdr:col>
      <xdr:colOff>951120</xdr:colOff>
      <xdr:row>174</xdr:row>
      <xdr:rowOff>38160</xdr:rowOff>
    </xdr:to>
    <xdr:graphicFrame>
      <xdr:nvGraphicFramePr>
        <xdr:cNvPr id="9" name="Chart 10"/>
        <xdr:cNvGraphicFramePr/>
      </xdr:nvGraphicFramePr>
      <xdr:xfrm>
        <a:off x="6924240" y="32844240"/>
        <a:ext cx="6738840" cy="269352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6</xdr:col>
      <xdr:colOff>0</xdr:colOff>
      <xdr:row>111</xdr:row>
      <xdr:rowOff>160920</xdr:rowOff>
    </xdr:from>
    <xdr:to>
      <xdr:col>9</xdr:col>
      <xdr:colOff>527040</xdr:colOff>
      <xdr:row>124</xdr:row>
      <xdr:rowOff>13320</xdr:rowOff>
    </xdr:to>
    <xdr:graphicFrame>
      <xdr:nvGraphicFramePr>
        <xdr:cNvPr id="10" name="Chart 11"/>
        <xdr:cNvGraphicFramePr/>
      </xdr:nvGraphicFramePr>
      <xdr:xfrm>
        <a:off x="7428960" y="23659200"/>
        <a:ext cx="4489200" cy="2328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0</xdr:colOff>
      <xdr:row>179</xdr:row>
      <xdr:rowOff>82440</xdr:rowOff>
    </xdr:from>
    <xdr:to>
      <xdr:col>10</xdr:col>
      <xdr:colOff>951120</xdr:colOff>
      <xdr:row>209</xdr:row>
      <xdr:rowOff>65160</xdr:rowOff>
    </xdr:to>
    <xdr:graphicFrame>
      <xdr:nvGraphicFramePr>
        <xdr:cNvPr id="11" name="Chart 12"/>
        <xdr:cNvGraphicFramePr/>
      </xdr:nvGraphicFramePr>
      <xdr:xfrm>
        <a:off x="202680" y="36372600"/>
        <a:ext cx="13460400" cy="569772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xdr:col>
      <xdr:colOff>0</xdr:colOff>
      <xdr:row>232</xdr:row>
      <xdr:rowOff>171360</xdr:rowOff>
    </xdr:from>
    <xdr:to>
      <xdr:col>5</xdr:col>
      <xdr:colOff>658800</xdr:colOff>
      <xdr:row>248</xdr:row>
      <xdr:rowOff>103320</xdr:rowOff>
    </xdr:to>
    <xdr:graphicFrame>
      <xdr:nvGraphicFramePr>
        <xdr:cNvPr id="12" name="Chart 13"/>
        <xdr:cNvGraphicFramePr/>
      </xdr:nvGraphicFramePr>
      <xdr:xfrm>
        <a:off x="202680" y="46634400"/>
        <a:ext cx="6564240" cy="29797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5</xdr:col>
      <xdr:colOff>816120</xdr:colOff>
      <xdr:row>232</xdr:row>
      <xdr:rowOff>171360</xdr:rowOff>
    </xdr:from>
    <xdr:to>
      <xdr:col>10</xdr:col>
      <xdr:colOff>951120</xdr:colOff>
      <xdr:row>248</xdr:row>
      <xdr:rowOff>103320</xdr:rowOff>
    </xdr:to>
    <xdr:graphicFrame>
      <xdr:nvGraphicFramePr>
        <xdr:cNvPr id="13" name="Chart 14"/>
        <xdr:cNvGraphicFramePr/>
      </xdr:nvGraphicFramePr>
      <xdr:xfrm>
        <a:off x="6924240" y="46634400"/>
        <a:ext cx="6738840" cy="29797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40</xdr:row>
      <xdr:rowOff>76320</xdr:rowOff>
    </xdr:from>
    <xdr:to>
      <xdr:col>4</xdr:col>
      <xdr:colOff>52560</xdr:colOff>
      <xdr:row>57</xdr:row>
      <xdr:rowOff>135000</xdr:rowOff>
    </xdr:to>
    <xdr:graphicFrame>
      <xdr:nvGraphicFramePr>
        <xdr:cNvPr id="14" name="Chart 1"/>
        <xdr:cNvGraphicFramePr/>
      </xdr:nvGraphicFramePr>
      <xdr:xfrm>
        <a:off x="0" y="8086680"/>
        <a:ext cx="9120240" cy="3297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5</xdr:row>
      <xdr:rowOff>0</xdr:rowOff>
    </xdr:from>
    <xdr:to>
      <xdr:col>16</xdr:col>
      <xdr:colOff>757080</xdr:colOff>
      <xdr:row>20</xdr:row>
      <xdr:rowOff>185760</xdr:rowOff>
    </xdr:to>
    <xdr:graphicFrame>
      <xdr:nvGraphicFramePr>
        <xdr:cNvPr id="15" name="Chart 1"/>
        <xdr:cNvGraphicFramePr/>
      </xdr:nvGraphicFramePr>
      <xdr:xfrm>
        <a:off x="22820040" y="1066680"/>
        <a:ext cx="4566960" cy="30718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117360</xdr:colOff>
      <xdr:row>4</xdr:row>
      <xdr:rowOff>139680</xdr:rowOff>
    </xdr:from>
    <xdr:to>
      <xdr:col>8</xdr:col>
      <xdr:colOff>484200</xdr:colOff>
      <xdr:row>25</xdr:row>
      <xdr:rowOff>135000</xdr:rowOff>
    </xdr:to>
    <xdr:graphicFrame>
      <xdr:nvGraphicFramePr>
        <xdr:cNvPr id="16" name="Chart 1"/>
        <xdr:cNvGraphicFramePr/>
      </xdr:nvGraphicFramePr>
      <xdr:xfrm>
        <a:off x="11814120" y="1015920"/>
        <a:ext cx="5967360" cy="3996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79</xdr:row>
      <xdr:rowOff>38160</xdr:rowOff>
    </xdr:from>
    <xdr:to>
      <xdr:col>8</xdr:col>
      <xdr:colOff>147600</xdr:colOff>
      <xdr:row>96</xdr:row>
      <xdr:rowOff>52560</xdr:rowOff>
    </xdr:to>
    <xdr:graphicFrame>
      <xdr:nvGraphicFramePr>
        <xdr:cNvPr id="17" name="Chart 1"/>
        <xdr:cNvGraphicFramePr/>
      </xdr:nvGraphicFramePr>
      <xdr:xfrm>
        <a:off x="152280" y="16164000"/>
        <a:ext cx="10409400" cy="32529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41</xdr:row>
      <xdr:rowOff>0</xdr:rowOff>
    </xdr:from>
    <xdr:to>
      <xdr:col>11</xdr:col>
      <xdr:colOff>1327680</xdr:colOff>
      <xdr:row>61</xdr:row>
      <xdr:rowOff>132480</xdr:rowOff>
    </xdr:to>
    <xdr:graphicFrame>
      <xdr:nvGraphicFramePr>
        <xdr:cNvPr id="18" name="Chart 1"/>
        <xdr:cNvGraphicFramePr/>
      </xdr:nvGraphicFramePr>
      <xdr:xfrm>
        <a:off x="8382600" y="8705880"/>
        <a:ext cx="6839640" cy="3942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49</xdr:row>
      <xdr:rowOff>0</xdr:rowOff>
    </xdr:from>
    <xdr:to>
      <xdr:col>3</xdr:col>
      <xdr:colOff>506880</xdr:colOff>
      <xdr:row>64</xdr:row>
      <xdr:rowOff>5760</xdr:rowOff>
    </xdr:to>
    <xdr:graphicFrame>
      <xdr:nvGraphicFramePr>
        <xdr:cNvPr id="19" name="Chart 1"/>
        <xdr:cNvGraphicFramePr/>
      </xdr:nvGraphicFramePr>
      <xdr:xfrm>
        <a:off x="0" y="9496440"/>
        <a:ext cx="6463080" cy="2863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29</xdr:row>
      <xdr:rowOff>76320</xdr:rowOff>
    </xdr:from>
    <xdr:to>
      <xdr:col>3</xdr:col>
      <xdr:colOff>234720</xdr:colOff>
      <xdr:row>43</xdr:row>
      <xdr:rowOff>95760</xdr:rowOff>
    </xdr:to>
    <xdr:graphicFrame>
      <xdr:nvGraphicFramePr>
        <xdr:cNvPr id="20" name="Chart 1"/>
        <xdr:cNvGraphicFramePr/>
      </xdr:nvGraphicFramePr>
      <xdr:xfrm>
        <a:off x="0" y="5762880"/>
        <a:ext cx="5746680" cy="2686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28</xdr:row>
      <xdr:rowOff>0</xdr:rowOff>
    </xdr:from>
    <xdr:to>
      <xdr:col>7</xdr:col>
      <xdr:colOff>1417680</xdr:colOff>
      <xdr:row>46</xdr:row>
      <xdr:rowOff>186120</xdr:rowOff>
    </xdr:to>
    <xdr:graphicFrame>
      <xdr:nvGraphicFramePr>
        <xdr:cNvPr id="21" name="Chart 2"/>
        <xdr:cNvGraphicFramePr/>
      </xdr:nvGraphicFramePr>
      <xdr:xfrm>
        <a:off x="0" y="5495760"/>
        <a:ext cx="11730240" cy="3615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43</xdr:row>
      <xdr:rowOff>0</xdr:rowOff>
    </xdr:from>
    <xdr:to>
      <xdr:col>11</xdr:col>
      <xdr:colOff>757080</xdr:colOff>
      <xdr:row>61</xdr:row>
      <xdr:rowOff>185760</xdr:rowOff>
    </xdr:to>
    <xdr:graphicFrame>
      <xdr:nvGraphicFramePr>
        <xdr:cNvPr id="22" name="Chart 1"/>
        <xdr:cNvGraphicFramePr/>
      </xdr:nvGraphicFramePr>
      <xdr:xfrm>
        <a:off x="13639680" y="10125000"/>
        <a:ext cx="4567320" cy="4186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10</xdr:row>
      <xdr:rowOff>0</xdr:rowOff>
    </xdr:from>
    <xdr:to>
      <xdr:col>10</xdr:col>
      <xdr:colOff>757440</xdr:colOff>
      <xdr:row>27</xdr:row>
      <xdr:rowOff>223920</xdr:rowOff>
    </xdr:to>
    <xdr:graphicFrame>
      <xdr:nvGraphicFramePr>
        <xdr:cNvPr id="23" name="Chart 1"/>
        <xdr:cNvGraphicFramePr/>
      </xdr:nvGraphicFramePr>
      <xdr:xfrm>
        <a:off x="13030920" y="2743200"/>
        <a:ext cx="4567320" cy="4110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14</xdr:row>
      <xdr:rowOff>0</xdr:rowOff>
    </xdr:from>
    <xdr:to>
      <xdr:col>17</xdr:col>
      <xdr:colOff>757440</xdr:colOff>
      <xdr:row>31</xdr:row>
      <xdr:rowOff>223920</xdr:rowOff>
    </xdr:to>
    <xdr:graphicFrame>
      <xdr:nvGraphicFramePr>
        <xdr:cNvPr id="24" name="Chart 1"/>
        <xdr:cNvGraphicFramePr/>
      </xdr:nvGraphicFramePr>
      <xdr:xfrm>
        <a:off x="21095280" y="3467160"/>
        <a:ext cx="5329440" cy="42339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5</xdr:row>
      <xdr:rowOff>0</xdr:rowOff>
    </xdr:from>
    <xdr:to>
      <xdr:col>17</xdr:col>
      <xdr:colOff>757440</xdr:colOff>
      <xdr:row>27</xdr:row>
      <xdr:rowOff>223920</xdr:rowOff>
    </xdr:to>
    <xdr:graphicFrame>
      <xdr:nvGraphicFramePr>
        <xdr:cNvPr id="25" name="Chart 1"/>
        <xdr:cNvGraphicFramePr/>
      </xdr:nvGraphicFramePr>
      <xdr:xfrm>
        <a:off x="18657000" y="1238400"/>
        <a:ext cx="6396120" cy="5253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6</xdr:row>
      <xdr:rowOff>0</xdr:rowOff>
    </xdr:from>
    <xdr:to>
      <xdr:col>10</xdr:col>
      <xdr:colOff>1379520</xdr:colOff>
      <xdr:row>21</xdr:row>
      <xdr:rowOff>186120</xdr:rowOff>
    </xdr:to>
    <xdr:graphicFrame>
      <xdr:nvGraphicFramePr>
        <xdr:cNvPr id="26" name="Chart 1"/>
        <xdr:cNvGraphicFramePr/>
      </xdr:nvGraphicFramePr>
      <xdr:xfrm>
        <a:off x="10718640" y="1562040"/>
        <a:ext cx="6917040" cy="35769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23</xdr:row>
      <xdr:rowOff>0</xdr:rowOff>
    </xdr:from>
    <xdr:to>
      <xdr:col>10</xdr:col>
      <xdr:colOff>1379520</xdr:colOff>
      <xdr:row>36</xdr:row>
      <xdr:rowOff>223920</xdr:rowOff>
    </xdr:to>
    <xdr:graphicFrame>
      <xdr:nvGraphicFramePr>
        <xdr:cNvPr id="27" name="Chart 2"/>
        <xdr:cNvGraphicFramePr/>
      </xdr:nvGraphicFramePr>
      <xdr:xfrm>
        <a:off x="10718640" y="5524560"/>
        <a:ext cx="6917040" cy="37767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27</xdr:row>
      <xdr:rowOff>0</xdr:rowOff>
    </xdr:from>
    <xdr:to>
      <xdr:col>4</xdr:col>
      <xdr:colOff>421920</xdr:colOff>
      <xdr:row>42</xdr:row>
      <xdr:rowOff>189720</xdr:rowOff>
    </xdr:to>
    <xdr:graphicFrame>
      <xdr:nvGraphicFramePr>
        <xdr:cNvPr id="28" name="Chart 1"/>
        <xdr:cNvGraphicFramePr/>
      </xdr:nvGraphicFramePr>
      <xdr:xfrm>
        <a:off x="0" y="5438880"/>
        <a:ext cx="6467040" cy="3047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37</xdr:row>
      <xdr:rowOff>0</xdr:rowOff>
    </xdr:from>
    <xdr:to>
      <xdr:col>16</xdr:col>
      <xdr:colOff>642960</xdr:colOff>
      <xdr:row>59</xdr:row>
      <xdr:rowOff>185760</xdr:rowOff>
    </xdr:to>
    <xdr:graphicFrame>
      <xdr:nvGraphicFramePr>
        <xdr:cNvPr id="29" name="Chart 1"/>
        <xdr:cNvGraphicFramePr/>
      </xdr:nvGraphicFramePr>
      <xdr:xfrm>
        <a:off x="0" y="7182000"/>
        <a:ext cx="15774840" cy="4376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3</xdr:row>
      <xdr:rowOff>3240</xdr:rowOff>
    </xdr:from>
    <xdr:to>
      <xdr:col>9</xdr:col>
      <xdr:colOff>247320</xdr:colOff>
      <xdr:row>19</xdr:row>
      <xdr:rowOff>125640</xdr:rowOff>
    </xdr:to>
    <xdr:graphicFrame>
      <xdr:nvGraphicFramePr>
        <xdr:cNvPr id="30" name="Chart 1"/>
        <xdr:cNvGraphicFramePr/>
      </xdr:nvGraphicFramePr>
      <xdr:xfrm>
        <a:off x="4978440" y="736560"/>
        <a:ext cx="7181640" cy="31705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0</xdr:rowOff>
    </xdr:from>
    <xdr:to>
      <xdr:col>11</xdr:col>
      <xdr:colOff>757080</xdr:colOff>
      <xdr:row>19</xdr:row>
      <xdr:rowOff>185760</xdr:rowOff>
    </xdr:to>
    <xdr:graphicFrame>
      <xdr:nvGraphicFramePr>
        <xdr:cNvPr id="31" name="Chart 1"/>
        <xdr:cNvGraphicFramePr/>
      </xdr:nvGraphicFramePr>
      <xdr:xfrm>
        <a:off x="9956880" y="819000"/>
        <a:ext cx="5329080" cy="32338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20</xdr:row>
      <xdr:rowOff>0</xdr:rowOff>
    </xdr:from>
    <xdr:to>
      <xdr:col>11</xdr:col>
      <xdr:colOff>757080</xdr:colOff>
      <xdr:row>34</xdr:row>
      <xdr:rowOff>185760</xdr:rowOff>
    </xdr:to>
    <xdr:graphicFrame>
      <xdr:nvGraphicFramePr>
        <xdr:cNvPr id="32" name="Chart 2"/>
        <xdr:cNvGraphicFramePr/>
      </xdr:nvGraphicFramePr>
      <xdr:xfrm>
        <a:off x="9956880" y="4057560"/>
        <a:ext cx="5329080" cy="28530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38</xdr:row>
      <xdr:rowOff>0</xdr:rowOff>
    </xdr:from>
    <xdr:to>
      <xdr:col>11</xdr:col>
      <xdr:colOff>757080</xdr:colOff>
      <xdr:row>52</xdr:row>
      <xdr:rowOff>185760</xdr:rowOff>
    </xdr:to>
    <xdr:graphicFrame>
      <xdr:nvGraphicFramePr>
        <xdr:cNvPr id="33" name="Chart 3"/>
        <xdr:cNvGraphicFramePr/>
      </xdr:nvGraphicFramePr>
      <xdr:xfrm>
        <a:off x="9956880" y="7486560"/>
        <a:ext cx="5329080" cy="28530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54</xdr:row>
      <xdr:rowOff>0</xdr:rowOff>
    </xdr:from>
    <xdr:to>
      <xdr:col>11</xdr:col>
      <xdr:colOff>757080</xdr:colOff>
      <xdr:row>71</xdr:row>
      <xdr:rowOff>185760</xdr:rowOff>
    </xdr:to>
    <xdr:graphicFrame>
      <xdr:nvGraphicFramePr>
        <xdr:cNvPr id="34" name="Chart 4"/>
        <xdr:cNvGraphicFramePr/>
      </xdr:nvGraphicFramePr>
      <xdr:xfrm>
        <a:off x="9956880" y="10534680"/>
        <a:ext cx="5329080" cy="34243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3.xml"/><Relationship Id="rId3"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6.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7.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8.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9.vml"/>
</Relationships>
</file>

<file path=xl/worksheets/_rels/sheet18.xml.rels><?xml version="1.0" encoding="UTF-8"?>
<Relationships xmlns="http://schemas.openxmlformats.org/package/2006/relationships"><Relationship Id="rId1" Type="http://schemas.openxmlformats.org/officeDocument/2006/relationships/drawing" Target="../drawings/drawing5.xml"/>
</Relationships>
</file>

<file path=xl/worksheets/_rels/sheet19.xml.rels><?xml version="1.0" encoding="UTF-8"?>
<Relationships xmlns="http://schemas.openxmlformats.org/package/2006/relationships"><Relationship Id="rId1" Type="http://schemas.openxmlformats.org/officeDocument/2006/relationships/drawing" Target="../drawings/drawing6.x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0.vml"/>
</Relationships>
</file>

<file path=xl/worksheets/_rels/sheet24.xml.rels><?xml version="1.0" encoding="UTF-8"?>
<Relationships xmlns="http://schemas.openxmlformats.org/package/2006/relationships"><Relationship Id="rId1" Type="http://schemas.openxmlformats.org/officeDocument/2006/relationships/drawing" Target="../drawings/drawing7.xml"/>
</Relationships>
</file>

<file path=xl/worksheets/_rels/sheet25.xml.rels><?xml version="1.0" encoding="UTF-8"?>
<Relationships xmlns="http://schemas.openxmlformats.org/package/2006/relationships"><Relationship Id="rId1" Type="http://schemas.openxmlformats.org/officeDocument/2006/relationships/drawing" Target="../drawings/drawing8.x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9.xml"/><Relationship Id="rId3" Type="http://schemas.openxmlformats.org/officeDocument/2006/relationships/vmlDrawing" Target="../drawings/vmlDrawing11.vml"/>
</Relationships>
</file>

<file path=xl/worksheets/_rels/sheet27.xml.rels><?xml version="1.0" encoding="UTF-8"?>
<Relationships xmlns="http://schemas.openxmlformats.org/package/2006/relationships"><Relationship Id="rId1" Type="http://schemas.openxmlformats.org/officeDocument/2006/relationships/drawing" Target="../drawings/drawing10.x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2.vml"/>
</Relationships>
</file>

<file path=xl/worksheets/_rels/sheet29.xml.rels><?xml version="1.0" encoding="UTF-8"?>
<Relationships xmlns="http://schemas.openxmlformats.org/package/2006/relationships"><Relationship Id="rId1" Type="http://schemas.openxmlformats.org/officeDocument/2006/relationships/drawing" Target="../drawings/drawing11.xml"/>
</Relationships>
</file>

<file path=xl/worksheets/_rels/sheet30.xml.rels><?xml version="1.0" encoding="UTF-8"?>
<Relationships xmlns="http://schemas.openxmlformats.org/package/2006/relationships"><Relationship Id="rId1" Type="http://schemas.openxmlformats.org/officeDocument/2006/relationships/drawing" Target="../drawings/drawing12.xml"/>
</Relationships>
</file>

<file path=xl/worksheets/_rels/sheet31.xml.rels><?xml version="1.0" encoding="UTF-8"?>
<Relationships xmlns="http://schemas.openxmlformats.org/package/2006/relationships"><Relationship Id="rId1" Type="http://schemas.openxmlformats.org/officeDocument/2006/relationships/drawing" Target="../drawings/drawing13.xml"/>
</Relationships>
</file>

<file path=xl/worksheets/_rels/sheet32.xml.rels><?xml version="1.0" encoding="UTF-8"?>
<Relationships xmlns="http://schemas.openxmlformats.org/package/2006/relationships"><Relationship Id="rId1" Type="http://schemas.openxmlformats.org/officeDocument/2006/relationships/comments" Target="../comments32.xml"/><Relationship Id="rId2" Type="http://schemas.openxmlformats.org/officeDocument/2006/relationships/vmlDrawing" Target="../drawings/vmlDrawing13.vml"/>
</Relationships>
</file>

<file path=xl/worksheets/_rels/sheet33.xml.rels><?xml version="1.0" encoding="UTF-8"?>
<Relationships xmlns="http://schemas.openxmlformats.org/package/2006/relationships"><Relationship Id="rId1" Type="http://schemas.openxmlformats.org/officeDocument/2006/relationships/drawing" Target="../drawings/drawing14.xml"/>
</Relationships>
</file>

<file path=xl/worksheets/_rels/sheet34.xml.rels><?xml version="1.0" encoding="UTF-8"?>
<Relationships xmlns="http://schemas.openxmlformats.org/package/2006/relationships"><Relationship Id="rId1" Type="http://schemas.openxmlformats.org/officeDocument/2006/relationships/comments" Target="../comments34.xml"/><Relationship Id="rId2" Type="http://schemas.openxmlformats.org/officeDocument/2006/relationships/drawing" Target="../drawings/drawing15.xml"/><Relationship Id="rId3" Type="http://schemas.openxmlformats.org/officeDocument/2006/relationships/vmlDrawing" Target="../drawings/vmlDrawing14.vml"/>
</Relationships>
</file>

<file path=xl/worksheets/_rels/sheet35.xml.rels><?xml version="1.0" encoding="UTF-8"?>
<Relationships xmlns="http://schemas.openxmlformats.org/package/2006/relationships"><Relationship Id="rId1" Type="http://schemas.openxmlformats.org/officeDocument/2006/relationships/comments" Target="../comments35.xml"/><Relationship Id="rId2" Type="http://schemas.openxmlformats.org/officeDocument/2006/relationships/drawing" Target="../drawings/drawing16.xml"/><Relationship Id="rId3" Type="http://schemas.openxmlformats.org/officeDocument/2006/relationships/vmlDrawing" Target="../drawings/vmlDrawing15.vml"/>
</Relationships>
</file>

<file path=xl/worksheets/_rels/sheet36.xml.rels><?xml version="1.0" encoding="UTF-8"?>
<Relationships xmlns="http://schemas.openxmlformats.org/package/2006/relationships"><Relationship Id="rId1" Type="http://schemas.openxmlformats.org/officeDocument/2006/relationships/comments" Target="../comments36.xml"/><Relationship Id="rId2" Type="http://schemas.openxmlformats.org/officeDocument/2006/relationships/vmlDrawing" Target="../drawings/vmlDrawing16.vml"/>
</Relationships>
</file>

<file path=xl/worksheets/_rels/sheet37.xml.rels><?xml version="1.0" encoding="UTF-8"?>
<Relationships xmlns="http://schemas.openxmlformats.org/package/2006/relationships"><Relationship Id="rId1" Type="http://schemas.openxmlformats.org/officeDocument/2006/relationships/comments" Target="../comments37.xml"/><Relationship Id="rId2" Type="http://schemas.openxmlformats.org/officeDocument/2006/relationships/drawing" Target="../drawings/drawing17.xml"/><Relationship Id="rId3" Type="http://schemas.openxmlformats.org/officeDocument/2006/relationships/vmlDrawing" Target="../drawings/vmlDrawing1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C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
    </sheetView>
  </sheetViews>
  <sheetFormatPr defaultColWidth="8.57421875" defaultRowHeight="15" zeroHeight="false" outlineLevelRow="0" outlineLevelCol="0"/>
  <cols>
    <col collapsed="false" customWidth="true" hidden="false" outlineLevel="0" max="1" min="1" style="1" width="2.28"/>
    <col collapsed="false" customWidth="true" hidden="false" outlineLevel="0" max="2" min="2" style="1" width="30"/>
    <col collapsed="false" customWidth="true" hidden="false" outlineLevel="0" max="3" min="3" style="1" width="92"/>
  </cols>
  <sheetData>
    <row r="2" customFormat="false" ht="30" hidden="false" customHeight="true" outlineLevel="0" collapsed="false">
      <c r="B2" s="2" t="s">
        <v>0</v>
      </c>
      <c r="C2" s="2"/>
    </row>
    <row r="3" customFormat="false" ht="15" hidden="false" customHeight="true" outlineLevel="0" collapsed="false">
      <c r="B3" s="3" t="s">
        <v>1</v>
      </c>
      <c r="C3" s="3"/>
    </row>
    <row r="5" customFormat="false" ht="15" hidden="false" customHeight="true" outlineLevel="0" collapsed="false">
      <c r="B5" s="4" t="s">
        <v>2</v>
      </c>
      <c r="C5" s="4" t="s">
        <v>3</v>
      </c>
    </row>
    <row r="6" customFormat="false" ht="19.5" hidden="false" customHeight="true" outlineLevel="0" collapsed="false">
      <c r="B6" s="5" t="n">
        <f aca="false">'Construction Budget'!H842</f>
        <v>1088341827.06739</v>
      </c>
      <c r="C6" s="6" t="str">
        <f aca="false">'Campus Rollup'!D16&amp;" MW   ·   $"&amp;TEXT('Construction Budget'!H843/1000000,"0.0")&amp;"M / MW   ·   "&amp;TEXT('Campus Rollup'!C16,"#,##0")&amp;" SF   ·   39 sheets"</f>
        <v>90 MW   ·   $12.1M / MW   ·   800,000 SF   ·   39 sheets</v>
      </c>
    </row>
    <row r="8" customFormat="false" ht="18" hidden="false" customHeight="true" outlineLevel="0" collapsed="false">
      <c r="B8" s="7" t="s">
        <v>4</v>
      </c>
      <c r="C8" s="7"/>
    </row>
    <row r="9" customFormat="false" ht="15" hidden="false" customHeight="true" outlineLevel="0" collapsed="false">
      <c r="B9" s="8" t="str">
        <f aca="false">HYPERLINK("#'Dashboard'!A1","Dashboard")</f>
        <v>Dashboard</v>
      </c>
      <c r="C9" s="9" t="s">
        <v>5</v>
      </c>
    </row>
    <row r="10" customFormat="false" ht="15" hidden="false" customHeight="true" outlineLevel="0" collapsed="false">
      <c r="B10" s="8" t="str">
        <f aca="false">HYPERLINK("#'Basis of Estimate'!A1","Basis of Estimate")</f>
        <v>Basis of Estimate</v>
      </c>
      <c r="C10" s="9" t="s">
        <v>6</v>
      </c>
    </row>
    <row r="11" customFormat="false" ht="18" hidden="false" customHeight="true" outlineLevel="0" collapsed="false">
      <c r="B11" s="7" t="s">
        <v>7</v>
      </c>
      <c r="C11" s="7"/>
    </row>
    <row r="12" customFormat="false" ht="15" hidden="false" customHeight="true" outlineLevel="0" collapsed="false">
      <c r="B12" s="8" t="str">
        <f aca="false">HYPERLINK("#'Construction Budget'!A1","Construction Budget")</f>
        <v>Construction Budget</v>
      </c>
      <c r="C12" s="9" t="s">
        <v>8</v>
      </c>
    </row>
    <row r="13" customFormat="false" ht="15" hidden="false" customHeight="true" outlineLevel="0" collapsed="false">
      <c r="B13" s="8" t="str">
        <f aca="false">HYPERLINK("#'Unit Cost Database'!A1","Unit Cost Database")</f>
        <v>Unit Cost Database</v>
      </c>
      <c r="C13" s="9" t="s">
        <v>9</v>
      </c>
    </row>
    <row r="14" customFormat="false" ht="15" hidden="false" customHeight="true" outlineLevel="0" collapsed="false">
      <c r="B14" s="8" t="str">
        <f aca="false">HYPERLINK("#'Location Factors'!A1","Location Factors")</f>
        <v>Location Factors</v>
      </c>
      <c r="C14" s="9" t="s">
        <v>10</v>
      </c>
    </row>
    <row r="15" customFormat="false" ht="15" hidden="false" customHeight="true" outlineLevel="0" collapsed="false">
      <c r="B15" s="8" t="str">
        <f aca="false">HYPERLINK("#'Allowances &amp; Alternates'!A1","Allowances &amp; Alternates")</f>
        <v>Allowances &amp; Alternates</v>
      </c>
      <c r="C15" s="9" t="s">
        <v>11</v>
      </c>
    </row>
    <row r="16" customFormat="false" ht="15" hidden="false" customHeight="true" outlineLevel="0" collapsed="false">
      <c r="B16" s="8" t="str">
        <f aca="false">HYPERLINK("#'CSA Summary'!A1","CSA Summary")</f>
        <v>CSA Summary</v>
      </c>
      <c r="C16" s="9" t="s">
        <v>12</v>
      </c>
    </row>
    <row r="17" customFormat="false" ht="15" hidden="false" customHeight="true" outlineLevel="0" collapsed="false">
      <c r="B17" s="8" t="str">
        <f aca="false">HYPERLINK("#'Variance Tracker'!A1","Variance Tracker")</f>
        <v>Variance Tracker</v>
      </c>
      <c r="C17" s="9" t="s">
        <v>13</v>
      </c>
    </row>
    <row r="18" customFormat="false" ht="15" hidden="false" customHeight="true" outlineLevel="0" collapsed="false">
      <c r="B18" s="8" t="str">
        <f aca="false">HYPERLINK("#'Client Proposal'!A1","Client Proposal")</f>
        <v>Client Proposal</v>
      </c>
      <c r="C18" s="9" t="s">
        <v>14</v>
      </c>
    </row>
    <row r="19" customFormat="false" ht="18" hidden="false" customHeight="true" outlineLevel="0" collapsed="false">
      <c r="B19" s="7" t="s">
        <v>15</v>
      </c>
      <c r="C19" s="7"/>
    </row>
    <row r="20" customFormat="false" ht="15" hidden="false" customHeight="true" outlineLevel="0" collapsed="false">
      <c r="B20" s="8" t="str">
        <f aca="false">HYPERLINK("#'Campus Rollup'!A1","Campus Rollup")</f>
        <v>Campus Rollup</v>
      </c>
      <c r="C20" s="9" t="s">
        <v>16</v>
      </c>
    </row>
    <row r="21" customFormat="false" ht="15" hidden="false" customHeight="true" outlineLevel="0" collapsed="false">
      <c r="B21" s="8" t="str">
        <f aca="false">HYPERLINK("#'Phased Capital Plan'!A1","Phased Capital Plan")</f>
        <v>Phased Capital Plan</v>
      </c>
      <c r="C21" s="9" t="s">
        <v>17</v>
      </c>
    </row>
    <row r="22" customFormat="false" ht="15" hidden="false" customHeight="true" outlineLevel="0" collapsed="false">
      <c r="B22" s="8" t="str">
        <f aca="false">HYPERLINK("#'Milestone Tracker'!A1","Milestone Tracker")</f>
        <v>Milestone Tracker</v>
      </c>
      <c r="C22" s="9" t="s">
        <v>18</v>
      </c>
    </row>
    <row r="23" customFormat="false" ht="18" hidden="false" customHeight="true" outlineLevel="0" collapsed="false">
      <c r="B23" s="7" t="s">
        <v>19</v>
      </c>
      <c r="C23" s="7"/>
    </row>
    <row r="24" customFormat="false" ht="15" hidden="false" customHeight="true" outlineLevel="0" collapsed="false">
      <c r="B24" s="8" t="str">
        <f aca="false">HYPERLINK("#'Cash Flow &amp; EVM'!A1","Cash Flow &amp; EVM")</f>
        <v>Cash Flow &amp; EVM</v>
      </c>
      <c r="C24" s="9" t="s">
        <v>20</v>
      </c>
    </row>
    <row r="25" customFormat="false" ht="15" hidden="false" customHeight="true" outlineLevel="0" collapsed="false">
      <c r="B25" s="8" t="str">
        <f aca="false">HYPERLINK("#'Draw Schedule'!A1","Draw Schedule")</f>
        <v>Draw Schedule</v>
      </c>
      <c r="C25" s="9" t="s">
        <v>21</v>
      </c>
    </row>
    <row r="26" customFormat="false" ht="15" hidden="false" customHeight="true" outlineLevel="0" collapsed="false">
      <c r="B26" s="8" t="str">
        <f aca="false">HYPERLINK("#'Risk &amp; Contingency'!A1","Risk &amp; Contingency")</f>
        <v>Risk &amp; Contingency</v>
      </c>
      <c r="C26" s="9" t="s">
        <v>22</v>
      </c>
    </row>
    <row r="27" customFormat="false" ht="15" hidden="false" customHeight="true" outlineLevel="0" collapsed="false">
      <c r="B27" s="8" t="str">
        <f aca="false">HYPERLINK("#'Change Order Log'!A1","Change Order Log")</f>
        <v>Change Order Log</v>
      </c>
      <c r="C27" s="9" t="s">
        <v>23</v>
      </c>
    </row>
    <row r="28" customFormat="false" ht="15" hidden="false" customHeight="true" outlineLevel="0" collapsed="false">
      <c r="B28" s="8" t="str">
        <f aca="false">HYPERLINK("#'Procurement &amp; Long-Lead'!A1","Procurement &amp; Long-Lead")</f>
        <v>Procurement &amp; Long-Lead</v>
      </c>
      <c r="C28" s="9" t="s">
        <v>24</v>
      </c>
    </row>
    <row r="29" customFormat="false" ht="15" hidden="false" customHeight="true" outlineLevel="0" collapsed="false">
      <c r="B29" s="8" t="s">
        <v>25</v>
      </c>
      <c r="C29" s="9" t="s">
        <v>26</v>
      </c>
    </row>
    <row r="30" customFormat="false" ht="15" hidden="false" customHeight="true" outlineLevel="0" collapsed="false">
      <c r="B30" s="8" t="s">
        <v>27</v>
      </c>
      <c r="C30" s="9" t="s">
        <v>28</v>
      </c>
    </row>
    <row r="31" customFormat="false" ht="18" hidden="false" customHeight="true" outlineLevel="0" collapsed="false">
      <c r="B31" s="7" t="s">
        <v>29</v>
      </c>
      <c r="C31" s="7"/>
    </row>
    <row r="32" customFormat="false" ht="15" hidden="false" customHeight="true" outlineLevel="0" collapsed="false">
      <c r="B32" s="8" t="str">
        <f aca="false">HYPERLINK("#'Scenario &amp; Presets'!A1","Scenario &amp; Presets")</f>
        <v>Scenario &amp; Presets</v>
      </c>
      <c r="C32" s="9" t="s">
        <v>30</v>
      </c>
    </row>
    <row r="33" customFormat="false" ht="15" hidden="false" customHeight="true" outlineLevel="0" collapsed="false">
      <c r="B33" s="8" t="str">
        <f aca="false">HYPERLINK("#'Scenario Comparison'!A1","Scenario Comparison")</f>
        <v>Scenario Comparison</v>
      </c>
      <c r="C33" s="9" t="s">
        <v>31</v>
      </c>
    </row>
    <row r="34" customFormat="false" ht="15" hidden="false" customHeight="true" outlineLevel="0" collapsed="false">
      <c r="B34" s="8" t="str">
        <f aca="false">HYPERLINK("#'Value Engineering'!A1","Value Engineering")</f>
        <v>Value Engineering</v>
      </c>
      <c r="C34" s="9" t="s">
        <v>32</v>
      </c>
    </row>
    <row r="35" customFormat="false" ht="15" hidden="false" customHeight="true" outlineLevel="0" collapsed="false">
      <c r="B35" s="8" t="str">
        <f aca="false">HYPERLINK("#'Bid Leveling'!A1","Bid Leveling")</f>
        <v>Bid Leveling</v>
      </c>
      <c r="C35" s="9" t="s">
        <v>33</v>
      </c>
    </row>
    <row r="36" customFormat="false" ht="15" hidden="false" customHeight="true" outlineLevel="0" collapsed="false">
      <c r="B36" s="8" t="str">
        <f aca="false">HYPERLINK("#'Bid Evaluation'!A1","Bid Evaluation")</f>
        <v>Bid Evaluation</v>
      </c>
      <c r="C36" s="9" t="s">
        <v>34</v>
      </c>
    </row>
    <row r="37" customFormat="false" ht="15" hidden="false" customHeight="true" outlineLevel="0" collapsed="false">
      <c r="B37" s="8" t="s">
        <v>35</v>
      </c>
      <c r="C37" s="9" t="s">
        <v>36</v>
      </c>
    </row>
    <row r="38" customFormat="false" ht="15" hidden="false" customHeight="true" outlineLevel="0" collapsed="false">
      <c r="B38" s="8" t="s">
        <v>37</v>
      </c>
      <c r="C38" s="9" t="s">
        <v>38</v>
      </c>
    </row>
    <row r="39" customFormat="false" ht="15" hidden="false" customHeight="true" outlineLevel="0" collapsed="false">
      <c r="B39" s="8" t="str">
        <f aca="false">HYPERLINK("#'Power &amp; Space Capacity'!A1","Power &amp; Space Capacity")</f>
        <v>Power &amp; Space Capacity</v>
      </c>
      <c r="C39" s="9" t="s">
        <v>39</v>
      </c>
    </row>
    <row r="40" customFormat="false" ht="15" hidden="false" customHeight="true" outlineLevel="0" collapsed="false">
      <c r="B40" s="8" t="str">
        <f aca="false">HYPERLINK("#'Carbon &amp; Sustainability'!A1","Carbon &amp; Sustainability")</f>
        <v>Carbon &amp; Sustainability</v>
      </c>
      <c r="C40" s="9" t="s">
        <v>40</v>
      </c>
    </row>
    <row r="41" customFormat="false" ht="15" hidden="false" customHeight="true" outlineLevel="0" collapsed="false">
      <c r="B41" s="8" t="str">
        <f aca="false">HYPERLINK("#'TCO 8-Year'!A1","TCO 8-Year")</f>
        <v>TCO 8-Year</v>
      </c>
      <c r="C41" s="9" t="s">
        <v>41</v>
      </c>
    </row>
    <row r="42" customFormat="false" ht="18" hidden="false" customHeight="true" outlineLevel="0" collapsed="false">
      <c r="B42" s="7" t="s">
        <v>42</v>
      </c>
      <c r="C42" s="7"/>
    </row>
    <row r="43" customFormat="false" ht="15" hidden="false" customHeight="true" outlineLevel="0" collapsed="false">
      <c r="B43" s="8" t="str">
        <f aca="false">HYPERLINK("#'Total Development Cost'!A1","Total Development Cost")</f>
        <v>Total Development Cost</v>
      </c>
      <c r="C43" s="9" t="s">
        <v>43</v>
      </c>
    </row>
    <row r="44" customFormat="false" ht="15" hidden="false" customHeight="true" outlineLevel="0" collapsed="false">
      <c r="B44" s="8" t="str">
        <f aca="false">HYPERLINK("#'Investment Pro Forma'!A1","Investment Pro Forma")</f>
        <v>Investment Pro Forma</v>
      </c>
      <c r="C44" s="9" t="s">
        <v>44</v>
      </c>
    </row>
    <row r="45" customFormat="false" ht="15" hidden="false" customHeight="true" outlineLevel="0" collapsed="false">
      <c r="B45" s="8" t="str">
        <f aca="false">HYPERLINK("#'Variance-to-Return'!A1","Variance-to-Return")</f>
        <v>Variance-to-Return</v>
      </c>
      <c r="C45" s="9" t="s">
        <v>45</v>
      </c>
    </row>
    <row r="46" customFormat="false" ht="15" hidden="false" customHeight="true" outlineLevel="0" collapsed="false">
      <c r="B46" s="8" t="str">
        <f aca="false">HYPERLINK("#'IC Summary'!A1","IC Summary")</f>
        <v>IC Summary</v>
      </c>
      <c r="C46" s="9" t="s">
        <v>46</v>
      </c>
    </row>
    <row r="47" customFormat="false" ht="15" hidden="false" customHeight="true" outlineLevel="0" collapsed="false">
      <c r="B47" s="8" t="str">
        <f aca="false">HYPERLINK("#'Sources &amp; Uses'!A1","Sources &amp; Uses")</f>
        <v>Sources &amp; Uses</v>
      </c>
      <c r="C47" s="9" t="s">
        <v>47</v>
      </c>
    </row>
    <row r="48" customFormat="false" ht="15" hidden="false" customHeight="true" outlineLevel="0" collapsed="false">
      <c r="B48" s="8" t="str">
        <f aca="false">HYPERLINK("#'Capital Stack &amp; Returns'!A1","Capital Stack &amp; Returns")</f>
        <v>Capital Stack &amp; Returns</v>
      </c>
      <c r="C48" s="9" t="s">
        <v>48</v>
      </c>
    </row>
    <row r="49" customFormat="false" ht="23.25" hidden="false" customHeight="true" outlineLevel="0" collapsed="false">
      <c r="B49" s="7" t="s">
        <v>49</v>
      </c>
      <c r="C49" s="7"/>
    </row>
    <row r="50" customFormat="false" ht="15" hidden="false" customHeight="true" outlineLevel="0" collapsed="false">
      <c r="B50" s="8" t="str">
        <f aca="false">HYPERLINK("#'Benchmark Library'!A1","Benchmark Library")</f>
        <v>Benchmark Library</v>
      </c>
      <c r="C50" s="9" t="s">
        <v>50</v>
      </c>
    </row>
    <row r="51" customFormat="false" ht="23.25" hidden="false" customHeight="true" outlineLevel="0" collapsed="false">
      <c r="B51" s="8" t="str">
        <f aca="false">HYPERLINK("#'Reference Models'!A1","Reference Models")</f>
        <v>Reference Models</v>
      </c>
      <c r="C51" s="9" t="s">
        <v>51</v>
      </c>
    </row>
    <row r="52" customFormat="false" ht="23.25" hidden="false" customHeight="true" outlineLevel="0" collapsed="false"/>
    <row r="53" customFormat="false" ht="15" hidden="false" customHeight="true" outlineLevel="0" collapsed="false">
      <c r="B53" s="7" t="s">
        <v>52</v>
      </c>
      <c r="C53" s="7"/>
    </row>
    <row r="54" customFormat="false" ht="23.25" hidden="false" customHeight="true" outlineLevel="0" collapsed="false">
      <c r="B54" s="10" t="s">
        <v>53</v>
      </c>
      <c r="C54" s="9" t="s">
        <v>54</v>
      </c>
    </row>
    <row r="55" customFormat="false" ht="23.25" hidden="false" customHeight="true" outlineLevel="0" collapsed="false">
      <c r="B55" s="10" t="s">
        <v>53</v>
      </c>
      <c r="C55" s="9" t="s">
        <v>55</v>
      </c>
    </row>
    <row r="56" customFormat="false" ht="15" hidden="false" customHeight="true" outlineLevel="0" collapsed="false">
      <c r="B56" s="10" t="s">
        <v>53</v>
      </c>
      <c r="C56" s="9" t="s">
        <v>56</v>
      </c>
    </row>
    <row r="57" customFormat="false" ht="23.25" hidden="false" customHeight="true" outlineLevel="0" collapsed="false">
      <c r="B57" s="10" t="s">
        <v>53</v>
      </c>
      <c r="C57" s="9" t="s">
        <v>57</v>
      </c>
    </row>
  </sheetData>
  <mergeCells count="10">
    <mergeCell ref="B2:C2"/>
    <mergeCell ref="B3:C3"/>
    <mergeCell ref="B8:C8"/>
    <mergeCell ref="B11:C11"/>
    <mergeCell ref="B19:C19"/>
    <mergeCell ref="B23:C23"/>
    <mergeCell ref="B31:C31"/>
    <mergeCell ref="B42:C42"/>
    <mergeCell ref="B49:C49"/>
    <mergeCell ref="B53:C53"/>
  </mergeCells>
  <hyperlinks>
    <hyperlink ref="B29" location="'Construction Schedule'!A1" display="Construction Schedule"/>
    <hyperlink ref="B30" location="'Schedule Acceleration'!A1" display="Schedule Acceleration"/>
    <hyperlink ref="B37" location="'GC Bid Form'!A1" display="GC Bid Form"/>
    <hyperlink ref="B38" location="'Bid Cover Sheet'!A1" display="Bid Cover Sheet"/>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Q2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M244" activeCellId="0" sqref="M244"/>
    </sheetView>
  </sheetViews>
  <sheetFormatPr defaultColWidth="8.57421875" defaultRowHeight="15" zeroHeight="false" outlineLevelRow="0" outlineLevelCol="0"/>
  <cols>
    <col collapsed="false" customWidth="true" hidden="false" outlineLevel="0" max="1" min="1" style="1" width="2.28"/>
    <col collapsed="false" customWidth="true" hidden="false" outlineLevel="0" max="2" min="2" style="1" width="21.86"/>
    <col collapsed="false" customWidth="true" hidden="false" outlineLevel="0" max="11" min="3" style="1" width="14.86"/>
    <col collapsed="false" customWidth="true" hidden="false" outlineLevel="0" max="12" min="12" style="1" width="2.28"/>
    <col collapsed="false" customWidth="true" hidden="false" outlineLevel="0" max="13" min="13" style="1" width="40"/>
    <col collapsed="false" customWidth="true" hidden="false" outlineLevel="0" max="14" min="14" style="1" width="39.86"/>
    <col collapsed="false" customWidth="true" hidden="false" outlineLevel="0" max="31" min="27" style="1" width="9.14"/>
  </cols>
  <sheetData>
    <row r="1" customFormat="false" ht="7.5" hidden="false" customHeight="true" outlineLevel="0" collapsed="false">
      <c r="A1" s="11"/>
      <c r="B1" s="11"/>
      <c r="C1" s="11"/>
      <c r="D1" s="11"/>
      <c r="E1" s="11"/>
      <c r="F1" s="11"/>
      <c r="G1" s="11"/>
      <c r="H1" s="11"/>
      <c r="I1" s="11"/>
      <c r="J1" s="11"/>
      <c r="K1" s="11"/>
      <c r="L1" s="11"/>
      <c r="P1" s="12"/>
    </row>
    <row r="2" customFormat="false" ht="15" hidden="false" customHeight="true" outlineLevel="0" collapsed="false">
      <c r="A2" s="13"/>
      <c r="B2" s="13"/>
      <c r="C2" s="13"/>
      <c r="D2" s="13"/>
      <c r="E2" s="13"/>
      <c r="F2" s="13"/>
      <c r="G2" s="13"/>
      <c r="H2" s="13"/>
      <c r="I2" s="13"/>
      <c r="J2" s="13"/>
      <c r="K2" s="13"/>
      <c r="L2" s="13"/>
    </row>
    <row r="3" customFormat="false" ht="18" hidden="false" customHeight="true" outlineLevel="0" collapsed="false">
      <c r="A3" s="13"/>
      <c r="B3" s="14" t="s">
        <v>58</v>
      </c>
      <c r="C3" s="14"/>
      <c r="D3" s="14"/>
      <c r="E3" s="14"/>
      <c r="F3" s="14"/>
      <c r="G3" s="14"/>
      <c r="H3" s="14"/>
      <c r="I3" s="14"/>
      <c r="J3" s="14"/>
      <c r="K3" s="14"/>
      <c r="L3" s="13"/>
      <c r="P3" s="15"/>
      <c r="Q3" s="16"/>
    </row>
    <row r="4" customFormat="false" ht="43.5" hidden="false" customHeight="true" outlineLevel="0" collapsed="false">
      <c r="A4" s="13"/>
      <c r="B4" s="17" t="str">
        <f aca="false">IFERROR(IF(OR('Campus Rollup'!B3="",'Campus Rollup'!B3=0),"Program Cost Estimate",'Campus Rollup'!B3&amp;" — Cost Estimate"),"Program Cost Estimate")</f>
        <v>Data Center Template, Northern Virginia — Cost Estimate</v>
      </c>
      <c r="C4" s="17"/>
      <c r="D4" s="17"/>
      <c r="E4" s="17"/>
      <c r="F4" s="17"/>
      <c r="G4" s="17"/>
      <c r="H4" s="17"/>
      <c r="I4" s="17"/>
      <c r="J4" s="17"/>
      <c r="K4" s="17"/>
      <c r="L4" s="13"/>
      <c r="P4" s="15"/>
      <c r="Q4" s="16"/>
    </row>
    <row r="5" customFormat="false" ht="18" hidden="false" customHeight="true" outlineLevel="0" collapsed="false">
      <c r="A5" s="13"/>
      <c r="B5" s="18" t="str">
        <f aca="false">"Prepared for "&amp;IFERROR(IF(OR('Campus Rollup'!E3="",'Campus Rollup'!E3=0),"[Client]",'Campus Rollup'!E3),"[Client]")&amp;"   |   "&amp;IFERROR(IF(OR('Campus Rollup'!B4="",'Campus Rollup'!B4=0),"[Location]",'Campus Rollup'!B4),"[Location]")&amp;"   |   "&amp;'Campus Rollup'!H3&amp;" Estimate ("&amp;'Campus Rollup'!H4&amp;")   |   "&amp;TEXT('Campus Rollup'!E4,"mmmm d, yyyy")</f>
        <v>Prepared for Confidential Hyperscaler   |   Loudoun County, VA   |   Class 3 (DD) Estimate (−20% / +30%)   |   May 1, 2026</v>
      </c>
      <c r="C5" s="18"/>
      <c r="D5" s="18"/>
      <c r="E5" s="18"/>
      <c r="F5" s="18"/>
      <c r="G5" s="18"/>
      <c r="H5" s="18"/>
      <c r="I5" s="18"/>
      <c r="J5" s="18"/>
      <c r="K5" s="18"/>
      <c r="L5" s="13"/>
      <c r="P5" s="15"/>
      <c r="Q5" s="16"/>
    </row>
    <row r="6" customFormat="false" ht="6" hidden="false" customHeight="true" outlineLevel="0" collapsed="false">
      <c r="A6" s="13"/>
      <c r="B6" s="19"/>
      <c r="C6" s="19"/>
      <c r="D6" s="19"/>
      <c r="E6" s="19"/>
      <c r="F6" s="19"/>
      <c r="G6" s="19"/>
      <c r="H6" s="19"/>
      <c r="I6" s="19"/>
      <c r="J6" s="19"/>
      <c r="K6" s="19"/>
      <c r="L6" s="13"/>
      <c r="P6" s="15"/>
      <c r="Q6" s="16"/>
    </row>
    <row r="7" customFormat="false" ht="6" hidden="false" customHeight="true" outlineLevel="0" collapsed="false">
      <c r="A7" s="13"/>
      <c r="B7" s="20"/>
      <c r="C7" s="20"/>
      <c r="D7" s="20"/>
      <c r="E7" s="20"/>
      <c r="F7" s="20"/>
      <c r="G7" s="20"/>
      <c r="H7" s="20"/>
      <c r="I7" s="20"/>
      <c r="J7" s="20"/>
      <c r="K7" s="20"/>
      <c r="L7" s="13"/>
      <c r="P7" s="15"/>
      <c r="Q7" s="16"/>
    </row>
    <row r="8" customFormat="false" ht="24" hidden="false" customHeight="true" outlineLevel="0" collapsed="false">
      <c r="A8" s="21"/>
      <c r="B8" s="22" t="s">
        <v>59</v>
      </c>
      <c r="C8" s="21"/>
      <c r="D8" s="21"/>
      <c r="E8" s="21"/>
      <c r="F8" s="21"/>
      <c r="G8" s="21"/>
      <c r="H8" s="21"/>
      <c r="I8" s="21"/>
      <c r="J8" s="21"/>
      <c r="K8" s="21"/>
      <c r="L8" s="13"/>
      <c r="P8" s="15"/>
      <c r="Q8" s="16"/>
    </row>
    <row r="9" customFormat="false" ht="3.75" hidden="false" customHeight="true" outlineLevel="0" collapsed="false">
      <c r="A9" s="13"/>
      <c r="B9" s="23"/>
      <c r="C9" s="23"/>
      <c r="D9" s="23"/>
      <c r="E9" s="23"/>
      <c r="F9" s="23"/>
      <c r="G9" s="23"/>
      <c r="H9" s="23"/>
      <c r="I9" s="23"/>
      <c r="J9" s="23"/>
      <c r="K9" s="23"/>
      <c r="L9" s="13"/>
      <c r="P9" s="15"/>
      <c r="Q9" s="16"/>
    </row>
    <row r="10" customFormat="false" ht="6" hidden="false" customHeight="true" outlineLevel="0" collapsed="false">
      <c r="A10" s="13"/>
      <c r="B10" s="20"/>
      <c r="C10" s="20"/>
      <c r="D10" s="20"/>
      <c r="E10" s="20"/>
      <c r="F10" s="20"/>
      <c r="G10" s="20"/>
      <c r="H10" s="20"/>
      <c r="I10" s="20"/>
      <c r="J10" s="20"/>
      <c r="K10" s="20"/>
      <c r="L10" s="13"/>
      <c r="P10" s="15"/>
      <c r="Q10" s="16"/>
    </row>
    <row r="11" customFormat="false" ht="15" hidden="false" customHeight="true" outlineLevel="0" collapsed="false">
      <c r="A11" s="13"/>
      <c r="B11" s="24" t="s">
        <v>60</v>
      </c>
      <c r="C11" s="20"/>
      <c r="D11" s="20"/>
      <c r="E11" s="24" t="s">
        <v>61</v>
      </c>
      <c r="F11" s="20"/>
      <c r="G11" s="24" t="s">
        <v>62</v>
      </c>
      <c r="H11" s="20"/>
      <c r="I11" s="24" t="s">
        <v>63</v>
      </c>
      <c r="J11" s="20"/>
      <c r="K11" s="20"/>
      <c r="L11" s="13"/>
      <c r="P11" s="15"/>
      <c r="Q11" s="16"/>
    </row>
    <row r="12" customFormat="false" ht="37.5" hidden="false" customHeight="true" outlineLevel="0" collapsed="false">
      <c r="A12" s="13"/>
      <c r="B12" s="25" t="n">
        <f aca="false">'Capital Stack &amp; Returns'!B7</f>
        <v>1512873780.30797</v>
      </c>
      <c r="C12" s="20"/>
      <c r="D12" s="20"/>
      <c r="E12" s="25" t="n">
        <f aca="false">'Capital Stack &amp; Returns'!B27</f>
        <v>605149512.123187</v>
      </c>
      <c r="F12" s="20"/>
      <c r="G12" s="26" t="n">
        <f aca="false">'Capital Stack &amp; Returns'!B46</f>
        <v>0.266511265789023</v>
      </c>
      <c r="H12" s="20"/>
      <c r="I12" s="27" t="n">
        <f aca="false">'Capital Stack &amp; Returns'!B47</f>
        <v>5.19740612651599</v>
      </c>
      <c r="J12" s="20"/>
      <c r="K12" s="20"/>
      <c r="L12" s="13"/>
      <c r="P12" s="15"/>
      <c r="Q12" s="16"/>
    </row>
    <row r="13" customFormat="false" ht="7.5" hidden="false" customHeight="true" outlineLevel="0" collapsed="false">
      <c r="A13" s="13"/>
      <c r="B13" s="20"/>
      <c r="C13" s="20"/>
      <c r="D13" s="20"/>
      <c r="E13" s="20"/>
      <c r="F13" s="20"/>
      <c r="G13" s="20"/>
      <c r="H13" s="20"/>
      <c r="I13" s="20"/>
      <c r="J13" s="20"/>
      <c r="K13" s="20"/>
      <c r="L13" s="13"/>
      <c r="P13" s="15"/>
      <c r="Q13" s="16"/>
    </row>
    <row r="14" customFormat="false" ht="15" hidden="false" customHeight="true" outlineLevel="0" collapsed="false">
      <c r="A14" s="13"/>
      <c r="B14" s="24" t="s">
        <v>64</v>
      </c>
      <c r="C14" s="20"/>
      <c r="D14" s="20"/>
      <c r="E14" s="24" t="s">
        <v>65</v>
      </c>
      <c r="F14" s="20"/>
      <c r="G14" s="24" t="s">
        <v>66</v>
      </c>
      <c r="H14" s="20"/>
      <c r="I14" s="24" t="s">
        <v>67</v>
      </c>
      <c r="J14" s="20"/>
      <c r="K14" s="20"/>
      <c r="L14" s="13"/>
      <c r="P14" s="15"/>
      <c r="Q14" s="16"/>
    </row>
    <row r="15" customFormat="false" ht="37.5" hidden="false" customHeight="true" outlineLevel="0" collapsed="false">
      <c r="A15" s="13"/>
      <c r="B15" s="26" t="n">
        <f aca="false">'Investment Pro Forma'!B33</f>
        <v>0.174414701484592</v>
      </c>
      <c r="C15" s="20"/>
      <c r="D15" s="20"/>
      <c r="E15" s="26" t="n">
        <f aca="false">'Investment Pro Forma'!B38</f>
        <v>0.109014419448317</v>
      </c>
      <c r="F15" s="20"/>
      <c r="G15" s="27" t="n">
        <f aca="false">'Capital Stack &amp; Returns'!B30</f>
        <v>2.37263995442772</v>
      </c>
      <c r="H15" s="20"/>
      <c r="I15" s="26" t="n">
        <f aca="false">'Investment Pro Forma'!B42</f>
        <v>0.677144914589498</v>
      </c>
      <c r="J15" s="20"/>
      <c r="K15" s="20"/>
      <c r="L15" s="13"/>
      <c r="P15" s="15"/>
      <c r="Q15" s="16"/>
    </row>
    <row r="16" customFormat="false" ht="6" hidden="false" customHeight="true" outlineLevel="0" collapsed="false">
      <c r="A16" s="13"/>
      <c r="B16" s="20"/>
      <c r="C16" s="20"/>
      <c r="D16" s="20"/>
      <c r="E16" s="20"/>
      <c r="F16" s="20"/>
      <c r="G16" s="20"/>
      <c r="H16" s="20"/>
      <c r="I16" s="20"/>
      <c r="J16" s="20"/>
      <c r="K16" s="20"/>
      <c r="L16" s="13"/>
      <c r="P16" s="15"/>
      <c r="Q16" s="16"/>
    </row>
    <row r="17" customFormat="false" ht="15.75" hidden="false" customHeight="true" outlineLevel="0" collapsed="false">
      <c r="A17" s="13"/>
      <c r="B17" s="28" t="s">
        <v>68</v>
      </c>
      <c r="C17" s="20"/>
      <c r="D17" s="20"/>
      <c r="E17" s="20"/>
      <c r="F17" s="20"/>
      <c r="G17" s="20"/>
      <c r="H17" s="20"/>
      <c r="I17" s="20"/>
      <c r="J17" s="20"/>
      <c r="K17" s="20"/>
      <c r="L17" s="13"/>
      <c r="P17" s="15"/>
      <c r="Q17" s="16"/>
    </row>
    <row r="18" customFormat="false" ht="24" hidden="false" customHeight="true" outlineLevel="0" collapsed="false">
      <c r="A18" s="21"/>
      <c r="B18" s="29" t="s">
        <v>69</v>
      </c>
      <c r="C18" s="29"/>
      <c r="D18" s="29"/>
      <c r="E18" s="29"/>
      <c r="F18" s="29"/>
      <c r="G18" s="29"/>
      <c r="H18" s="29"/>
      <c r="I18" s="29"/>
      <c r="J18" s="29"/>
      <c r="K18" s="29"/>
      <c r="L18" s="13"/>
      <c r="P18" s="15"/>
      <c r="Q18" s="16"/>
    </row>
    <row r="19" customFormat="false" ht="3.75" hidden="false" customHeight="true" outlineLevel="0" collapsed="false">
      <c r="A19" s="13"/>
      <c r="B19" s="30"/>
      <c r="C19" s="30"/>
      <c r="D19" s="30"/>
      <c r="E19" s="30"/>
      <c r="F19" s="30"/>
      <c r="G19" s="30"/>
      <c r="H19" s="30"/>
      <c r="I19" s="30"/>
      <c r="J19" s="30"/>
      <c r="K19" s="30"/>
      <c r="L19" s="13"/>
      <c r="P19" s="15"/>
      <c r="Q19" s="16"/>
    </row>
    <row r="20" customFormat="false" ht="13.5" hidden="false" customHeight="true" outlineLevel="0" collapsed="false">
      <c r="A20" s="13"/>
      <c r="B20" s="31" t="s">
        <v>2</v>
      </c>
      <c r="C20" s="31"/>
      <c r="D20" s="31"/>
      <c r="E20" s="31" t="s">
        <v>70</v>
      </c>
      <c r="F20" s="31"/>
      <c r="G20" s="31" t="s">
        <v>71</v>
      </c>
      <c r="H20" s="31"/>
      <c r="I20" s="31" t="s">
        <v>72</v>
      </c>
      <c r="J20" s="31"/>
      <c r="K20" s="31"/>
      <c r="L20" s="13"/>
      <c r="P20" s="15"/>
      <c r="Q20" s="16"/>
    </row>
    <row r="21" customFormat="false" ht="21.75" hidden="false" customHeight="true" outlineLevel="0" collapsed="false">
      <c r="A21" s="13"/>
      <c r="B21" s="32" t="str">
        <f aca="false">IF('Campus Rollup'!H16=0,"$ —",IF('Campus Rollup'!H16&gt;=1000000000,TEXT('Campus Rollup'!H16/1000000000,"$0.00")&amp;"B",TEXT('Campus Rollup'!H16/1000000,"$0.0")&amp;"M"))</f>
        <v>$1.09B</v>
      </c>
      <c r="C21" s="32"/>
      <c r="D21" s="32"/>
      <c r="E21" s="32" t="str">
        <f aca="false">IF('Campus Rollup'!D16=0,"— MW",TEXT('Campus Rollup'!D16,"0.0")&amp;" MW")</f>
        <v>90.0 MW</v>
      </c>
      <c r="F21" s="32"/>
      <c r="G21" s="32" t="str">
        <f aca="false">IF(OR('Campus Rollup'!D16=0,'Campus Rollup'!H16=0),"$ —",TEXT('Campus Rollup'!H16/'Campus Rollup'!D16/1000000,"$0.0")&amp;"M")</f>
        <v>$12.1M</v>
      </c>
      <c r="H21" s="32"/>
      <c r="I21" s="32" t="str">
        <f aca="false">IF('Campus Rollup'!C16=0,"— SF",IF('Campus Rollup'!C16&gt;=1000000,TEXT('Campus Rollup'!C16/1000000,"0.00")&amp;"M SF",TEXT('Campus Rollup'!C16/1000,"#,##0")&amp;"K SF"))</f>
        <v>800K SF</v>
      </c>
      <c r="J21" s="32"/>
      <c r="K21" s="32"/>
      <c r="L21" s="13"/>
      <c r="P21" s="15"/>
      <c r="Q21" s="16"/>
    </row>
    <row r="22" customFormat="false" ht="21.75" hidden="false" customHeight="true" outlineLevel="0" collapsed="false">
      <c r="A22" s="13"/>
      <c r="B22" s="32"/>
      <c r="C22" s="32"/>
      <c r="D22" s="32"/>
      <c r="E22" s="32"/>
      <c r="F22" s="32"/>
      <c r="G22" s="32"/>
      <c r="H22" s="32"/>
      <c r="I22" s="32"/>
      <c r="J22" s="32"/>
      <c r="K22" s="32"/>
      <c r="L22" s="13"/>
      <c r="P22" s="15"/>
      <c r="Q22" s="16"/>
    </row>
    <row r="23" customFormat="false" ht="13.5" hidden="false" customHeight="true" outlineLevel="0" collapsed="false">
      <c r="A23" s="13"/>
      <c r="B23" s="33" t="str">
        <f aca="false">IF(COUNTIF('Campus Rollup'!D8:D13,"&gt;0")=0,"Awaiting building program","Across "&amp;COUNTIF('Campus Rollup'!D8:D13,"&gt;0")&amp;IF(COUNTIF('Campus Rollup'!D8:D13,"&gt;0")=1," building"," buildings")&amp;" + shared infrastructure")</f>
        <v>Across 3 buildings + shared infrastructure</v>
      </c>
      <c r="C23" s="33"/>
      <c r="D23" s="33"/>
      <c r="E23" s="33" t="str">
        <f aca="false">"Total IT load delivered"</f>
        <v>Total IT load delivered</v>
      </c>
      <c r="F23" s="33"/>
      <c r="G23" s="33" t="str">
        <f aca="false">IF(OR('Campus Rollup'!D16=0,'Campus Rollup'!H16=0),"vs "&amp;TEXT('Benchmark Library'!L20/1000000,"$0.0")&amp;"M benchmark",IF('Campus Rollup'!H16/'Campus Rollup'!D16&lt;'Benchmark Library'!L20,"▼ Below industry median","▲ Above industry median"))</f>
        <v>▲ Above industry median</v>
      </c>
      <c r="H23" s="33"/>
      <c r="I23" s="33" t="str">
        <f aca="false">IF('Campus Rollup'!C16=0,"$/SF — ",TEXT('Campus Rollup'!H16/'Campus Rollup'!C16,"$#,##0")&amp;" / SF blended")</f>
        <v>$1,360 / SF blended</v>
      </c>
      <c r="J23" s="33"/>
      <c r="K23" s="33"/>
      <c r="L23" s="13"/>
      <c r="P23" s="15"/>
      <c r="Q23" s="16"/>
    </row>
    <row r="24" customFormat="false" ht="15.75" hidden="false" customHeight="true" outlineLevel="0" collapsed="false">
      <c r="A24" s="13"/>
      <c r="B24" s="34" t="str">
        <f aca="false">"Note: Development Cost (All-In) of "&amp;TEXT('Total Development Cost'!C50/1000000,"$#,##0")&amp;"M is the full owner budget (TDC) = Total Campus Investment / construction "&amp;TEXT('Total Development Cost'!C46/1000000,"$#,##0")&amp;"M + owner soft costs "&amp;TEXT('Total Development Cost'!C47/1000000,"$#,##0")&amp;"M + financing/IDC "&amp;TEXT('Total Development Cost'!C48/1000000,"$#,##0")&amp;"M + owner's contingency "&amp;TEXT('Total Development Cost'!C49/1000000,"$#,##0")&amp;"M. See Total Development Cost tab."</f>
        <v>Note: Development Cost (All-In) of $1,513M is the full owner budget (TDC) = Total Campus Investment / construction $1,088M + owner soft costs $269M + financing/IDC $84M + owner's contingency $72M. See Total Development Cost tab.</v>
      </c>
      <c r="C24" s="34"/>
      <c r="D24" s="34"/>
      <c r="E24" s="34"/>
      <c r="F24" s="34"/>
      <c r="G24" s="34"/>
      <c r="H24" s="34"/>
      <c r="I24" s="34"/>
      <c r="J24" s="34"/>
      <c r="K24" s="34"/>
      <c r="L24" s="13"/>
      <c r="P24" s="15"/>
      <c r="Q24" s="16"/>
    </row>
    <row r="25" customFormat="false" ht="21.75" hidden="false" customHeight="true" outlineLevel="0" collapsed="false">
      <c r="A25" s="13"/>
      <c r="B25" s="35" t="s">
        <v>73</v>
      </c>
      <c r="C25" s="35"/>
      <c r="D25" s="35"/>
      <c r="E25" s="35"/>
      <c r="F25" s="35"/>
      <c r="G25" s="35"/>
      <c r="H25" s="35" t="s">
        <v>74</v>
      </c>
      <c r="I25" s="35"/>
      <c r="J25" s="35"/>
      <c r="K25" s="35"/>
      <c r="L25" s="13"/>
      <c r="P25" s="15"/>
      <c r="Q25" s="16"/>
    </row>
    <row r="26" customFormat="false" ht="1.5" hidden="false" customHeight="true" outlineLevel="0" collapsed="false">
      <c r="A26" s="13"/>
      <c r="B26" s="30"/>
      <c r="C26" s="30"/>
      <c r="D26" s="30"/>
      <c r="E26" s="30"/>
      <c r="F26" s="30"/>
      <c r="G26" s="30"/>
      <c r="H26" s="30"/>
      <c r="I26" s="30"/>
      <c r="J26" s="30"/>
      <c r="K26" s="30"/>
      <c r="L26" s="13"/>
      <c r="P26" s="15"/>
      <c r="Q26" s="16"/>
    </row>
    <row r="27" customFormat="false" ht="7.5" hidden="false" customHeight="true" outlineLevel="0" collapsed="false">
      <c r="A27" s="13"/>
      <c r="B27" s="36"/>
      <c r="C27" s="36"/>
      <c r="D27" s="36"/>
      <c r="E27" s="36"/>
      <c r="F27" s="36"/>
      <c r="G27" s="36"/>
      <c r="H27" s="36"/>
      <c r="I27" s="36"/>
      <c r="J27" s="36"/>
      <c r="K27" s="36"/>
      <c r="L27" s="13"/>
      <c r="P27" s="15"/>
      <c r="Q27" s="16"/>
    </row>
    <row r="28" customFormat="false" ht="21.75" hidden="false" customHeight="true" outlineLevel="0" collapsed="false">
      <c r="A28" s="13"/>
      <c r="B28" s="37" t="s">
        <v>75</v>
      </c>
      <c r="C28" s="38" t="s">
        <v>76</v>
      </c>
      <c r="D28" s="38" t="s">
        <v>77</v>
      </c>
      <c r="E28" s="38" t="s">
        <v>78</v>
      </c>
      <c r="F28" s="38" t="s">
        <v>79</v>
      </c>
      <c r="G28" s="38" t="s">
        <v>80</v>
      </c>
      <c r="H28" s="13"/>
      <c r="I28" s="13"/>
      <c r="J28" s="13"/>
      <c r="K28" s="13"/>
      <c r="L28" s="13"/>
      <c r="P28" s="15"/>
      <c r="Q28" s="16"/>
    </row>
    <row r="29" customFormat="false" ht="18" hidden="false" customHeight="true" outlineLevel="0" collapsed="false">
      <c r="A29" s="13"/>
      <c r="B29" s="39" t="str">
        <f aca="false">'Scenario Comparison'!B5&amp;" — Base"</f>
        <v>Current (live) — Base</v>
      </c>
      <c r="C29" s="40" t="n">
        <f aca="false">'Scenario Comparison'!B15</f>
        <v>275731915.866136</v>
      </c>
      <c r="D29" s="40" t="n">
        <f aca="false">'Scenario Comparison'!B16</f>
        <v>609160998.09738</v>
      </c>
      <c r="E29" s="40" t="n">
        <f aca="false">'Scenario Comparison'!B17</f>
        <v>203448913.103876</v>
      </c>
      <c r="F29" s="40" t="n">
        <f aca="false">'Scenario Comparison'!B13</f>
        <v>1088341827.06739</v>
      </c>
      <c r="G29" s="41" t="n">
        <f aca="false">'Scenario Comparison'!B14</f>
        <v>12092686.9674155</v>
      </c>
      <c r="H29" s="13"/>
      <c r="I29" s="13"/>
      <c r="J29" s="13"/>
      <c r="K29" s="13"/>
      <c r="L29" s="13"/>
    </row>
    <row r="30" customFormat="false" ht="18" hidden="false" customHeight="true" outlineLevel="0" collapsed="false">
      <c r="A30" s="13"/>
      <c r="B30" s="42" t="str">
        <f aca="false">'Scenario Comparison'!C5</f>
        <v>Reference — Hyperscale (Hybrid)</v>
      </c>
      <c r="C30" s="43" t="n">
        <f aca="false">'Scenario Comparison'!C15</f>
        <v>416840508.036072</v>
      </c>
      <c r="D30" s="43" t="n">
        <f aca="false">'Scenario Comparison'!C16</f>
        <v>1080845097</v>
      </c>
      <c r="E30" s="43" t="n">
        <f aca="false">'Scenario Comparison'!C17</f>
        <v>260549900.162735</v>
      </c>
      <c r="F30" s="43" t="n">
        <f aca="false">'Scenario Comparison'!C13</f>
        <v>1758235505.19881</v>
      </c>
      <c r="G30" s="44" t="n">
        <f aca="false">'Scenario Comparison'!C14</f>
        <v>19535950.0577645</v>
      </c>
      <c r="H30" s="13"/>
      <c r="I30" s="13"/>
      <c r="J30" s="13"/>
      <c r="K30" s="13"/>
      <c r="L30" s="13"/>
    </row>
    <row r="31" customFormat="false" ht="18" hidden="false" customHeight="true" outlineLevel="0" collapsed="false">
      <c r="A31" s="13"/>
      <c r="B31" s="45" t="str">
        <f aca="false">'Scenario Comparison'!D5</f>
        <v>Air-Cooled (Chilled Water)</v>
      </c>
      <c r="C31" s="46" t="n">
        <f aca="false">'Scenario Comparison'!D15</f>
        <v>416840508.036072</v>
      </c>
      <c r="D31" s="46" t="n">
        <f aca="false">'Scenario Comparison'!D16</f>
        <v>1002231672</v>
      </c>
      <c r="E31" s="46" t="n">
        <f aca="false">'Scenario Comparison'!D17</f>
        <v>257685855.863135</v>
      </c>
      <c r="F31" s="46" t="n">
        <f aca="false">'Scenario Comparison'!D13</f>
        <v>1676758035.89921</v>
      </c>
      <c r="G31" s="47" t="n">
        <f aca="false">'Scenario Comparison'!D14</f>
        <v>18630644.8433245</v>
      </c>
      <c r="H31" s="13"/>
      <c r="I31" s="13"/>
      <c r="J31" s="13"/>
      <c r="K31" s="13"/>
      <c r="L31" s="13"/>
      <c r="P31" s="15"/>
      <c r="Q31" s="48"/>
    </row>
    <row r="32" customFormat="false" ht="18" hidden="false" customHeight="true" outlineLevel="0" collapsed="false">
      <c r="A32" s="13"/>
      <c r="B32" s="42" t="str">
        <f aca="false">'Scenario Comparison'!E5</f>
        <v>AI / HPC — Liquid Cooled</v>
      </c>
      <c r="C32" s="43" t="n">
        <f aca="false">'Scenario Comparison'!E15</f>
        <v>618530193.44113</v>
      </c>
      <c r="D32" s="43" t="n">
        <f aca="false">'Scenario Comparison'!E16</f>
        <v>2069717493</v>
      </c>
      <c r="E32" s="43" t="n">
        <f aca="false">'Scenario Comparison'!E17</f>
        <v>331039337.173487</v>
      </c>
      <c r="F32" s="43" t="n">
        <f aca="false">'Scenario Comparison'!E13</f>
        <v>3019287023.61462</v>
      </c>
      <c r="G32" s="44" t="n">
        <f aca="false">'Scenario Comparison'!E14</f>
        <v>33547633.595718</v>
      </c>
      <c r="H32" s="13"/>
      <c r="I32" s="13"/>
      <c r="J32" s="13"/>
      <c r="K32" s="13"/>
      <c r="L32" s="13"/>
      <c r="P32" s="15"/>
      <c r="Q32" s="48"/>
    </row>
    <row r="33" customFormat="false" ht="18" hidden="false" customHeight="true" outlineLevel="0" collapsed="false">
      <c r="A33" s="13"/>
      <c r="B33" s="45" t="s">
        <v>81</v>
      </c>
      <c r="C33" s="46" t="n">
        <f aca="false">'Scenario Comparison'!F15</f>
        <v>416840508.036072</v>
      </c>
      <c r="D33" s="46" t="n">
        <f aca="false">'Scenario Comparison'!F16</f>
        <v>1180628910</v>
      </c>
      <c r="E33" s="46" t="n">
        <f aca="false">'Scenario Comparison'!F17</f>
        <v>257685855.863135</v>
      </c>
      <c r="F33" s="46" t="n">
        <f aca="false">'Scenario Comparison'!F13</f>
        <v>1855155273.89921</v>
      </c>
      <c r="G33" s="49" t="n">
        <f aca="false">'Scenario Comparison'!F14</f>
        <v>20612836.3766579</v>
      </c>
      <c r="H33" s="13"/>
      <c r="I33" s="13"/>
      <c r="J33" s="13"/>
      <c r="K33" s="13"/>
      <c r="L33" s="13"/>
      <c r="P33" s="15"/>
      <c r="Q33" s="48"/>
    </row>
    <row r="34" customFormat="false" ht="18" hidden="false" customHeight="true" outlineLevel="0" collapsed="false">
      <c r="A34" s="13"/>
      <c r="B34" s="42" t="s">
        <v>82</v>
      </c>
      <c r="C34" s="43" t="n">
        <f aca="false">'Scenario Comparison'!G15</f>
        <v>416840508.036072</v>
      </c>
      <c r="D34" s="43" t="n">
        <f aca="false">'Scenario Comparison'!G16</f>
        <v>952120088</v>
      </c>
      <c r="E34" s="43" t="n">
        <f aca="false">'Scenario Comparison'!G17</f>
        <v>257685855.863135</v>
      </c>
      <c r="F34" s="43" t="n">
        <f aca="false">'Scenario Comparison'!G13</f>
        <v>1626646451.89921</v>
      </c>
      <c r="G34" s="50" t="n">
        <f aca="false">'Scenario Comparison'!G14</f>
        <v>18073849.4655467</v>
      </c>
      <c r="H34" s="13"/>
      <c r="I34" s="13"/>
      <c r="J34" s="13"/>
      <c r="K34" s="13"/>
      <c r="L34" s="13"/>
      <c r="P34" s="15"/>
      <c r="Q34" s="48"/>
    </row>
    <row r="35" customFormat="false" ht="15" hidden="false" customHeight="true" outlineLevel="0" collapsed="false">
      <c r="A35" s="13"/>
      <c r="B35" s="45" t="s">
        <v>83</v>
      </c>
      <c r="C35" s="46" t="n">
        <f aca="false">'Scenario Comparison'!H15</f>
        <v>275731915.866136</v>
      </c>
      <c r="D35" s="46" t="n">
        <f aca="false">'Scenario Comparison'!H16</f>
        <v>578065774</v>
      </c>
      <c r="E35" s="46" t="n">
        <f aca="false">'Scenario Comparison'!H17</f>
        <v>204656062.150542</v>
      </c>
      <c r="F35" s="46" t="n">
        <f aca="false">'Scenario Comparison'!H13</f>
        <v>1058453752.01668</v>
      </c>
      <c r="G35" s="49" t="n">
        <f aca="false">'Scenario Comparison'!H14</f>
        <v>11760597.2446298</v>
      </c>
      <c r="H35" s="13"/>
      <c r="I35" s="13"/>
      <c r="J35" s="13"/>
      <c r="K35" s="13"/>
      <c r="L35" s="13"/>
    </row>
    <row r="36" customFormat="false" ht="21.75" hidden="false" customHeight="true" outlineLevel="0" collapsed="false">
      <c r="A36" s="13"/>
      <c r="B36" s="51" t="s">
        <v>84</v>
      </c>
      <c r="C36" s="52" t="s">
        <v>85</v>
      </c>
      <c r="D36" s="52" t="s">
        <v>85</v>
      </c>
      <c r="E36" s="52" t="s">
        <v>85</v>
      </c>
      <c r="F36" s="52" t="n">
        <f aca="false">'Benchmark Library'!L20*'Campus Rollup'!D16</f>
        <v>1026000000</v>
      </c>
      <c r="G36" s="53" t="n">
        <f aca="false">'Benchmark Library'!L20</f>
        <v>11400000</v>
      </c>
      <c r="H36" s="13"/>
      <c r="I36" s="13"/>
      <c r="J36" s="13"/>
      <c r="K36" s="13"/>
      <c r="L36" s="13"/>
    </row>
    <row r="37" customFormat="false" ht="18" hidden="false" customHeight="true" outlineLevel="0" collapsed="false">
      <c r="A37" s="13"/>
      <c r="B37" s="54" t="s">
        <v>86</v>
      </c>
      <c r="C37" s="54"/>
      <c r="D37" s="54"/>
      <c r="E37" s="54"/>
      <c r="F37" s="54"/>
      <c r="G37" s="54"/>
      <c r="H37" s="54"/>
      <c r="I37" s="54"/>
      <c r="J37" s="54"/>
      <c r="K37" s="54"/>
      <c r="L37" s="13"/>
      <c r="P37" s="15"/>
      <c r="Q37" s="16"/>
    </row>
    <row r="38" customFormat="false" ht="21.75" hidden="false" customHeight="true" outlineLevel="0" collapsed="false">
      <c r="A38" s="13"/>
      <c r="B38" s="35" t="s">
        <v>87</v>
      </c>
      <c r="C38" s="35"/>
      <c r="D38" s="35"/>
      <c r="E38" s="35"/>
      <c r="F38" s="35"/>
      <c r="G38" s="35"/>
      <c r="H38" s="35" t="s">
        <v>88</v>
      </c>
      <c r="I38" s="35"/>
      <c r="J38" s="35"/>
      <c r="K38" s="35"/>
      <c r="L38" s="13"/>
      <c r="P38" s="15"/>
      <c r="Q38" s="16"/>
    </row>
    <row r="39" customFormat="false" ht="1.5" hidden="false" customHeight="true" outlineLevel="0" collapsed="false">
      <c r="A39" s="13"/>
      <c r="B39" s="30"/>
      <c r="C39" s="30"/>
      <c r="D39" s="30"/>
      <c r="E39" s="30"/>
      <c r="F39" s="30"/>
      <c r="G39" s="30"/>
      <c r="H39" s="30"/>
      <c r="I39" s="30"/>
      <c r="J39" s="30"/>
      <c r="K39" s="30"/>
      <c r="L39" s="13"/>
      <c r="P39" s="15"/>
      <c r="Q39" s="16"/>
    </row>
    <row r="40" customFormat="false" ht="7.5" hidden="false" customHeight="true" outlineLevel="0" collapsed="false">
      <c r="A40" s="13"/>
      <c r="B40" s="36"/>
      <c r="C40" s="36"/>
      <c r="D40" s="36"/>
      <c r="E40" s="36"/>
      <c r="F40" s="36"/>
      <c r="G40" s="36"/>
      <c r="H40" s="36"/>
      <c r="I40" s="36"/>
      <c r="J40" s="36"/>
      <c r="K40" s="36"/>
      <c r="L40" s="13"/>
      <c r="P40" s="15"/>
      <c r="Q40" s="16"/>
    </row>
    <row r="41" customFormat="false" ht="13.5" hidden="false" customHeight="true" outlineLevel="0" collapsed="false">
      <c r="A41" s="13"/>
      <c r="B41" s="55" t="s">
        <v>89</v>
      </c>
      <c r="C41" s="55"/>
      <c r="D41" s="55"/>
      <c r="E41" s="55"/>
      <c r="F41" s="55"/>
      <c r="G41" s="55"/>
      <c r="H41" s="13"/>
      <c r="I41" s="13"/>
      <c r="J41" s="13"/>
      <c r="K41" s="13"/>
      <c r="L41" s="13"/>
    </row>
    <row r="42" customFormat="false" ht="15" hidden="false" customHeight="true" outlineLevel="0" collapsed="false">
      <c r="A42" s="13"/>
      <c r="B42" s="56" t="str">
        <f aca="false">IF(OR('Campus Rollup'!D16=0,'Campus Rollup'!H16=0),"$ —",TEXT('Campus Rollup'!H16/'Campus Rollup'!D16/1000000,"$0.00")&amp;"M")</f>
        <v>$12.09M</v>
      </c>
      <c r="C42" s="56"/>
      <c r="D42" s="56"/>
      <c r="E42" s="55" t="s">
        <v>90</v>
      </c>
      <c r="F42" s="55"/>
      <c r="G42" s="55"/>
      <c r="H42" s="13"/>
      <c r="I42" s="13"/>
      <c r="J42" s="13"/>
      <c r="K42" s="13"/>
      <c r="L42" s="13"/>
      <c r="P42" s="57"/>
    </row>
    <row r="43" customFormat="false" ht="21" hidden="false" customHeight="true" outlineLevel="0" collapsed="false">
      <c r="A43" s="13"/>
      <c r="B43" s="56"/>
      <c r="C43" s="56"/>
      <c r="D43" s="56"/>
      <c r="E43" s="58" t="str">
        <f aca="false">TEXT('Benchmark Library'!L20/1000000,"$0.0")&amp;"M / MW"</f>
        <v>$11.4M / MW</v>
      </c>
      <c r="F43" s="58"/>
      <c r="G43" s="58"/>
      <c r="H43" s="13"/>
      <c r="I43" s="13"/>
      <c r="J43" s="13"/>
      <c r="K43" s="13"/>
      <c r="L43" s="13"/>
    </row>
    <row r="44" customFormat="false" ht="19.5" hidden="false" customHeight="true" outlineLevel="0" collapsed="false">
      <c r="A44" s="13"/>
      <c r="B44" s="59" t="str">
        <f aca="false">IF(OR('Campus Rollup'!D16=0,'Campus Rollup'!H16=0),"Populate buildings to compare against benchmark",IF('Campus Rollup'!H16/'Campus Rollup'!D16/1000000&lt;'Benchmark Library'!L20/1000000,"▼ "&amp;TEXT('Benchmark Library'!L20/1000000-'Campus Rollup'!H16/'Campus Rollup'!D16/1000000,"$0.0")&amp;"M / MW below median  ("&amp;TEXT(('Campus Rollup'!H16/'Campus Rollup'!D16-'Benchmark Library'!L20)/'Benchmark Library'!L20,"+0.0%;-0.0%")&amp;")","▲ "&amp;TEXT('Campus Rollup'!H16/'Campus Rollup'!D16/1000000-'Benchmark Library'!L20/1000000,"$0.0")&amp;"M / MW above median  ("&amp;TEXT(('Campus Rollup'!H16/'Campus Rollup'!D16-'Benchmark Library'!L20)/'Benchmark Library'!L20,"+0.0%;-0.0%")&amp;")"))</f>
        <v>▲ $0.7M / MW above median  (+6.1%)</v>
      </c>
      <c r="C44" s="59"/>
      <c r="D44" s="59"/>
      <c r="E44" s="59"/>
      <c r="F44" s="59"/>
      <c r="G44" s="59"/>
      <c r="H44" s="13"/>
      <c r="I44" s="13"/>
      <c r="J44" s="13"/>
      <c r="K44" s="13"/>
      <c r="L44" s="13"/>
      <c r="P44" s="60"/>
      <c r="Q44" s="61"/>
    </row>
    <row r="45" customFormat="false" ht="13.5" hidden="false" customHeight="true" outlineLevel="0" collapsed="false">
      <c r="A45" s="13"/>
      <c r="B45" s="62" t="str">
        <f aca="false">"Range across "&amp;COUNTA('Benchmark Library'!B6:B15)&amp;" comparable Tier III projects: "&amp;TEXT('Benchmark Library'!L19/1000000,"$0.0")&amp;"M – "&amp;TEXT('Benchmark Library'!L22/1000000,"$0.0")&amp;"M / MW"</f>
        <v>Range across 10 comparable Tier III projects: $9.8M – $17.8M / MW</v>
      </c>
      <c r="C45" s="62"/>
      <c r="D45" s="62"/>
      <c r="E45" s="62"/>
      <c r="F45" s="62"/>
      <c r="G45" s="62"/>
      <c r="H45" s="13"/>
      <c r="I45" s="13"/>
      <c r="J45" s="13"/>
      <c r="K45" s="13"/>
      <c r="L45" s="13"/>
      <c r="P45" s="60"/>
      <c r="Q45" s="61"/>
    </row>
    <row r="46" customFormat="false" ht="6" hidden="false" customHeight="true" outlineLevel="0" collapsed="false">
      <c r="A46" s="13"/>
      <c r="B46" s="63"/>
      <c r="C46" s="63"/>
      <c r="D46" s="63"/>
      <c r="E46" s="63"/>
      <c r="F46" s="63"/>
      <c r="G46" s="63"/>
      <c r="H46" s="13"/>
      <c r="I46" s="13"/>
      <c r="J46" s="13"/>
      <c r="K46" s="13"/>
      <c r="L46" s="13"/>
      <c r="P46" s="60"/>
      <c r="Q46" s="61"/>
    </row>
    <row r="47" customFormat="false" ht="15" hidden="false" customHeight="true" outlineLevel="0" collapsed="false">
      <c r="A47" s="13"/>
      <c r="B47" s="31" t="s">
        <v>91</v>
      </c>
      <c r="C47" s="31"/>
      <c r="D47" s="31" t="s">
        <v>92</v>
      </c>
      <c r="E47" s="31"/>
      <c r="F47" s="31" t="s">
        <v>93</v>
      </c>
      <c r="G47" s="31"/>
      <c r="H47" s="13"/>
      <c r="I47" s="13"/>
      <c r="J47" s="13"/>
      <c r="K47" s="13"/>
      <c r="L47" s="13"/>
      <c r="P47" s="60"/>
      <c r="Q47" s="61"/>
    </row>
    <row r="48" customFormat="false" ht="19.5" hidden="false" customHeight="true" outlineLevel="0" collapsed="false">
      <c r="A48" s="13"/>
      <c r="B48" s="64" t="str">
        <f aca="false">TEXT('Benchmark Library'!L19/1000000,"$0.0")&amp;"M / MW"</f>
        <v>$9.8M / MW</v>
      </c>
      <c r="C48" s="64"/>
      <c r="D48" s="64" t="str">
        <f aca="false">TEXT('Benchmark Library'!L20/1000000,"$0.0")&amp;"M / MW"</f>
        <v>$11.4M / MW</v>
      </c>
      <c r="E48" s="64"/>
      <c r="F48" s="64" t="str">
        <f aca="false">TEXT('Benchmark Library'!L22/1000000,"$0.0")&amp;"M / MW"</f>
        <v>$17.8M / MW</v>
      </c>
      <c r="G48" s="64"/>
      <c r="H48" s="13"/>
      <c r="I48" s="13"/>
      <c r="J48" s="13"/>
      <c r="K48" s="13"/>
      <c r="L48" s="13"/>
      <c r="P48" s="60"/>
      <c r="Q48" s="61"/>
    </row>
    <row r="49" customFormat="false" ht="18" hidden="false" customHeight="true" outlineLevel="0" collapsed="false">
      <c r="A49" s="13"/>
      <c r="B49" s="36"/>
      <c r="C49" s="36"/>
      <c r="D49" s="36"/>
      <c r="E49" s="36"/>
      <c r="F49" s="36"/>
      <c r="G49" s="36"/>
      <c r="H49" s="36"/>
      <c r="I49" s="36"/>
      <c r="J49" s="36"/>
      <c r="K49" s="36"/>
      <c r="L49" s="13"/>
      <c r="P49" s="60"/>
      <c r="Q49" s="61"/>
    </row>
    <row r="50" customFormat="false" ht="24" hidden="false" customHeight="true" outlineLevel="0" collapsed="false">
      <c r="A50" s="21"/>
      <c r="B50" s="22" t="s">
        <v>94</v>
      </c>
      <c r="C50" s="21"/>
      <c r="D50" s="21"/>
      <c r="E50" s="21"/>
      <c r="F50" s="21"/>
      <c r="G50" s="21"/>
      <c r="H50" s="21"/>
      <c r="I50" s="21"/>
      <c r="J50" s="21"/>
      <c r="K50" s="21"/>
      <c r="L50" s="13"/>
      <c r="P50" s="60"/>
      <c r="Q50" s="61"/>
    </row>
    <row r="51" customFormat="false" ht="3.75" hidden="false" customHeight="true" outlineLevel="0" collapsed="false">
      <c r="A51" s="13"/>
      <c r="B51" s="23"/>
      <c r="C51" s="23"/>
      <c r="D51" s="23"/>
      <c r="E51" s="23"/>
      <c r="F51" s="23"/>
      <c r="G51" s="23"/>
      <c r="H51" s="23"/>
      <c r="I51" s="23"/>
      <c r="J51" s="23"/>
      <c r="K51" s="23"/>
      <c r="L51" s="13"/>
      <c r="P51" s="60"/>
      <c r="Q51" s="61"/>
    </row>
    <row r="52" customFormat="false" ht="21.75" hidden="false" customHeight="true" outlineLevel="0" collapsed="false">
      <c r="A52" s="13"/>
      <c r="B52" s="35" t="s">
        <v>95</v>
      </c>
      <c r="C52" s="35"/>
      <c r="D52" s="35"/>
      <c r="E52" s="35"/>
      <c r="F52" s="35"/>
      <c r="G52" s="35"/>
      <c r="H52" s="35"/>
      <c r="I52" s="35"/>
      <c r="J52" s="35"/>
      <c r="K52" s="35"/>
      <c r="L52" s="13"/>
    </row>
    <row r="53" customFormat="false" ht="1.5" hidden="false" customHeight="true" outlineLevel="0" collapsed="false">
      <c r="A53" s="13"/>
      <c r="B53" s="30"/>
      <c r="C53" s="30"/>
      <c r="D53" s="30"/>
      <c r="E53" s="30"/>
      <c r="F53" s="30"/>
      <c r="G53" s="30"/>
      <c r="H53" s="30"/>
      <c r="I53" s="30"/>
      <c r="J53" s="30"/>
      <c r="K53" s="30"/>
      <c r="L53" s="13"/>
    </row>
    <row r="54" customFormat="false" ht="7.5" hidden="false" customHeight="true" outlineLevel="0" collapsed="false">
      <c r="A54" s="13"/>
      <c r="B54" s="36"/>
      <c r="C54" s="36"/>
      <c r="D54" s="36"/>
      <c r="E54" s="36"/>
      <c r="F54" s="36"/>
      <c r="G54" s="36"/>
      <c r="H54" s="36"/>
      <c r="I54" s="36"/>
      <c r="J54" s="36"/>
      <c r="K54" s="36"/>
      <c r="L54" s="13"/>
      <c r="P54" s="60"/>
      <c r="Q54" s="61"/>
    </row>
    <row r="55" customFormat="false" ht="18" hidden="false" customHeight="true" outlineLevel="0" collapsed="false">
      <c r="A55" s="13"/>
      <c r="B55" s="65" t="s">
        <v>96</v>
      </c>
      <c r="C55" s="65"/>
      <c r="D55" s="65"/>
      <c r="E55" s="65" t="s">
        <v>97</v>
      </c>
      <c r="F55" s="65"/>
      <c r="G55" s="65"/>
      <c r="H55" s="65" t="s">
        <v>98</v>
      </c>
      <c r="I55" s="65"/>
      <c r="J55" s="65"/>
      <c r="K55" s="65"/>
      <c r="L55" s="13"/>
      <c r="P55" s="60"/>
      <c r="Q55" s="61"/>
    </row>
    <row r="56" customFormat="false" ht="27.75" hidden="false" customHeight="true" outlineLevel="0" collapsed="false">
      <c r="A56" s="13"/>
      <c r="B56" s="66" t="str">
        <f aca="false">'Campus Rollup'!H3</f>
        <v>Class 3 (DD)</v>
      </c>
      <c r="C56" s="66"/>
      <c r="D56" s="66"/>
      <c r="E56" s="66" t="str">
        <f aca="false">IF('Value Engineering'!H27=0,"In progress",TEXT('Value Engineering'!H27,"$#,##0")&amp;" identified")</f>
        <v>$68,805,864 identified</v>
      </c>
      <c r="F56" s="66"/>
      <c r="G56" s="66"/>
      <c r="H56" s="66" t="str">
        <f aca="false">IF(COUNTIF('Bid Leveling'!E14:E19,"&gt;0")=0,"Ready to bid",COUNTIF('Bid Leveling'!E14:E19,"&gt;0")&amp;" bids received")</f>
        <v>Ready to bid</v>
      </c>
      <c r="I56" s="66"/>
      <c r="J56" s="66"/>
      <c r="K56" s="66"/>
      <c r="L56" s="13"/>
      <c r="P56" s="60"/>
      <c r="Q56" s="61"/>
    </row>
    <row r="57" customFormat="false" ht="3.75" hidden="false" customHeight="true" outlineLevel="0" collapsed="false">
      <c r="A57" s="13"/>
      <c r="B57" s="63"/>
      <c r="C57" s="63"/>
      <c r="D57" s="63"/>
      <c r="E57" s="63"/>
      <c r="F57" s="63"/>
      <c r="G57" s="63"/>
      <c r="H57" s="63"/>
      <c r="I57" s="63"/>
      <c r="J57" s="63"/>
      <c r="K57" s="63"/>
      <c r="L57" s="13"/>
      <c r="P57" s="60"/>
      <c r="Q57" s="61"/>
    </row>
    <row r="58" customFormat="false" ht="18" hidden="false" customHeight="true" outlineLevel="0" collapsed="false">
      <c r="A58" s="13"/>
      <c r="B58" s="67" t="str">
        <f aca="false">"Accuracy band "&amp;'Campus Rollup'!H4&amp;". Estimate built up from CSI-level detail across all 19 divisions, anchored against benchmark library of 10 comparable Tier III projects."</f>
        <v>Accuracy band −20% / +30%. Estimate built up from CSI-level detail across all 19 divisions, anchored against benchmark library of 10 comparable Tier III projects.</v>
      </c>
      <c r="C58" s="67"/>
      <c r="D58" s="67"/>
      <c r="E58" s="67" t="str">
        <f aca="false">IF('Value Engineering'!L43=0,"Active scenario: "&amp;'Value Engineering'!L41&amp;" — no savings adopted yet; VE log open for client review.","Active scenario: "&amp;'Value Engineering'!L41&amp;" — "&amp;TEXT('Value Engineering'!L43,"$#,##0")&amp;" adopted ("&amp;TEXT('Value Engineering'!L46,"0.0%")&amp;" of base) → "&amp;TEXT('Value Engineering'!L45,"$#,##0")&amp;"/MW.")</f>
        <v>Active scenario: Balanced — $35,305,864 adopted (3.2% of base) → $11,700,400/MW.</v>
      </c>
      <c r="F58" s="67"/>
      <c r="G58" s="67"/>
      <c r="H58" s="67" t="str">
        <f aca="false">IF(COUNTIF('Bid Leveling'!E14:E19,"&gt;0")=0,"Bid packages and tender documents prepared. Subcontractor outreach underway across structural, MEP, and specialty trades.","Bid leveling complete; recommendation under client review.")</f>
        <v>Bid packages and tender documents prepared. Subcontractor outreach underway across structural, MEP, and specialty trades.</v>
      </c>
      <c r="I58" s="67"/>
      <c r="J58" s="67"/>
      <c r="K58" s="67"/>
      <c r="L58" s="13"/>
      <c r="P58" s="60"/>
      <c r="Q58" s="61"/>
    </row>
    <row r="59" customFormat="false" ht="21" hidden="false" customHeight="true" outlineLevel="0" collapsed="false">
      <c r="A59" s="13"/>
      <c r="B59" s="67"/>
      <c r="C59" s="67"/>
      <c r="D59" s="67"/>
      <c r="E59" s="67"/>
      <c r="F59" s="67"/>
      <c r="G59" s="67"/>
      <c r="H59" s="67"/>
      <c r="I59" s="67"/>
      <c r="J59" s="67"/>
      <c r="K59" s="67"/>
      <c r="L59" s="13"/>
      <c r="P59" s="60"/>
      <c r="Q59" s="61"/>
    </row>
    <row r="60" customFormat="false" ht="25.5" hidden="false" customHeight="true" outlineLevel="0" collapsed="false">
      <c r="A60" s="68"/>
      <c r="B60" s="69" t="s">
        <v>99</v>
      </c>
      <c r="C60" s="69"/>
      <c r="D60" s="69"/>
      <c r="E60" s="69"/>
      <c r="F60" s="69"/>
      <c r="G60" s="69"/>
      <c r="H60" s="69"/>
      <c r="I60" s="69"/>
      <c r="J60" s="69"/>
      <c r="K60" s="69"/>
      <c r="L60" s="13"/>
      <c r="P60" s="60"/>
      <c r="Q60" s="61"/>
    </row>
    <row r="61" customFormat="false" ht="21" hidden="false" customHeight="true" outlineLevel="0" collapsed="false">
      <c r="A61" s="13"/>
      <c r="B61" s="70" t="s">
        <v>100</v>
      </c>
      <c r="C61" s="71"/>
      <c r="D61" s="71"/>
      <c r="E61" s="71"/>
      <c r="F61" s="71"/>
      <c r="G61" s="72" t="str">
        <f aca="false">IF(ROUND('Construction Budget'!H842,0)=ROUND('Campus Rollup'!H16,0),"✅ Tie","❌ Off by "&amp;TEXT('Construction Budget'!H842-'Campus Rollup'!H16,"$#,##0"))</f>
        <v>✅ Tie</v>
      </c>
      <c r="H61" s="73" t="s">
        <v>101</v>
      </c>
      <c r="I61" s="74"/>
      <c r="J61" s="74"/>
      <c r="K61" s="74"/>
      <c r="P61" s="60"/>
      <c r="Q61" s="61"/>
    </row>
    <row r="62" customFormat="false" ht="21" hidden="false" customHeight="true" outlineLevel="0" collapsed="false">
      <c r="A62" s="13"/>
      <c r="B62" s="70" t="s">
        <v>102</v>
      </c>
      <c r="C62" s="71"/>
      <c r="D62" s="71"/>
      <c r="E62" s="71"/>
      <c r="F62" s="71"/>
      <c r="G62" s="72" t="str">
        <f aca="false">IF(ROUND('Client Proposal'!C128,0)=ROUND('Construction Budget'!H842,0),"✅ Tie","❌ Off by "&amp;TEXT('Client Proposal'!C128-'Construction Budget'!H842,"$#,##0"))</f>
        <v>✅ Tie</v>
      </c>
      <c r="H62" s="75" t="n">
        <f aca="false">'Allowances &amp; Alternates'!F46</f>
        <v>17550000</v>
      </c>
      <c r="I62" s="74"/>
      <c r="J62" s="74"/>
      <c r="K62" s="74"/>
      <c r="L62" s="13"/>
    </row>
    <row r="63" customFormat="false" ht="21" hidden="false" customHeight="true" outlineLevel="0" collapsed="false">
      <c r="A63" s="13"/>
      <c r="B63" s="76" t="s">
        <v>103</v>
      </c>
      <c r="C63" s="76"/>
      <c r="D63" s="76"/>
      <c r="E63" s="76"/>
      <c r="F63" s="76"/>
      <c r="G63" s="77" t="str">
        <f aca="false">IF(ROUND('CSA Summary'!B21,0)=ROUND('Campus Rollup'!E16,0),"✅ Tie","❌ Off by "&amp;TEXT('CSA Summary'!B21-'Campus Rollup'!E16,"$#,##0"))</f>
        <v>✅ Tie</v>
      </c>
      <c r="H63" s="77"/>
      <c r="I63" s="77"/>
      <c r="J63" s="77"/>
      <c r="K63" s="77"/>
      <c r="L63" s="13"/>
      <c r="P63" s="57"/>
    </row>
    <row r="64" customFormat="false" ht="21" hidden="false" customHeight="true" outlineLevel="0" collapsed="false">
      <c r="A64" s="13"/>
      <c r="B64" s="70" t="s">
        <v>104</v>
      </c>
      <c r="C64" s="71"/>
      <c r="D64" s="71"/>
      <c r="E64" s="71"/>
      <c r="F64" s="71"/>
      <c r="G64" s="72" t="str">
        <f aca="false">IF(ROUND('Draw Schedule'!C32,0)=ROUND('Construction Budget'!H842,0),"✅ Tie","❌ Off by "&amp;TEXT('Draw Schedule'!C32-'Construction Budget'!H842,"$#,##0"))</f>
        <v>✅ Tie</v>
      </c>
      <c r="H64" s="78" t="str">
        <f aca="false">"Allowances "&amp;TEXT('Allowances &amp; Alternates'!F44,"$#,##0")&amp;"   ·   Accepted alternates "&amp;TEXT('Allowances &amp; Alternates'!F45,"$#,##0")</f>
        <v>Allowances $17,550,000   ·   Accepted alternates $0</v>
      </c>
      <c r="I64" s="74"/>
      <c r="J64" s="74"/>
      <c r="K64" s="74"/>
      <c r="L64" s="13"/>
      <c r="P64" s="60"/>
      <c r="Q64" s="61"/>
    </row>
    <row r="65" customFormat="false" ht="21" hidden="false" customHeight="true" outlineLevel="0" collapsed="false">
      <c r="A65" s="13"/>
      <c r="B65" s="70" t="s">
        <v>105</v>
      </c>
      <c r="C65" s="71"/>
      <c r="D65" s="71"/>
      <c r="E65" s="71"/>
      <c r="F65" s="71"/>
      <c r="G65" s="72" t="str">
        <f aca="false">IF(ROUND('TCO 8-Year'!D53*1000000,-3)=ROUND('TCO 8-Year'!B39,-3),"✅ Tie","❌ Drift")</f>
        <v>✅ Tie</v>
      </c>
      <c r="H65" s="78" t="str">
        <f aca="false">"Flows to Client Proposal total: "&amp;TEXT('Client Proposal'!C135,"$0.00,,,")&amp;"B"</f>
        <v>Flows to Client Proposal total: $1.11B</v>
      </c>
      <c r="I65" s="74"/>
      <c r="J65" s="74"/>
      <c r="K65" s="74"/>
      <c r="L65" s="13"/>
      <c r="P65" s="60"/>
      <c r="Q65" s="61"/>
    </row>
    <row r="66" customFormat="false" ht="21" hidden="false" customHeight="true" outlineLevel="0" collapsed="false">
      <c r="A66" s="13"/>
      <c r="B66" s="70" t="s">
        <v>106</v>
      </c>
      <c r="C66" s="13"/>
      <c r="D66" s="13"/>
      <c r="E66" s="13"/>
      <c r="F66" s="13"/>
      <c r="G66" s="72" t="str">
        <f aca="false">'Cash Flow &amp; EVM'!B20</f>
        <v>✅ Tie</v>
      </c>
      <c r="H66" s="13"/>
      <c r="I66" s="13"/>
      <c r="J66" s="13"/>
      <c r="K66" s="13"/>
      <c r="L66" s="13"/>
    </row>
    <row r="67" customFormat="false" ht="15" hidden="false" customHeight="true" outlineLevel="0" collapsed="false">
      <c r="A67" s="13"/>
      <c r="B67" s="79" t="s">
        <v>107</v>
      </c>
      <c r="C67" s="13"/>
      <c r="D67" s="13"/>
      <c r="E67" s="13"/>
      <c r="F67" s="13"/>
      <c r="G67" s="80" t="str">
        <f aca="false">IF('Construction Budget'!F850=0,"✅ Tie","❌ "&amp;'Construction Budget'!F850&amp;" missing")</f>
        <v>✅ Tie</v>
      </c>
      <c r="H67" s="13"/>
      <c r="I67" s="13"/>
      <c r="J67" s="13"/>
      <c r="K67" s="13"/>
      <c r="L67" s="13"/>
      <c r="P67" s="60"/>
      <c r="Q67" s="81"/>
    </row>
    <row r="68" customFormat="false" ht="21.75" hidden="false" customHeight="true" outlineLevel="0" collapsed="false">
      <c r="A68" s="13"/>
      <c r="B68" s="35" t="s">
        <v>108</v>
      </c>
      <c r="C68" s="35"/>
      <c r="D68" s="35"/>
      <c r="E68" s="35"/>
      <c r="F68" s="35"/>
      <c r="G68" s="35"/>
      <c r="H68" s="35"/>
      <c r="I68" s="35"/>
      <c r="J68" s="35"/>
      <c r="K68" s="35"/>
      <c r="L68" s="13"/>
      <c r="P68" s="60"/>
      <c r="Q68" s="81"/>
    </row>
    <row r="69" customFormat="false" ht="1.5" hidden="false" customHeight="true" outlineLevel="0" collapsed="false">
      <c r="A69" s="13"/>
      <c r="B69" s="30"/>
      <c r="C69" s="30"/>
      <c r="D69" s="30"/>
      <c r="E69" s="30"/>
      <c r="F69" s="30"/>
      <c r="G69" s="30"/>
      <c r="H69" s="30"/>
      <c r="I69" s="30"/>
      <c r="J69" s="30"/>
      <c r="K69" s="30"/>
      <c r="L69" s="13"/>
    </row>
    <row r="70" customFormat="false" ht="7.5" hidden="false" customHeight="true" outlineLevel="0" collapsed="false">
      <c r="A70" s="13"/>
      <c r="B70" s="36"/>
      <c r="C70" s="36"/>
      <c r="D70" s="36"/>
      <c r="E70" s="36"/>
      <c r="F70" s="36"/>
      <c r="G70" s="36"/>
      <c r="H70" s="36"/>
      <c r="I70" s="36"/>
      <c r="J70" s="36"/>
      <c r="K70" s="36"/>
      <c r="L70" s="13"/>
    </row>
    <row r="71" customFormat="false" ht="18" hidden="false" customHeight="true" outlineLevel="0" collapsed="false">
      <c r="A71" s="13"/>
      <c r="B71" s="65" t="s">
        <v>109</v>
      </c>
      <c r="C71" s="65"/>
      <c r="D71" s="65"/>
      <c r="E71" s="65" t="s">
        <v>110</v>
      </c>
      <c r="F71" s="65"/>
      <c r="G71" s="65"/>
      <c r="H71" s="65" t="s">
        <v>111</v>
      </c>
      <c r="I71" s="65"/>
      <c r="J71" s="65"/>
      <c r="K71" s="65"/>
      <c r="L71" s="13"/>
    </row>
    <row r="72" customFormat="false" ht="27.75" hidden="false" customHeight="true" outlineLevel="0" collapsed="false">
      <c r="A72" s="13"/>
      <c r="B72" s="66" t="str">
        <f aca="false">"SPI "&amp;TEXT('Cash Flow &amp; EVM'!B12,"0.00")&amp;"   ·   CPI "&amp;TEXT('Cash Flow &amp; EVM'!B13,"0.00")</f>
        <v>SPI —   ·   CPI —</v>
      </c>
      <c r="C72" s="66"/>
      <c r="D72" s="66"/>
      <c r="E72" s="66" t="str">
        <f aca="false">TEXT('Risk &amp; Contingency'!C26,"$#,##0")&amp;" P80"</f>
        <v>$120,754,987 P80</v>
      </c>
      <c r="F72" s="66"/>
      <c r="G72" s="66"/>
      <c r="H72" s="66" t="str">
        <f aca="false">'Procurement &amp; Long-Lead'!B44&amp;" pkgs overdue to order"</f>
        <v>5 pkgs overdue to order</v>
      </c>
      <c r="I72" s="66"/>
      <c r="J72" s="66"/>
      <c r="K72" s="66"/>
      <c r="L72" s="13"/>
    </row>
    <row r="73" customFormat="false" ht="3.75" hidden="false" customHeight="true" outlineLevel="0" collapsed="false">
      <c r="A73" s="13"/>
      <c r="B73" s="63"/>
      <c r="C73" s="63"/>
      <c r="D73" s="63"/>
      <c r="E73" s="63"/>
      <c r="F73" s="63"/>
      <c r="G73" s="63"/>
      <c r="H73" s="63"/>
      <c r="I73" s="63"/>
      <c r="J73" s="63"/>
      <c r="K73" s="63"/>
      <c r="L73" s="13"/>
    </row>
    <row r="74" customFormat="false" ht="18" hidden="false" customHeight="true" outlineLevel="0" collapsed="false">
      <c r="B74" s="67" t="str">
        <f aca="false">'Cash Flow &amp; EVM'!B18&amp;"   ·   "&amp;'Cash Flow &amp; EVM'!B19&amp;"   (data date: month "&amp;'Cash Flow &amp; EVM'!B5&amp;")"</f>
        <v>○ Not started   ·   ○ Not started   (data date: month 0)</v>
      </c>
      <c r="C74" s="67"/>
      <c r="D74" s="67"/>
      <c r="E74" s="67" t="str">
        <f aca="false">"P80 vs "&amp;TEXT('Risk &amp; Contingency'!C32,"$#,##0")&amp;" carried at flat 10% — "&amp;IF('Risk &amp; Contingency'!C26&lt;='Risk &amp; Contingency'!C32,"within allowance.","exceeds allowance.")</f>
        <v>P80 vs $98,940,166 carried at flat 10% — exceeds allowance.</v>
      </c>
      <c r="F74" s="67"/>
      <c r="G74" s="67"/>
      <c r="H74" s="67" t="str">
        <f aca="false">"$"&amp;TEXT('Procurement &amp; Long-Lead'!B43/1000000,"0")&amp;"M tracked   ·   $"&amp;TEXT('Procurement &amp; Long-Lead'!B46/1000000,"0.0")&amp;"M escalation exposure if delayed."</f>
        <v>$1087M tracked   ·   $30.3M escalation exposure if delayed.</v>
      </c>
      <c r="I74" s="67"/>
      <c r="J74" s="67"/>
      <c r="K74" s="67"/>
    </row>
    <row r="75" customFormat="false" ht="21" hidden="false" customHeight="true" outlineLevel="0" collapsed="false">
      <c r="B75" s="67"/>
      <c r="C75" s="67"/>
      <c r="D75" s="67"/>
      <c r="E75" s="67"/>
      <c r="F75" s="67"/>
      <c r="G75" s="67"/>
      <c r="H75" s="67"/>
      <c r="I75" s="67"/>
      <c r="J75" s="67"/>
      <c r="K75" s="67"/>
    </row>
    <row r="76" customFormat="false" ht="7.5" hidden="false" customHeight="true" outlineLevel="0" collapsed="false">
      <c r="B76" s="23"/>
      <c r="C76" s="23"/>
      <c r="D76" s="23"/>
      <c r="E76" s="23"/>
      <c r="F76" s="23"/>
      <c r="G76" s="23"/>
      <c r="H76" s="23"/>
      <c r="I76" s="23"/>
      <c r="J76" s="23"/>
      <c r="K76" s="23"/>
    </row>
    <row r="77" customFormat="false" ht="21" hidden="false" customHeight="true" outlineLevel="0" collapsed="false">
      <c r="B77" s="82" t="s">
        <v>112</v>
      </c>
      <c r="C77" s="82"/>
      <c r="D77" s="82"/>
      <c r="E77" s="82"/>
      <c r="F77" s="82"/>
      <c r="G77" s="82"/>
      <c r="H77" s="82"/>
      <c r="I77" s="82"/>
      <c r="J77" s="82"/>
      <c r="K77" s="82"/>
    </row>
    <row r="78" customFormat="false" ht="21" hidden="false" customHeight="true" outlineLevel="0" collapsed="false">
      <c r="B78" s="83" t="str">
        <f aca="false">"Active configuration drives the live estimate — set on Scenario &amp; Presets, compared on Scenario Comparison. Current preset: "&amp;'Scenario &amp; Presets'!B5</f>
        <v>Active configuration drives the live estimate — set on Scenario &amp; Presets, compared on Scenario Comparison. Current preset: Hyperscale</v>
      </c>
      <c r="C78" s="83"/>
      <c r="D78" s="83"/>
      <c r="E78" s="83"/>
      <c r="F78" s="83"/>
      <c r="G78" s="83"/>
      <c r="H78" s="83"/>
      <c r="I78" s="83"/>
      <c r="J78" s="83"/>
      <c r="K78" s="83"/>
    </row>
    <row r="79" customFormat="false" ht="21" hidden="false" customHeight="true" outlineLevel="0" collapsed="false">
      <c r="B79" s="84" t="s">
        <v>113</v>
      </c>
      <c r="C79" s="20"/>
      <c r="D79" s="20"/>
      <c r="E79" s="84" t="s">
        <v>114</v>
      </c>
      <c r="F79" s="20"/>
      <c r="G79" s="20"/>
      <c r="H79" s="84" t="s">
        <v>115</v>
      </c>
      <c r="I79" s="20"/>
      <c r="J79" s="20"/>
      <c r="K79" s="20"/>
    </row>
    <row r="80" customFormat="false" ht="21" hidden="false" customHeight="true" outlineLevel="0" collapsed="false">
      <c r="B80" s="85" t="str">
        <f aca="false">'Scenario &amp; Presets'!B16</f>
        <v>Liquid-Cooled (DLC)</v>
      </c>
      <c r="C80" s="20"/>
      <c r="D80" s="20"/>
      <c r="E80" s="86" t="n">
        <f aca="false">'Scenario &amp; Presets'!B23</f>
        <v>12092686.9674155</v>
      </c>
      <c r="F80" s="20"/>
      <c r="G80" s="20"/>
      <c r="H80" s="85" t="str">
        <f aca="false">TEXT(MIN('Scenario Comparison'!B14:E14)/1000000,"$0.0")&amp;"M – "&amp;TEXT(MAX('Scenario Comparison'!B14:E14)/1000000,"$0.0")&amp;"M / MW"</f>
        <v>$12.1M – $33.5M / MW</v>
      </c>
      <c r="I80" s="20"/>
      <c r="J80" s="20"/>
      <c r="K80" s="20"/>
    </row>
    <row r="81" customFormat="false" ht="21" hidden="false" customHeight="true" outlineLevel="0" collapsed="false">
      <c r="B81" s="87" t="str">
        <f aca="false">"Pricing tier: "&amp;'Scenario &amp; Presets'!B15</f>
        <v>Pricing tier: Low</v>
      </c>
      <c r="C81" s="20"/>
      <c r="D81" s="20"/>
      <c r="E81" s="87" t="str">
        <f aca="false">"Estimate total: "&amp;TEXT('Scenario &amp; Presets'!B22,"$0.00,,,")&amp;"B"</f>
        <v>Estimate total: $1.09B</v>
      </c>
      <c r="F81" s="20"/>
      <c r="G81" s="20"/>
      <c r="H81" s="87" t="str">
        <f aca="false">"Total: "&amp;TEXT(MIN('Scenario Comparison'!B13:E13)/1000000000,"$0.00")&amp;"B – "&amp;TEXT(MAX('Scenario Comparison'!B13:E13)/1000000000,"$0.00")&amp;"B"</f>
        <v>Total: $1.09B – $3.02B</v>
      </c>
      <c r="I81" s="20"/>
      <c r="J81" s="20"/>
      <c r="K81" s="20"/>
    </row>
    <row r="82" customFormat="false" ht="21" hidden="false" customHeight="true" outlineLevel="0" collapsed="false">
      <c r="B82" s="87" t="str">
        <f aca="false">'Scenario &amp; Presets'!B17&amp;"  ·  "&amp;'Scenario &amp; Presets'!B18&amp;"  ·  "&amp;'Scenario &amp; Presets'!B19</f>
        <v>Tier III  ·  N+1  ·  High (15–30 kW)</v>
      </c>
      <c r="C82" s="20"/>
      <c r="D82" s="20"/>
      <c r="E82" s="87" t="str">
        <f aca="false">'Scenario &amp; Presets'!B25</f>
        <v>● Within archetype band</v>
      </c>
      <c r="F82" s="20"/>
      <c r="G82" s="20"/>
      <c r="H82" s="87" t="str">
        <f aca="false">"Current vs baseline: "&amp;TEXT('Scenario Comparison'!B21,"+0.0%;-0.0%")&amp;" ("&amp;TEXT('Scenario Comparison'!B20,"$#,##0,,")&amp;"M)"</f>
        <v>Current vs baseline: -38.1% (-$670M)</v>
      </c>
      <c r="I82" s="20"/>
      <c r="J82" s="20"/>
      <c r="K82" s="20"/>
    </row>
    <row r="83" customFormat="false" ht="21" hidden="false" customHeight="true" outlineLevel="0" collapsed="false">
      <c r="B83" s="20"/>
      <c r="C83" s="20"/>
      <c r="D83" s="20"/>
      <c r="E83" s="20"/>
      <c r="F83" s="20"/>
      <c r="G83" s="20"/>
      <c r="H83" s="20"/>
      <c r="I83" s="20"/>
      <c r="J83" s="20"/>
      <c r="K83" s="20"/>
    </row>
    <row r="84" customFormat="false" ht="24" hidden="false" customHeight="true" outlineLevel="0" collapsed="false">
      <c r="A84" s="21"/>
      <c r="B84" s="22" t="s">
        <v>116</v>
      </c>
      <c r="C84" s="21"/>
      <c r="D84" s="21"/>
      <c r="E84" s="21"/>
      <c r="F84" s="21"/>
      <c r="G84" s="21"/>
      <c r="H84" s="21"/>
      <c r="I84" s="21"/>
      <c r="J84" s="21"/>
      <c r="K84" s="21"/>
    </row>
    <row r="85" customFormat="false" ht="3.75" hidden="false" customHeight="true" outlineLevel="0" collapsed="false">
      <c r="A85" s="13"/>
      <c r="B85" s="23"/>
      <c r="C85" s="23"/>
      <c r="D85" s="23"/>
      <c r="E85" s="23"/>
      <c r="F85" s="23"/>
      <c r="G85" s="23"/>
      <c r="H85" s="23"/>
      <c r="I85" s="23"/>
      <c r="J85" s="23"/>
      <c r="K85" s="23"/>
    </row>
    <row r="86" customFormat="false" ht="21" hidden="false" customHeight="true" outlineLevel="0" collapsed="false">
      <c r="A86" s="68"/>
      <c r="B86" s="68" t="s">
        <v>117</v>
      </c>
      <c r="C86" s="68"/>
      <c r="D86" s="68"/>
      <c r="E86" s="68"/>
      <c r="F86" s="68"/>
      <c r="G86" s="68"/>
      <c r="H86" s="68"/>
      <c r="I86" s="68"/>
      <c r="J86" s="68"/>
      <c r="K86" s="68"/>
    </row>
    <row r="87" customFormat="false" ht="21" hidden="false" customHeight="true" outlineLevel="0" collapsed="false">
      <c r="B87" s="37" t="s">
        <v>118</v>
      </c>
      <c r="C87" s="88"/>
      <c r="D87" s="37" t="s">
        <v>119</v>
      </c>
      <c r="E87" s="88"/>
      <c r="F87" s="38" t="s">
        <v>120</v>
      </c>
      <c r="G87" s="88"/>
      <c r="H87" s="38" t="s">
        <v>80</v>
      </c>
      <c r="I87" s="88"/>
      <c r="J87" s="38" t="s">
        <v>121</v>
      </c>
      <c r="K87" s="88"/>
    </row>
    <row r="88" customFormat="false" ht="21" hidden="false" customHeight="true" outlineLevel="0" collapsed="false">
      <c r="B88" s="39" t="str">
        <f aca="false">'Scenario Comparison'!B5</f>
        <v>Current (live)</v>
      </c>
      <c r="C88" s="89"/>
      <c r="D88" s="90" t="str">
        <f aca="false">'Scenario Comparison'!B7</f>
        <v>Liquid-Cooled (DLC)</v>
      </c>
      <c r="E88" s="89"/>
      <c r="F88" s="91" t="n">
        <f aca="false">'Scenario Comparison'!B13</f>
        <v>1088341827.06739</v>
      </c>
      <c r="G88" s="89"/>
      <c r="H88" s="92" t="n">
        <f aca="false">'Scenario Comparison'!B14</f>
        <v>12092686.9674155</v>
      </c>
      <c r="I88" s="89"/>
      <c r="J88" s="93" t="n">
        <f aca="false">'Scenario Comparison'!B21</f>
        <v>-0.381003384444605</v>
      </c>
      <c r="K88" s="89"/>
    </row>
    <row r="89" customFormat="false" ht="21" hidden="false" customHeight="true" outlineLevel="0" collapsed="false">
      <c r="B89" s="94" t="str">
        <f aca="false">'Scenario Comparison'!C5</f>
        <v>Reference — Hyperscale (Hybrid)</v>
      </c>
      <c r="C89" s="95"/>
      <c r="D89" s="42" t="str">
        <f aca="false">'Scenario Comparison'!C7</f>
        <v>Hybrid (As-Designed)</v>
      </c>
      <c r="E89" s="95"/>
      <c r="F89" s="96" t="n">
        <f aca="false">'Scenario Comparison'!C13</f>
        <v>1758235505.19881</v>
      </c>
      <c r="G89" s="95"/>
      <c r="H89" s="50" t="n">
        <f aca="false">'Scenario Comparison'!C14</f>
        <v>19535950.0577645</v>
      </c>
      <c r="I89" s="95"/>
      <c r="J89" s="97" t="n">
        <f aca="false">'Scenario Comparison'!C21</f>
        <v>0</v>
      </c>
      <c r="K89" s="95"/>
    </row>
    <row r="90" customFormat="false" ht="21" hidden="false" customHeight="true" outlineLevel="0" collapsed="false">
      <c r="B90" s="98" t="str">
        <f aca="false">'Scenario Comparison'!D5</f>
        <v>Air-Cooled (Chilled Water)</v>
      </c>
      <c r="C90" s="99"/>
      <c r="D90" s="45" t="str">
        <f aca="false">'Scenario Comparison'!D7</f>
        <v>Chilled Water (Air-Cooled)</v>
      </c>
      <c r="E90" s="99"/>
      <c r="F90" s="100" t="n">
        <f aca="false">'Scenario Comparison'!D13</f>
        <v>1676758035.89921</v>
      </c>
      <c r="G90" s="99"/>
      <c r="H90" s="49" t="n">
        <f aca="false">'Scenario Comparison'!D14</f>
        <v>18630644.8433245</v>
      </c>
      <c r="I90" s="99"/>
      <c r="J90" s="101" t="n">
        <f aca="false">'Scenario Comparison'!D21</f>
        <v>-0.0463404754702568</v>
      </c>
      <c r="K90" s="99"/>
    </row>
    <row r="91" customFormat="false" ht="21" hidden="false" customHeight="true" outlineLevel="0" collapsed="false">
      <c r="B91" s="94" t="str">
        <f aca="false">'Scenario Comparison'!E5</f>
        <v>AI / HPC — Liquid Cooled</v>
      </c>
      <c r="C91" s="95"/>
      <c r="D91" s="42" t="str">
        <f aca="false">'Scenario Comparison'!E7</f>
        <v>Liquid-Cooled (DLC)</v>
      </c>
      <c r="E91" s="95"/>
      <c r="F91" s="96" t="n">
        <f aca="false">'Scenario Comparison'!E13</f>
        <v>3019287023.61462</v>
      </c>
      <c r="G91" s="95"/>
      <c r="H91" s="50" t="n">
        <f aca="false">'Scenario Comparison'!E14</f>
        <v>33547633.595718</v>
      </c>
      <c r="I91" s="95"/>
      <c r="J91" s="97" t="n">
        <f aca="false">'Scenario Comparison'!E21</f>
        <v>0.717225601853161</v>
      </c>
      <c r="K91" s="95"/>
    </row>
    <row r="92" customFormat="false" ht="21" hidden="false" customHeight="true" outlineLevel="0" collapsed="false">
      <c r="B92" s="98" t="str">
        <f aca="false">'Scenario Comparison'!F5</f>
        <v>Enterprise</v>
      </c>
      <c r="C92" s="99"/>
      <c r="D92" s="45" t="str">
        <f aca="false">'Scenario Comparison'!F7</f>
        <v>Chilled Water (Air-Cooled)</v>
      </c>
      <c r="E92" s="99"/>
      <c r="F92" s="100" t="n">
        <f aca="false">'Scenario Comparison'!F13</f>
        <v>1855155273.89921</v>
      </c>
      <c r="G92" s="99"/>
      <c r="H92" s="49" t="n">
        <f aca="false">'Scenario Comparison'!F14</f>
        <v>20612836.3766579</v>
      </c>
      <c r="I92" s="99"/>
      <c r="J92" s="101" t="n">
        <f aca="false">'Scenario Comparison'!F21</f>
        <v>0.0551233144899103</v>
      </c>
      <c r="K92" s="95"/>
    </row>
    <row r="93" customFormat="false" ht="21" hidden="false" customHeight="true" outlineLevel="0" collapsed="false">
      <c r="B93" s="94" t="str">
        <f aca="false">'Scenario Comparison'!G5</f>
        <v>Colocation</v>
      </c>
      <c r="C93" s="95"/>
      <c r="D93" s="42" t="str">
        <f aca="false">'Scenario Comparison'!G7</f>
        <v>Chilled Water (Air-Cooled)</v>
      </c>
      <c r="E93" s="95"/>
      <c r="F93" s="96" t="n">
        <f aca="false">'Scenario Comparison'!G13</f>
        <v>1626646451.89921</v>
      </c>
      <c r="G93" s="95"/>
      <c r="H93" s="50" t="n">
        <f aca="false">'Scenario Comparison'!G14</f>
        <v>18073849.4655467</v>
      </c>
      <c r="I93" s="95"/>
      <c r="J93" s="97" t="n">
        <f aca="false">'Scenario Comparison'!G21</f>
        <v>-0.0748415402319616</v>
      </c>
      <c r="K93" s="95"/>
    </row>
    <row r="94" customFormat="false" ht="21" hidden="false" customHeight="true" outlineLevel="0" collapsed="false">
      <c r="B94" s="98" t="str">
        <f aca="false">'Scenario Comparison'!H5</f>
        <v>Edge</v>
      </c>
      <c r="C94" s="99"/>
      <c r="D94" s="45" t="str">
        <f aca="false">'Scenario Comparison'!H7</f>
        <v>Chilled Water (Air-Cooled)</v>
      </c>
      <c r="E94" s="99"/>
      <c r="F94" s="100" t="n">
        <f aca="false">'Scenario Comparison'!H13</f>
        <v>1058453752.01668</v>
      </c>
      <c r="G94" s="99"/>
      <c r="H94" s="49" t="n">
        <f aca="false">'Scenario Comparison'!H14</f>
        <v>11760597.2446298</v>
      </c>
      <c r="I94" s="99"/>
      <c r="J94" s="101" t="n">
        <f aca="false">'Scenario Comparison'!H21</f>
        <v>-0.398002287584906</v>
      </c>
      <c r="K94" s="95"/>
    </row>
    <row r="95" customFormat="false" ht="21" hidden="false" customHeight="true" outlineLevel="0" collapsed="false">
      <c r="B95" s="102" t="s">
        <v>122</v>
      </c>
      <c r="C95" s="102"/>
      <c r="D95" s="102"/>
      <c r="E95" s="102"/>
      <c r="F95" s="102"/>
      <c r="G95" s="102"/>
      <c r="H95" s="102"/>
      <c r="I95" s="102"/>
      <c r="J95" s="102"/>
      <c r="K95" s="102"/>
    </row>
    <row r="97" customFormat="false" ht="17.25" hidden="false" customHeight="true" outlineLevel="0" collapsed="false">
      <c r="B97" s="35" t="s">
        <v>123</v>
      </c>
      <c r="C97" s="35"/>
      <c r="D97" s="35"/>
      <c r="E97" s="35"/>
      <c r="F97" s="35"/>
      <c r="G97" s="35"/>
      <c r="H97" s="35"/>
      <c r="I97" s="35"/>
      <c r="J97" s="35"/>
      <c r="K97" s="35"/>
    </row>
    <row r="98" customFormat="false" ht="15" hidden="false" customHeight="true" outlineLevel="0" collapsed="false">
      <c r="B98" s="3" t="s">
        <v>124</v>
      </c>
      <c r="C98" s="3"/>
      <c r="D98" s="3"/>
      <c r="E98" s="3"/>
      <c r="F98" s="3"/>
      <c r="G98" s="3"/>
      <c r="H98" s="3"/>
      <c r="I98" s="3"/>
      <c r="J98" s="3"/>
      <c r="K98" s="3"/>
    </row>
    <row r="176" customFormat="false" ht="7.5" hidden="false" customHeight="true" outlineLevel="0" collapsed="false"/>
    <row r="177" customFormat="false" ht="3.75" hidden="false" customHeight="true" outlineLevel="0" collapsed="false">
      <c r="B177" s="23"/>
      <c r="C177" s="23"/>
      <c r="D177" s="23"/>
      <c r="E177" s="23"/>
      <c r="F177" s="23"/>
      <c r="G177" s="23"/>
      <c r="H177" s="23"/>
      <c r="I177" s="23"/>
      <c r="J177" s="23"/>
      <c r="K177" s="23"/>
    </row>
    <row r="178" customFormat="false" ht="21" hidden="false" customHeight="true" outlineLevel="0" collapsed="false">
      <c r="B178" s="82" t="s">
        <v>125</v>
      </c>
      <c r="C178" s="13"/>
      <c r="D178" s="13"/>
      <c r="E178" s="13"/>
      <c r="F178" s="13"/>
      <c r="G178" s="13"/>
      <c r="H178" s="13"/>
      <c r="I178" s="13"/>
      <c r="J178" s="13"/>
      <c r="K178" s="13"/>
    </row>
    <row r="179" customFormat="false" ht="15" hidden="false" customHeight="true" outlineLevel="0" collapsed="false">
      <c r="B179" s="103" t="s">
        <v>126</v>
      </c>
    </row>
    <row r="213" customFormat="false" ht="24" hidden="false" customHeight="true" outlineLevel="0" collapsed="false">
      <c r="B213" s="22" t="s">
        <v>127</v>
      </c>
      <c r="C213" s="21"/>
      <c r="D213" s="21"/>
      <c r="E213" s="21"/>
      <c r="F213" s="21"/>
      <c r="G213" s="21"/>
      <c r="H213" s="21"/>
      <c r="I213" s="21"/>
      <c r="J213" s="21"/>
    </row>
    <row r="214" customFormat="false" ht="4.5" hidden="false" customHeight="true" outlineLevel="0" collapsed="false">
      <c r="B214" s="23"/>
      <c r="C214" s="23"/>
      <c r="D214" s="23"/>
      <c r="E214" s="23"/>
      <c r="F214" s="23"/>
      <c r="G214" s="23"/>
      <c r="H214" s="23"/>
      <c r="I214" s="23"/>
      <c r="J214" s="23"/>
    </row>
    <row r="215" customFormat="false" ht="7.5" hidden="false" customHeight="true" outlineLevel="0" collapsed="false">
      <c r="B215" s="20"/>
      <c r="C215" s="20"/>
      <c r="D215" s="20"/>
      <c r="E215" s="20"/>
      <c r="F215" s="20"/>
      <c r="G215" s="20"/>
      <c r="H215" s="20"/>
      <c r="I215" s="20"/>
      <c r="J215" s="20"/>
    </row>
    <row r="216" customFormat="false" ht="15.75" hidden="false" customHeight="true" outlineLevel="0" collapsed="false">
      <c r="B216" s="84" t="s">
        <v>128</v>
      </c>
      <c r="C216" s="20"/>
      <c r="D216" s="20"/>
      <c r="E216" s="84" t="s">
        <v>129</v>
      </c>
      <c r="F216" s="20"/>
      <c r="G216" s="20"/>
      <c r="H216" s="84" t="s">
        <v>130</v>
      </c>
      <c r="I216" s="20"/>
      <c r="J216" s="20"/>
    </row>
    <row r="217" customFormat="false" ht="25.5" hidden="false" customHeight="true" outlineLevel="0" collapsed="false">
      <c r="B217" s="85" t="str">
        <f aca="false">'IC Summary'!G4</f>
        <v>ACCEPT</v>
      </c>
      <c r="C217" s="20"/>
      <c r="D217" s="20"/>
      <c r="E217" s="85" t="str">
        <f aca="false">TEXT('Power &amp; Space Capacity'!B23,"0.0")&amp;" MW usable"</f>
        <v>89.7 MW usable</v>
      </c>
      <c r="F217" s="20"/>
      <c r="G217" s="20"/>
      <c r="H217" s="85" t="str">
        <f aca="false">TEXT('Change Order Log'!D23/1000000,"$0.0")&amp;"M drawn"</f>
        <v>$19.5M drawn</v>
      </c>
      <c r="I217" s="20"/>
      <c r="J217" s="20"/>
    </row>
    <row r="218" customFormat="false" ht="15" hidden="false" customHeight="true" outlineLevel="0" collapsed="false">
      <c r="B218" s="87" t="str">
        <f aca="false">"Levered IRR "&amp;TEXT('IC Summary'!E12,"0.0%")&amp;"  ·  "&amp;TEXT('IC Summary'!E14,"0.00x")&amp;" multiple  ·  Unlevered "&amp;TEXT('IC Summary'!B12,"0.0%")</f>
        <v>Levered IRR 26.7%  ·  5.20x multiple  ·  Unlevered 17.4%</v>
      </c>
      <c r="C218" s="20"/>
      <c r="D218" s="20"/>
      <c r="E218" s="87" t="str">
        <f aca="false">"Binding: "&amp;LOWER('Power &amp; Space Capacity'!B24)&amp;"  ·  "&amp;TEXT('Power &amp; Space Capacity'!B54,"0.0%")&amp;" of design"</f>
        <v>Binding: standby generation  ·  99.7% of design</v>
      </c>
      <c r="F218" s="20"/>
      <c r="G218" s="20"/>
      <c r="H218" s="87" t="str">
        <f aca="false">TEXT('Change Order Log'!D24/1000000,"$0.0")&amp;"M of "&amp;TEXT('Change Order Log'!D4/1000000,"$0.0")&amp;"M remaining ("&amp;TEXT(1-'Change Order Log'!D25,"0%")&amp;")"</f>
        <v>$79.4M of $98.9M remaining (80%)</v>
      </c>
      <c r="I218" s="20"/>
      <c r="J218" s="20"/>
    </row>
    <row r="219" customFormat="false" ht="15" hidden="false" customHeight="true" outlineLevel="0" collapsed="false">
      <c r="B219" s="87" t="str">
        <f aca="false">"Stabilized value "&amp;TEXT('IC Summary'!E19/1000000000,"$0.00")&amp;"B  ·  dev. profit "&amp;TEXT('IC Summary'!E20/1000000,"$#,##0")&amp;"M"</f>
        <v>Stabilized value $2.54B  ·  dev. profit $1,024M</v>
      </c>
      <c r="C219" s="20"/>
      <c r="D219" s="20"/>
      <c r="E219" s="87" t="str">
        <f aca="false">TEXT('Power &amp; Space Capacity'!B55,"0.0")&amp;" MW stranded  ·  "&amp;TEXT('Power &amp; Space Capacity'!B29,"#,##0")&amp;" SF white space"</f>
        <v>10.3 MW stranded  ·  135,000 SF white space</v>
      </c>
      <c r="F219" s="20"/>
      <c r="G219" s="20"/>
      <c r="H219" s="87" t="str">
        <f aca="false">'Change Order Log'!D27</f>
        <v>● Healthy — over half of contingency remains</v>
      </c>
      <c r="I219" s="20"/>
      <c r="J219" s="20"/>
    </row>
    <row r="220" customFormat="false" ht="7.5" hidden="false" customHeight="true" outlineLevel="0" collapsed="false">
      <c r="B220" s="20"/>
      <c r="C220" s="20"/>
      <c r="D220" s="20"/>
      <c r="E220" s="20"/>
      <c r="F220" s="20"/>
      <c r="G220" s="20"/>
      <c r="H220" s="20"/>
      <c r="I220" s="20"/>
      <c r="J220" s="20"/>
    </row>
    <row r="221" customFormat="false" ht="15.75" hidden="false" customHeight="true" outlineLevel="0" collapsed="false">
      <c r="B221" s="84" t="s">
        <v>131</v>
      </c>
      <c r="C221" s="20"/>
      <c r="D221" s="20"/>
      <c r="E221" s="84" t="s">
        <v>132</v>
      </c>
      <c r="F221" s="20"/>
      <c r="G221" s="20"/>
      <c r="H221" s="84" t="s">
        <v>133</v>
      </c>
      <c r="I221" s="20"/>
      <c r="J221" s="20"/>
    </row>
    <row r="222" customFormat="false" ht="25.5" hidden="false" customHeight="true" outlineLevel="0" collapsed="false">
      <c r="B222" s="85" t="str">
        <f aca="false">TEXT('Carbon &amp; Sustainability'!B28/1000000,"0.00")&amp;"M tCO₂e"</f>
        <v>0.68M tCO₂e</v>
      </c>
      <c r="C222" s="20"/>
      <c r="D222" s="20"/>
      <c r="E222" s="85" t="str">
        <f aca="false">TEXT('Phased Capital Plan'!D21/1000000000,"$0.00")&amp;"B program"</f>
        <v>$1.98B program</v>
      </c>
      <c r="F222" s="20"/>
      <c r="G222" s="20"/>
      <c r="H222" s="85" t="str">
        <f aca="false">TEXT('Schedule Acceleration'!D7,"0")&amp;" days recovered"</f>
        <v>147 days recovered</v>
      </c>
      <c r="I222" s="20"/>
      <c r="J222" s="20"/>
    </row>
    <row r="223" customFormat="false" ht="15" hidden="false" customHeight="true" outlineLevel="0" collapsed="false">
      <c r="B223" s="87" t="str">
        <f aca="false">TEXT('Carbon &amp; Sustainability'!B31,"0.00")&amp;" tCO₂e/SF  ·  "&amp;TEXT('Carbon &amp; Sustainability'!B29,"0%")&amp;" embodied  ·  "&amp;'Carbon &amp; Sustainability'!E5&amp;" scenario"</f>
        <v>0.85 tCO₂e/SF  ·  58% embodied  ·  Efficient scenario</v>
      </c>
      <c r="C223" s="20"/>
      <c r="D223" s="20"/>
      <c r="E223" s="87" t="str">
        <f aca="false">TEXT('Phased Capital Plan'!D22,"0")&amp;" MW at build-out  ·  "&amp;TEXT('Phased Capital Plan'!D23/1000000,"$0.0")&amp;"M/MW blended"</f>
        <v>180 MW at build-out  ·  $11.0M/MW blended</v>
      </c>
      <c r="F223" s="20"/>
      <c r="G223" s="20"/>
      <c r="H223" s="87" t="str">
        <f aca="false">TEXT('Schedule Acceleration'!D10/1000000,"$0.0")&amp;"M premium  ·  "&amp;TEXT('Schedule Acceleration'!D11,"$#,##0")&amp;"/day"</f>
        <v>$17.8M premium  ·  $120,748/day</v>
      </c>
      <c r="I223" s="20"/>
      <c r="J223" s="20"/>
    </row>
    <row r="224" customFormat="false" ht="15" hidden="false" customHeight="true" outlineLevel="0" collapsed="false">
      <c r="B224" s="87" t="str">
        <f aca="false">"Water "&amp;TEXT('Carbon &amp; Sustainability'!B60,"#,##0")&amp;" ML/yr  ·  −"&amp;TEXT('Carbon &amp; Sustainability'!B48,"0%")&amp;" achievable with levers"</f>
        <v>Water 126 ML/yr  ·  −71% achievable with levers</v>
      </c>
      <c r="C224" s="20"/>
      <c r="D224" s="20"/>
      <c r="E224" s="87" t="str">
        <f aca="false">"Phase 1 "&amp;TEXT('Phased Capital Plan'!D24/1000000000,"$0.00")&amp;"B (ties to estimate)  ·  expansion "&amp;TEXT('Phased Capital Plan'!D25/1000000,"$#,##0")&amp;"M"</f>
        <v>Phase 1 $1.09B (ties to estimate)  ·  expansion $894M</v>
      </c>
      <c r="F224" s="20"/>
      <c r="G224" s="20"/>
      <c r="H224" s="87" t="str">
        <f aca="false">'Schedule Acceleration'!D12</f>
        <v>✓ YES — meets Q3 2028</v>
      </c>
      <c r="I224" s="20"/>
      <c r="J224" s="20"/>
    </row>
    <row r="225" customFormat="false" ht="7.5" hidden="false" customHeight="true" outlineLevel="0" collapsed="false">
      <c r="B225" s="20"/>
      <c r="C225" s="20"/>
      <c r="D225" s="20"/>
      <c r="E225" s="20"/>
      <c r="F225" s="20"/>
      <c r="G225" s="20"/>
      <c r="H225" s="20"/>
      <c r="I225" s="20"/>
      <c r="J225" s="20"/>
    </row>
    <row r="226" customFormat="false" ht="15.75" hidden="false" customHeight="true" outlineLevel="0" collapsed="false">
      <c r="B226" s="84" t="s">
        <v>134</v>
      </c>
      <c r="C226" s="20"/>
      <c r="D226" s="20"/>
      <c r="E226" s="104" t="s">
        <v>135</v>
      </c>
      <c r="F226" s="20"/>
      <c r="G226" s="20"/>
      <c r="H226" s="20"/>
      <c r="I226" s="20"/>
      <c r="J226" s="20"/>
    </row>
    <row r="227" customFormat="false" ht="25.5" hidden="false" customHeight="true" outlineLevel="0" collapsed="false">
      <c r="B227" s="85" t="str">
        <f aca="false">'Variance Tracker'!G28</f>
        <v>Awaiting bids</v>
      </c>
      <c r="C227" s="20"/>
      <c r="D227" s="20"/>
      <c r="E227" s="20"/>
      <c r="F227" s="20"/>
      <c r="G227" s="20"/>
      <c r="H227" s="20"/>
      <c r="I227" s="20"/>
      <c r="J227" s="20"/>
    </row>
    <row r="228" customFormat="false" ht="15" hidden="false" customHeight="true" outlineLevel="0" collapsed="false">
      <c r="B228" s="87" t="str">
        <f aca="false">"Budget "&amp;TEXT('Variance Tracker'!C28/1000000000,"$0.00")&amp;"B across 24 CSI divisions — sub bids plug into the tracker as received."</f>
        <v>Budget $1.09B across 24 CSI divisions — sub bids plug into the tracker as received.</v>
      </c>
      <c r="C228" s="20"/>
      <c r="D228" s="20"/>
      <c r="E228" s="20"/>
      <c r="F228" s="20"/>
      <c r="G228" s="20"/>
      <c r="H228" s="20"/>
      <c r="I228" s="20"/>
      <c r="J228" s="20"/>
    </row>
    <row r="229" customFormat="false" ht="7.5" hidden="false" customHeight="true" outlineLevel="0" collapsed="false">
      <c r="B229" s="20"/>
      <c r="C229" s="20"/>
      <c r="D229" s="20"/>
      <c r="E229" s="20"/>
      <c r="F229" s="20"/>
      <c r="G229" s="20"/>
      <c r="H229" s="20"/>
      <c r="I229" s="20"/>
      <c r="J229" s="20"/>
    </row>
    <row r="230" customFormat="false" ht="15" hidden="false" customHeight="true" outlineLevel="0" collapsed="false">
      <c r="B230" s="20"/>
      <c r="C230" s="20"/>
      <c r="D230" s="20"/>
      <c r="E230" s="20"/>
      <c r="F230" s="20"/>
      <c r="G230" s="20"/>
      <c r="H230" s="20"/>
      <c r="I230" s="20"/>
      <c r="J230" s="20"/>
    </row>
    <row r="231" customFormat="false" ht="18.75" hidden="false" customHeight="true" outlineLevel="0" collapsed="false">
      <c r="B231" s="82" t="s">
        <v>136</v>
      </c>
      <c r="C231" s="13"/>
      <c r="D231" s="13"/>
      <c r="E231" s="13"/>
      <c r="F231" s="13"/>
      <c r="G231" s="13"/>
      <c r="H231" s="13"/>
      <c r="I231" s="13"/>
      <c r="J231" s="13"/>
      <c r="K231" s="13"/>
    </row>
    <row r="232" customFormat="false" ht="15" hidden="false" customHeight="true" outlineLevel="0" collapsed="false">
      <c r="B232" s="103" t="s">
        <v>137</v>
      </c>
    </row>
  </sheetData>
  <mergeCells count="80">
    <mergeCell ref="A1:L1"/>
    <mergeCell ref="B3:K3"/>
    <mergeCell ref="B4:K4"/>
    <mergeCell ref="B5:K5"/>
    <mergeCell ref="B6:K6"/>
    <mergeCell ref="B18:K18"/>
    <mergeCell ref="B19:K19"/>
    <mergeCell ref="B20:D20"/>
    <mergeCell ref="E20:F20"/>
    <mergeCell ref="G20:H20"/>
    <mergeCell ref="I20:K20"/>
    <mergeCell ref="B21:D22"/>
    <mergeCell ref="E21:F22"/>
    <mergeCell ref="G21:H22"/>
    <mergeCell ref="I21:K22"/>
    <mergeCell ref="B23:D23"/>
    <mergeCell ref="E23:F23"/>
    <mergeCell ref="G23:H23"/>
    <mergeCell ref="I23:K23"/>
    <mergeCell ref="B24:K24"/>
    <mergeCell ref="B25:G25"/>
    <mergeCell ref="H25:K25"/>
    <mergeCell ref="B26:G26"/>
    <mergeCell ref="H26:K26"/>
    <mergeCell ref="B27:K27"/>
    <mergeCell ref="B37:K37"/>
    <mergeCell ref="B38:G38"/>
    <mergeCell ref="H38:K38"/>
    <mergeCell ref="B39:G39"/>
    <mergeCell ref="H39:K39"/>
    <mergeCell ref="B40:K40"/>
    <mergeCell ref="B41:G41"/>
    <mergeCell ref="B42:D43"/>
    <mergeCell ref="E42:G42"/>
    <mergeCell ref="E43:G43"/>
    <mergeCell ref="B44:G44"/>
    <mergeCell ref="B45:G45"/>
    <mergeCell ref="B46:G46"/>
    <mergeCell ref="B47:C47"/>
    <mergeCell ref="D47:E47"/>
    <mergeCell ref="F47:G47"/>
    <mergeCell ref="B48:C48"/>
    <mergeCell ref="D48:E48"/>
    <mergeCell ref="F48:G48"/>
    <mergeCell ref="B49:K49"/>
    <mergeCell ref="B52:K52"/>
    <mergeCell ref="B53:K53"/>
    <mergeCell ref="B54:K54"/>
    <mergeCell ref="B55:D55"/>
    <mergeCell ref="E55:G55"/>
    <mergeCell ref="H55:K55"/>
    <mergeCell ref="B56:D56"/>
    <mergeCell ref="E56:G56"/>
    <mergeCell ref="H56:K56"/>
    <mergeCell ref="B57:D57"/>
    <mergeCell ref="E57:G57"/>
    <mergeCell ref="H57:K57"/>
    <mergeCell ref="B58:D59"/>
    <mergeCell ref="E58:G59"/>
    <mergeCell ref="H58:K59"/>
    <mergeCell ref="B60:K60"/>
    <mergeCell ref="B63:F63"/>
    <mergeCell ref="G63:K63"/>
    <mergeCell ref="B68:K68"/>
    <mergeCell ref="B69:K69"/>
    <mergeCell ref="B70:K70"/>
    <mergeCell ref="B71:D71"/>
    <mergeCell ref="E71:G71"/>
    <mergeCell ref="H71:K71"/>
    <mergeCell ref="B72:D72"/>
    <mergeCell ref="E72:G72"/>
    <mergeCell ref="H72:K72"/>
    <mergeCell ref="B73:D73"/>
    <mergeCell ref="E73:G73"/>
    <mergeCell ref="H73:K73"/>
    <mergeCell ref="B74:D75"/>
    <mergeCell ref="E74:G75"/>
    <mergeCell ref="H74:K75"/>
    <mergeCell ref="B97:K97"/>
    <mergeCell ref="B98:K98"/>
  </mergeCells>
  <printOptions headings="false" gridLines="false" gridLinesSet="true" horizontalCentered="true" verticalCentered="false"/>
  <pageMargins left="0.625" right="0.625" top="0.25" bottom="0.25" header="0.511811023622047" footer="0.511811023622047"/>
  <pageSetup paperSize="77" scale="72" fitToWidth="1" fitToHeight="1" pageOrder="downThenOver" orientation="landscape" blackAndWhite="false" draft="false" cellComments="none" horizontalDpi="300" verticalDpi="300" copies="1"/>
  <headerFooter differentFirst="false" differentOddEven="false">
    <oddHeader/>
    <oddFooter/>
  </headerFooter>
  <rowBreaks count="6" manualBreakCount="6">
    <brk id="40" man="true" max="16383" min="0"/>
    <brk id="67" man="true" max="16383" min="0"/>
    <brk id="96" man="true" max="16383" min="0"/>
    <brk id="141" man="true" max="16383" min="0"/>
    <brk id="177" man="true" max="16383" min="0"/>
    <brk id="212" man="true" max="16383" min="0"/>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H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45" activeCellId="0" sqref="E45"/>
    </sheetView>
  </sheetViews>
  <sheetFormatPr defaultColWidth="8.57421875" defaultRowHeight="15" zeroHeight="false" outlineLevelRow="0" outlineLevelCol="0"/>
  <cols>
    <col collapsed="false" customWidth="true" hidden="false" outlineLevel="0" max="1" min="1" style="1" width="30"/>
    <col collapsed="false" customWidth="true" hidden="false" outlineLevel="0" max="5" min="2" style="1" width="22"/>
    <col collapsed="false" customWidth="true" hidden="false" outlineLevel="0" max="6" min="6" style="1" width="14"/>
    <col collapsed="false" customWidth="true" hidden="false" outlineLevel="0" max="8" min="7" style="1" width="12"/>
  </cols>
  <sheetData>
    <row r="1" customFormat="false" ht="27.75" hidden="false" customHeight="true" outlineLevel="0" collapsed="false">
      <c r="A1" s="105" t="s">
        <v>138</v>
      </c>
      <c r="B1" s="105"/>
      <c r="C1" s="105"/>
      <c r="D1" s="105"/>
      <c r="E1" s="105"/>
      <c r="F1" s="105"/>
    </row>
    <row r="2" customFormat="false" ht="15" hidden="false" customHeight="true" outlineLevel="0" collapsed="false">
      <c r="A2" s="3" t="s">
        <v>139</v>
      </c>
      <c r="B2" s="3"/>
      <c r="C2" s="3"/>
      <c r="D2" s="3"/>
      <c r="E2" s="3"/>
      <c r="F2" s="3"/>
    </row>
    <row r="4" customFormat="false" ht="15" hidden="false" customHeight="true" outlineLevel="0" collapsed="false">
      <c r="A4" s="7" t="s">
        <v>140</v>
      </c>
      <c r="B4" s="7"/>
      <c r="C4" s="7"/>
      <c r="D4" s="7"/>
      <c r="E4" s="7"/>
      <c r="F4" s="7"/>
    </row>
    <row r="5" customFormat="false" ht="15" hidden="false" customHeight="true" outlineLevel="0" collapsed="false">
      <c r="A5" s="106" t="s">
        <v>141</v>
      </c>
      <c r="B5" s="107" t="s">
        <v>142</v>
      </c>
    </row>
    <row r="6" customFormat="false" ht="15" hidden="false" customHeight="true" outlineLevel="0" collapsed="false">
      <c r="A6" s="108" t="s">
        <v>143</v>
      </c>
      <c r="B6" s="108"/>
    </row>
    <row r="7" customFormat="false" ht="15" hidden="false" customHeight="true" outlineLevel="0" collapsed="false">
      <c r="A7" s="106" t="s">
        <v>144</v>
      </c>
      <c r="B7" s="60" t="str">
        <f aca="false">VLOOKUP($B$5,$A$32:$H$36,2,FALSE())</f>
        <v>Tier III</v>
      </c>
    </row>
    <row r="8" customFormat="false" ht="15" hidden="false" customHeight="true" outlineLevel="0" collapsed="false">
      <c r="A8" s="106" t="s">
        <v>145</v>
      </c>
      <c r="B8" s="60" t="str">
        <f aca="false">VLOOKUP($B$5,$A$32:$H$36,3,FALSE())</f>
        <v>N+1</v>
      </c>
    </row>
    <row r="9" customFormat="false" ht="15" hidden="false" customHeight="true" outlineLevel="0" collapsed="false">
      <c r="A9" s="106" t="s">
        <v>146</v>
      </c>
      <c r="B9" s="60" t="str">
        <f aca="false">VLOOKUP($B$5,$A$32:$H$36,4,FALSE())</f>
        <v>High (15–30 kW)</v>
      </c>
    </row>
    <row r="10" customFormat="false" ht="15" hidden="false" customHeight="true" outlineLevel="0" collapsed="false">
      <c r="A10" s="106" t="s">
        <v>147</v>
      </c>
      <c r="B10" s="60" t="str">
        <f aca="false">VLOOKUP($B$5,$A$32:$H$36,5,FALSE())</f>
        <v>Hybrid (As-Designed)</v>
      </c>
    </row>
    <row r="11" customFormat="false" ht="15" hidden="false" customHeight="true" outlineLevel="0" collapsed="false">
      <c r="A11" s="106" t="s">
        <v>148</v>
      </c>
      <c r="B11" s="60" t="str">
        <f aca="false">VLOOKUP($B$5,$A$32:$H$36,6,FALSE())</f>
        <v>Mid</v>
      </c>
    </row>
    <row r="12" customFormat="false" ht="15" hidden="false" customHeight="true" outlineLevel="0" collapsed="false">
      <c r="A12" s="106" t="s">
        <v>149</v>
      </c>
      <c r="B12" s="60" t="str">
        <f aca="false">TEXT(VLOOKUP($B$5,$A$32:$H$36,7,FALSE()),"$0.0")&amp;"M – "&amp;TEXT(VLOOKUP($B$5,$A$32:$H$36,8,FALSE()),"$0.0")&amp;"M / MW"</f>
        <v>$9.5M – $14.0M / MW</v>
      </c>
    </row>
    <row r="14" customFormat="false" ht="15" hidden="false" customHeight="true" outlineLevel="0" collapsed="false">
      <c r="A14" s="7" t="s">
        <v>150</v>
      </c>
      <c r="B14" s="7"/>
      <c r="C14" s="7"/>
      <c r="D14" s="7"/>
      <c r="E14" s="7"/>
      <c r="F14" s="7"/>
    </row>
    <row r="15" customFormat="false" ht="15" hidden="false" customHeight="true" outlineLevel="0" collapsed="false">
      <c r="A15" s="106" t="s">
        <v>148</v>
      </c>
      <c r="B15" s="107" t="s">
        <v>151</v>
      </c>
      <c r="C15" s="3" t="s">
        <v>152</v>
      </c>
      <c r="D15" s="3"/>
      <c r="E15" s="3"/>
      <c r="F15" s="3"/>
    </row>
    <row r="16" customFormat="false" ht="15" hidden="false" customHeight="true" outlineLevel="0" collapsed="false">
      <c r="A16" s="106" t="s">
        <v>147</v>
      </c>
      <c r="B16" s="107" t="s">
        <v>153</v>
      </c>
      <c r="C16" s="3" t="s">
        <v>154</v>
      </c>
      <c r="D16" s="3"/>
      <c r="E16" s="3"/>
      <c r="F16" s="3"/>
    </row>
    <row r="17" customFormat="false" ht="15" hidden="false" customHeight="true" outlineLevel="0" collapsed="false">
      <c r="A17" s="106" t="s">
        <v>144</v>
      </c>
      <c r="B17" s="107" t="s">
        <v>155</v>
      </c>
      <c r="C17" s="3" t="s">
        <v>156</v>
      </c>
      <c r="D17" s="3"/>
      <c r="E17" s="3"/>
      <c r="F17" s="3"/>
    </row>
    <row r="18" customFormat="false" ht="15" hidden="false" customHeight="true" outlineLevel="0" collapsed="false">
      <c r="A18" s="106" t="s">
        <v>145</v>
      </c>
      <c r="B18" s="107" t="s">
        <v>157</v>
      </c>
      <c r="C18" s="3" t="s">
        <v>158</v>
      </c>
      <c r="D18" s="3"/>
      <c r="E18" s="3"/>
      <c r="F18" s="3"/>
    </row>
    <row r="19" customFormat="false" ht="15" hidden="false" customHeight="true" outlineLevel="0" collapsed="false">
      <c r="A19" s="106" t="s">
        <v>146</v>
      </c>
      <c r="B19" s="107" t="s">
        <v>159</v>
      </c>
      <c r="C19" s="3" t="s">
        <v>160</v>
      </c>
      <c r="D19" s="3"/>
      <c r="E19" s="3"/>
      <c r="F19" s="3"/>
    </row>
    <row r="21" customFormat="false" ht="15" hidden="false" customHeight="true" outlineLevel="0" collapsed="false">
      <c r="A21" s="7" t="s">
        <v>161</v>
      </c>
      <c r="B21" s="7"/>
      <c r="C21" s="7"/>
      <c r="D21" s="7"/>
      <c r="E21" s="7"/>
      <c r="F21" s="7"/>
    </row>
    <row r="22" customFormat="false" ht="15" hidden="false" customHeight="true" outlineLevel="0" collapsed="false">
      <c r="A22" s="106" t="s">
        <v>162</v>
      </c>
      <c r="B22" s="109" t="n">
        <f aca="false">'Campus Rollup'!H16</f>
        <v>1088341827.06739</v>
      </c>
    </row>
    <row r="23" customFormat="false" ht="15" hidden="false" customHeight="true" outlineLevel="0" collapsed="false">
      <c r="A23" s="106" t="s">
        <v>163</v>
      </c>
      <c r="B23" s="109" t="n">
        <f aca="false">IF('Campus Rollup'!D16=0,"—",'Campus Rollup'!H16/'Campus Rollup'!D16)</f>
        <v>12092686.9674155</v>
      </c>
    </row>
    <row r="24" customFormat="false" ht="15" hidden="false" customHeight="true" outlineLevel="0" collapsed="false">
      <c r="A24" s="106" t="s">
        <v>164</v>
      </c>
      <c r="B24" s="60" t="str">
        <f aca="false">B12</f>
        <v>$9.5M – $14.0M / MW</v>
      </c>
    </row>
    <row r="25" customFormat="false" ht="15" hidden="false" customHeight="true" outlineLevel="0" collapsed="false">
      <c r="A25" s="106" t="s">
        <v>165</v>
      </c>
      <c r="B25" s="110" t="str">
        <f aca="false">IF('Campus Rollup'!D16=0,"—",IF('Campus Rollup'!H16/'Campus Rollup'!D16&lt;VLOOKUP($B$5,$A$32:$H$36,7,FALSE())*1000000,"▼ Below archetype band",IF('Campus Rollup'!H16/'Campus Rollup'!D16&gt;VLOOKUP($B$5,$A$32:$H$36,8,FALSE())*1000000,"▲ Above archetype band — review scope / density","● Within archetype band")))</f>
        <v>● Within archetype band</v>
      </c>
      <c r="C25" s="110"/>
      <c r="D25" s="110"/>
      <c r="E25" s="110"/>
    </row>
    <row r="29" customFormat="false" ht="15" hidden="false" customHeight="true" outlineLevel="0" collapsed="false">
      <c r="A29" s="108" t="s">
        <v>166</v>
      </c>
      <c r="B29" s="108"/>
      <c r="C29" s="108"/>
      <c r="D29" s="108"/>
      <c r="E29" s="108"/>
      <c r="F29" s="108"/>
      <c r="G29" s="108"/>
      <c r="H29" s="108"/>
    </row>
    <row r="31" customFormat="false" ht="15" hidden="false" customHeight="true" outlineLevel="0" collapsed="false">
      <c r="A31" s="111" t="s">
        <v>167</v>
      </c>
      <c r="B31" s="111" t="s">
        <v>168</v>
      </c>
      <c r="C31" s="111" t="s">
        <v>169</v>
      </c>
      <c r="D31" s="111" t="s">
        <v>170</v>
      </c>
      <c r="E31" s="111" t="s">
        <v>119</v>
      </c>
      <c r="F31" s="111" t="s">
        <v>171</v>
      </c>
      <c r="G31" s="111" t="s">
        <v>172</v>
      </c>
      <c r="H31" s="111" t="s">
        <v>173</v>
      </c>
    </row>
    <row r="32" customFormat="false" ht="15" hidden="false" customHeight="true" outlineLevel="0" collapsed="false">
      <c r="A32" s="15" t="s">
        <v>142</v>
      </c>
      <c r="B32" s="15" t="s">
        <v>155</v>
      </c>
      <c r="C32" s="15" t="s">
        <v>157</v>
      </c>
      <c r="D32" s="15" t="s">
        <v>159</v>
      </c>
      <c r="E32" s="15" t="s">
        <v>174</v>
      </c>
      <c r="F32" s="15" t="s">
        <v>175</v>
      </c>
      <c r="G32" s="48" t="n">
        <v>9.5</v>
      </c>
      <c r="H32" s="48" t="n">
        <v>14</v>
      </c>
    </row>
    <row r="33" customFormat="false" ht="15" hidden="false" customHeight="true" outlineLevel="0" collapsed="false">
      <c r="A33" s="15" t="s">
        <v>81</v>
      </c>
      <c r="B33" s="15" t="s">
        <v>176</v>
      </c>
      <c r="C33" s="15" t="s">
        <v>177</v>
      </c>
      <c r="D33" s="15" t="s">
        <v>178</v>
      </c>
      <c r="E33" s="15" t="s">
        <v>179</v>
      </c>
      <c r="F33" s="15" t="s">
        <v>175</v>
      </c>
      <c r="G33" s="48" t="n">
        <v>11</v>
      </c>
      <c r="H33" s="48" t="n">
        <v>16</v>
      </c>
    </row>
    <row r="34" customFormat="false" ht="15" hidden="false" customHeight="true" outlineLevel="0" collapsed="false">
      <c r="A34" s="15" t="s">
        <v>82</v>
      </c>
      <c r="B34" s="15" t="s">
        <v>155</v>
      </c>
      <c r="C34" s="15" t="s">
        <v>157</v>
      </c>
      <c r="D34" s="15" t="s">
        <v>178</v>
      </c>
      <c r="E34" s="15" t="s">
        <v>179</v>
      </c>
      <c r="F34" s="15" t="s">
        <v>175</v>
      </c>
      <c r="G34" s="48" t="n">
        <v>10</v>
      </c>
      <c r="H34" s="48" t="n">
        <v>15</v>
      </c>
    </row>
    <row r="35" customFormat="false" ht="15" hidden="false" customHeight="true" outlineLevel="0" collapsed="false">
      <c r="A35" s="15" t="s">
        <v>83</v>
      </c>
      <c r="B35" s="15" t="s">
        <v>180</v>
      </c>
      <c r="C35" s="15" t="s">
        <v>157</v>
      </c>
      <c r="D35" s="15" t="s">
        <v>181</v>
      </c>
      <c r="E35" s="15" t="s">
        <v>179</v>
      </c>
      <c r="F35" s="15" t="s">
        <v>151</v>
      </c>
      <c r="G35" s="48" t="n">
        <v>8</v>
      </c>
      <c r="H35" s="48" t="n">
        <v>13</v>
      </c>
    </row>
    <row r="36" customFormat="false" ht="15" hidden="false" customHeight="true" outlineLevel="0" collapsed="false">
      <c r="A36" s="15" t="s">
        <v>182</v>
      </c>
      <c r="B36" s="15" t="s">
        <v>176</v>
      </c>
      <c r="C36" s="15" t="s">
        <v>177</v>
      </c>
      <c r="D36" s="15" t="s">
        <v>183</v>
      </c>
      <c r="E36" s="15" t="s">
        <v>153</v>
      </c>
      <c r="F36" s="15" t="s">
        <v>184</v>
      </c>
      <c r="G36" s="48" t="n">
        <v>14</v>
      </c>
      <c r="H36" s="48" t="n">
        <v>22</v>
      </c>
    </row>
    <row r="38" customFormat="false" ht="15" hidden="false" customHeight="true" outlineLevel="0" collapsed="false">
      <c r="A38" s="108" t="s">
        <v>185</v>
      </c>
      <c r="B38" s="108"/>
      <c r="C38" s="108"/>
      <c r="D38" s="108"/>
    </row>
    <row r="39" customFormat="false" ht="15" hidden="false" customHeight="true" outlineLevel="0" collapsed="false">
      <c r="A39" s="111" t="s">
        <v>186</v>
      </c>
      <c r="B39" s="111" t="s">
        <v>187</v>
      </c>
      <c r="C39" s="111" t="s">
        <v>188</v>
      </c>
      <c r="D39" s="111" t="s">
        <v>189</v>
      </c>
    </row>
    <row r="40" customFormat="false" ht="15" hidden="false" customHeight="true" outlineLevel="0" collapsed="false">
      <c r="A40" s="15" t="s">
        <v>174</v>
      </c>
      <c r="B40" s="48" t="n">
        <v>1</v>
      </c>
      <c r="C40" s="48" t="n">
        <v>1</v>
      </c>
      <c r="D40" s="48" t="n">
        <v>1</v>
      </c>
    </row>
    <row r="41" customFormat="false" ht="15" hidden="false" customHeight="true" outlineLevel="0" collapsed="false">
      <c r="A41" s="15" t="s">
        <v>179</v>
      </c>
      <c r="B41" s="48" t="n">
        <v>1</v>
      </c>
      <c r="C41" s="48" t="n">
        <v>1</v>
      </c>
      <c r="D41" s="48" t="n">
        <v>0</v>
      </c>
    </row>
    <row r="42" customFormat="false" ht="15" hidden="false" customHeight="true" outlineLevel="0" collapsed="false">
      <c r="A42" s="15" t="s">
        <v>153</v>
      </c>
      <c r="B42" s="48" t="n">
        <v>0.4</v>
      </c>
      <c r="C42" s="48" t="n">
        <v>0.6</v>
      </c>
      <c r="D42" s="48" t="n">
        <v>1</v>
      </c>
    </row>
    <row r="43" customFormat="false" ht="15" hidden="false" customHeight="true" outlineLevel="0" collapsed="false">
      <c r="A43" s="15" t="s">
        <v>190</v>
      </c>
      <c r="B43" s="48" t="n">
        <v>0.2</v>
      </c>
      <c r="C43" s="48" t="n">
        <v>0.5</v>
      </c>
      <c r="D43" s="48" t="n">
        <v>1.1</v>
      </c>
    </row>
    <row r="45" customFormat="false" ht="15" hidden="false" customHeight="true" outlineLevel="0" collapsed="false">
      <c r="A45" s="112" t="s">
        <v>191</v>
      </c>
      <c r="B45" s="113" t="n">
        <f aca="false">INDEX($B$40:$B$43,MATCH($B$16,$A$40:$A$43,0))</f>
        <v>0.4</v>
      </c>
      <c r="C45" s="113" t="n">
        <f aca="false">INDEX($C$40:$C$43,MATCH($B$16,$A$40:$A$43,0))</f>
        <v>0.6</v>
      </c>
      <c r="D45" s="113" t="n">
        <f aca="false">INDEX($D$40:$D$43,MATCH($B$16,$A$40:$A$43,0))</f>
        <v>1</v>
      </c>
    </row>
    <row r="47" customFormat="false" ht="15" hidden="false" customHeight="true" outlineLevel="0" collapsed="false">
      <c r="A47" s="108" t="s">
        <v>192</v>
      </c>
      <c r="B47" s="108"/>
      <c r="C47" s="108"/>
      <c r="D47" s="108"/>
    </row>
    <row r="48" customFormat="false" ht="15" hidden="false" customHeight="true" outlineLevel="0" collapsed="false">
      <c r="A48" s="111" t="s">
        <v>169</v>
      </c>
      <c r="B48" s="111" t="s">
        <v>193</v>
      </c>
    </row>
    <row r="49" customFormat="false" ht="15" hidden="false" customHeight="true" outlineLevel="0" collapsed="false">
      <c r="A49" s="15" t="s">
        <v>194</v>
      </c>
      <c r="B49" s="48" t="n">
        <v>0.85</v>
      </c>
    </row>
    <row r="50" customFormat="false" ht="15" hidden="false" customHeight="true" outlineLevel="0" collapsed="false">
      <c r="A50" s="15" t="s">
        <v>157</v>
      </c>
      <c r="B50" s="48" t="n">
        <v>1</v>
      </c>
    </row>
    <row r="51" customFormat="false" ht="15" hidden="false" customHeight="true" outlineLevel="0" collapsed="false">
      <c r="A51" s="15" t="s">
        <v>177</v>
      </c>
      <c r="B51" s="48" t="n">
        <v>1.8</v>
      </c>
    </row>
    <row r="52" customFormat="false" ht="15" hidden="false" customHeight="true" outlineLevel="0" collapsed="false">
      <c r="A52" s="15" t="s">
        <v>195</v>
      </c>
      <c r="B52" s="48" t="n">
        <v>2</v>
      </c>
    </row>
    <row r="54" customFormat="false" ht="15" hidden="false" customHeight="true" outlineLevel="0" collapsed="false">
      <c r="A54" s="112" t="s">
        <v>196</v>
      </c>
      <c r="B54" s="113" t="n">
        <f aca="false">INDEX($B$49:$B$52,MATCH($B$18,$A$49:$A$52,0))</f>
        <v>1</v>
      </c>
    </row>
    <row r="56" customFormat="false" ht="15" hidden="false" customHeight="true" outlineLevel="0" collapsed="false">
      <c r="A56" s="108" t="s">
        <v>197</v>
      </c>
      <c r="B56" s="108"/>
      <c r="C56" s="108"/>
      <c r="D56" s="108"/>
    </row>
    <row r="57" customFormat="false" ht="15" hidden="false" customHeight="true" outlineLevel="0" collapsed="false">
      <c r="A57" s="111" t="s">
        <v>198</v>
      </c>
      <c r="B57" s="111" t="s">
        <v>193</v>
      </c>
    </row>
    <row r="58" customFormat="false" ht="15" hidden="false" customHeight="true" outlineLevel="0" collapsed="false">
      <c r="A58" s="15" t="s">
        <v>181</v>
      </c>
      <c r="B58" s="48" t="n">
        <v>0.9</v>
      </c>
    </row>
    <row r="59" customFormat="false" ht="15" hidden="false" customHeight="true" outlineLevel="0" collapsed="false">
      <c r="A59" s="15" t="s">
        <v>178</v>
      </c>
      <c r="B59" s="48" t="n">
        <v>0.95</v>
      </c>
    </row>
    <row r="60" customFormat="false" ht="15" hidden="false" customHeight="true" outlineLevel="0" collapsed="false">
      <c r="A60" s="15" t="s">
        <v>159</v>
      </c>
      <c r="B60" s="48" t="n">
        <v>1</v>
      </c>
    </row>
    <row r="61" customFormat="false" ht="15" hidden="false" customHeight="true" outlineLevel="0" collapsed="false">
      <c r="A61" s="15" t="s">
        <v>183</v>
      </c>
      <c r="B61" s="48" t="n">
        <v>1.15</v>
      </c>
    </row>
    <row r="63" customFormat="false" ht="15" hidden="false" customHeight="true" outlineLevel="0" collapsed="false">
      <c r="A63" s="112" t="s">
        <v>199</v>
      </c>
      <c r="B63" s="113" t="n">
        <f aca="false">INDEX($B$58:$B$61,MATCH($B$19,$A$58:$A$61,0))</f>
        <v>1</v>
      </c>
    </row>
    <row r="65" customFormat="false" ht="15" hidden="false" customHeight="true" outlineLevel="0" collapsed="false">
      <c r="A65" s="114" t="s">
        <v>200</v>
      </c>
      <c r="B65" s="115" t="n">
        <v>0.3</v>
      </c>
      <c r="C65" s="114" t="s">
        <v>201</v>
      </c>
    </row>
    <row r="66" customFormat="false" ht="15" hidden="false" customHeight="true" outlineLevel="0" collapsed="false">
      <c r="A66" s="114" t="s">
        <v>202</v>
      </c>
      <c r="B66" s="116" t="n">
        <f aca="false">(1-$B$65)+$B$65*$B$54</f>
        <v>1</v>
      </c>
      <c r="C66" s="114" t="s">
        <v>203</v>
      </c>
    </row>
    <row r="67" customFormat="false" ht="15" hidden="false" customHeight="true" outlineLevel="0" collapsed="false">
      <c r="A67" s="114" t="s">
        <v>204</v>
      </c>
      <c r="B67" s="116" t="n">
        <f aca="false">$B$66*$B$63</f>
        <v>1</v>
      </c>
      <c r="C67" s="114" t="s">
        <v>205</v>
      </c>
    </row>
  </sheetData>
  <mergeCells count="16">
    <mergeCell ref="A1:F1"/>
    <mergeCell ref="A2:F2"/>
    <mergeCell ref="A4:F4"/>
    <mergeCell ref="A6:B6"/>
    <mergeCell ref="A14:F14"/>
    <mergeCell ref="C15:F15"/>
    <mergeCell ref="C16:F16"/>
    <mergeCell ref="C17:F17"/>
    <mergeCell ref="C18:F18"/>
    <mergeCell ref="C19:F19"/>
    <mergeCell ref="A21:F21"/>
    <mergeCell ref="B25:E25"/>
    <mergeCell ref="A29:H29"/>
    <mergeCell ref="A38:D38"/>
    <mergeCell ref="A47:D47"/>
    <mergeCell ref="A56:D56"/>
  </mergeCells>
  <dataValidations count="6">
    <dataValidation allowBlank="false" errorStyle="stop" operator="between" showDropDown="false" showErrorMessage="false" showInputMessage="false" sqref="B5" type="list">
      <formula1>"Hyperscale,Enterprise,Colocation,Edge,AI / HPC"</formula1>
      <formula2>0</formula2>
    </dataValidation>
    <dataValidation allowBlank="false" errorStyle="stop" operator="between" showDropDown="false" showErrorMessage="false" showInputMessage="false" sqref="B17" type="list">
      <formula1>"Tier II,Tier III,Tier III+,Tier IV"</formula1>
      <formula2>0</formula2>
    </dataValidation>
    <dataValidation allowBlank="false" errorStyle="stop" operator="between" showDropDown="false" showErrorMessage="false" showInputMessage="false" sqref="B18" type="list">
      <formula1>"N,N+1,2N,2N+1"</formula1>
      <formula2>0</formula2>
    </dataValidation>
    <dataValidation allowBlank="false" errorStyle="stop" operator="between" showDropDown="false" showErrorMessage="false" showInputMessage="false" sqref="B19" type="list">
      <formula1>"Low (≤8 kW),Medium (8–15 kW),High (15–30 kW),Ultra (30+ kW)"</formula1>
      <formula2>0</formula2>
    </dataValidation>
    <dataValidation allowBlank="true" errorStyle="stop" operator="between" showDropDown="false" showErrorMessage="true" showInputMessage="true" sqref="B15" type="list">
      <formula1>"Low,Mid,High"</formula1>
      <formula2>0</formula2>
    </dataValidation>
    <dataValidation allowBlank="true" errorStyle="stop" operator="between" showDropDown="false" showErrorMessage="true" showInputMessage="true" sqref="B16" type="list">
      <formula1>$A$40:$A$43</formula1>
      <formula2>0</formula2>
    </dataValidation>
  </dataValidation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H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36" activeCellId="0" sqref="D36"/>
    </sheetView>
  </sheetViews>
  <sheetFormatPr defaultColWidth="8.57421875" defaultRowHeight="15" zeroHeight="false" outlineLevelRow="0" outlineLevelCol="0"/>
  <cols>
    <col collapsed="false" customWidth="true" hidden="false" outlineLevel="0" max="1" min="1" style="1" width="39"/>
    <col collapsed="false" customWidth="true" hidden="false" outlineLevel="0" max="8" min="2" style="1" width="21"/>
  </cols>
  <sheetData>
    <row r="1" customFormat="false" ht="27.75" hidden="false" customHeight="true" outlineLevel="0" collapsed="false">
      <c r="A1" s="105" t="s">
        <v>206</v>
      </c>
      <c r="B1" s="105"/>
      <c r="C1" s="105"/>
      <c r="D1" s="105"/>
      <c r="E1" s="105"/>
      <c r="F1" s="117"/>
      <c r="G1" s="117"/>
      <c r="H1" s="117"/>
    </row>
    <row r="2" customFormat="false" ht="15" hidden="false" customHeight="true" outlineLevel="0" collapsed="false">
      <c r="A2" s="3" t="s">
        <v>207</v>
      </c>
      <c r="B2" s="3"/>
      <c r="C2" s="3"/>
      <c r="D2" s="3"/>
      <c r="E2" s="3"/>
      <c r="F2" s="118"/>
      <c r="G2" s="118"/>
      <c r="H2" s="118"/>
    </row>
    <row r="3" customFormat="false" ht="15.75" hidden="false" customHeight="true" outlineLevel="0" collapsed="false"/>
    <row r="4" customFormat="false" ht="15" hidden="false" customHeight="true" outlineLevel="0" collapsed="false">
      <c r="B4" s="119" t="s">
        <v>208</v>
      </c>
      <c r="D4" s="120"/>
      <c r="F4" s="120"/>
      <c r="G4" s="120"/>
    </row>
    <row r="5" customFormat="false" ht="30" hidden="false" customHeight="true" outlineLevel="0" collapsed="false">
      <c r="A5" s="121" t="s">
        <v>209</v>
      </c>
      <c r="B5" s="122" t="s">
        <v>210</v>
      </c>
      <c r="C5" s="123" t="s">
        <v>211</v>
      </c>
      <c r="D5" s="124" t="s">
        <v>212</v>
      </c>
      <c r="E5" s="123" t="s">
        <v>213</v>
      </c>
      <c r="F5" s="124" t="s">
        <v>81</v>
      </c>
      <c r="G5" s="124" t="s">
        <v>82</v>
      </c>
      <c r="H5" s="123" t="s">
        <v>83</v>
      </c>
    </row>
    <row r="6" customFormat="false" ht="15" hidden="false" customHeight="true" outlineLevel="0" collapsed="false">
      <c r="A6" s="125" t="s">
        <v>214</v>
      </c>
      <c r="B6" s="126" t="str">
        <f aca="false">'Scenario &amp; Presets'!B15</f>
        <v>Low</v>
      </c>
      <c r="C6" s="127" t="s">
        <v>175</v>
      </c>
      <c r="D6" s="127" t="s">
        <v>175</v>
      </c>
      <c r="E6" s="127" t="s">
        <v>184</v>
      </c>
      <c r="F6" s="127" t="s">
        <v>175</v>
      </c>
      <c r="G6" s="127" t="s">
        <v>175</v>
      </c>
      <c r="H6" s="127" t="s">
        <v>151</v>
      </c>
    </row>
    <row r="7" customFormat="false" ht="15" hidden="false" customHeight="true" outlineLevel="0" collapsed="false">
      <c r="A7" s="125" t="s">
        <v>119</v>
      </c>
      <c r="B7" s="126" t="str">
        <f aca="false">'Scenario &amp; Presets'!B16</f>
        <v>Liquid-Cooled (DLC)</v>
      </c>
      <c r="C7" s="127" t="s">
        <v>174</v>
      </c>
      <c r="D7" s="127" t="s">
        <v>179</v>
      </c>
      <c r="E7" s="127" t="s">
        <v>153</v>
      </c>
      <c r="F7" s="127" t="s">
        <v>179</v>
      </c>
      <c r="G7" s="127" t="s">
        <v>179</v>
      </c>
      <c r="H7" s="127" t="s">
        <v>179</v>
      </c>
    </row>
    <row r="8" customFormat="false" ht="15" hidden="false" customHeight="true" outlineLevel="0" collapsed="false">
      <c r="A8" s="125" t="s">
        <v>215</v>
      </c>
      <c r="B8" s="126" t="str">
        <f aca="false">'Scenario &amp; Presets'!B17</f>
        <v>Tier III</v>
      </c>
      <c r="C8" s="127" t="s">
        <v>155</v>
      </c>
      <c r="D8" s="127" t="s">
        <v>155</v>
      </c>
      <c r="E8" s="127" t="s">
        <v>176</v>
      </c>
      <c r="F8" s="127" t="s">
        <v>176</v>
      </c>
      <c r="G8" s="127" t="s">
        <v>155</v>
      </c>
      <c r="H8" s="127" t="s">
        <v>180</v>
      </c>
    </row>
    <row r="9" customFormat="false" ht="15" hidden="false" customHeight="true" outlineLevel="0" collapsed="false">
      <c r="A9" s="125" t="s">
        <v>169</v>
      </c>
      <c r="B9" s="126" t="str">
        <f aca="false">'Scenario &amp; Presets'!B18</f>
        <v>N+1</v>
      </c>
      <c r="C9" s="127" t="s">
        <v>157</v>
      </c>
      <c r="D9" s="127" t="s">
        <v>157</v>
      </c>
      <c r="E9" s="127" t="s">
        <v>177</v>
      </c>
      <c r="F9" s="127" t="s">
        <v>177</v>
      </c>
      <c r="G9" s="127" t="s">
        <v>157</v>
      </c>
      <c r="H9" s="127" t="s">
        <v>157</v>
      </c>
    </row>
    <row r="10" customFormat="false" ht="15" hidden="false" customHeight="true" outlineLevel="0" collapsed="false">
      <c r="A10" s="125" t="s">
        <v>170</v>
      </c>
      <c r="B10" s="126" t="str">
        <f aca="false">'Scenario &amp; Presets'!B19</f>
        <v>High (15–30 kW)</v>
      </c>
      <c r="C10" s="127" t="s">
        <v>159</v>
      </c>
      <c r="D10" s="127" t="s">
        <v>159</v>
      </c>
      <c r="E10" s="127" t="s">
        <v>183</v>
      </c>
      <c r="F10" s="127" t="s">
        <v>178</v>
      </c>
      <c r="G10" s="127" t="s">
        <v>178</v>
      </c>
      <c r="H10" s="127" t="s">
        <v>181</v>
      </c>
    </row>
    <row r="11" customFormat="false" ht="15" hidden="false" customHeight="true" outlineLevel="0" collapsed="false">
      <c r="B11" s="128"/>
    </row>
    <row r="12" customFormat="false" ht="15" hidden="false" customHeight="true" outlineLevel="0" collapsed="false">
      <c r="A12" s="7" t="s">
        <v>216</v>
      </c>
      <c r="B12" s="7"/>
      <c r="C12" s="7"/>
      <c r="D12" s="7"/>
      <c r="E12" s="7"/>
      <c r="F12" s="129"/>
      <c r="G12" s="129"/>
      <c r="H12" s="129"/>
    </row>
    <row r="13" customFormat="false" ht="15" hidden="false" customHeight="true" outlineLevel="0" collapsed="false">
      <c r="A13" s="125" t="s">
        <v>120</v>
      </c>
      <c r="B13" s="130" t="n">
        <f aca="false">'Campus Rollup'!H16</f>
        <v>1088341827.06739</v>
      </c>
      <c r="C13" s="131" t="n">
        <f aca="false">C15+C16+C17</f>
        <v>1758235505.19881</v>
      </c>
      <c r="D13" s="132" t="n">
        <f aca="false">D15+D16+D17</f>
        <v>1676758035.89921</v>
      </c>
      <c r="E13" s="131" t="n">
        <f aca="false">E15+E16+E17</f>
        <v>3019287023.61462</v>
      </c>
      <c r="F13" s="132" t="n">
        <f aca="false">F15+F16+F17</f>
        <v>1855155273.89921</v>
      </c>
      <c r="G13" s="132" t="n">
        <f aca="false">G15+G16+G17</f>
        <v>1626646451.89921</v>
      </c>
      <c r="H13" s="131" t="n">
        <f aca="false">H15+H16+H17</f>
        <v>1058453752.01668</v>
      </c>
    </row>
    <row r="14" customFormat="false" ht="15" hidden="false" customHeight="true" outlineLevel="0" collapsed="false">
      <c r="A14" s="125" t="s">
        <v>217</v>
      </c>
      <c r="B14" s="133" t="n">
        <f aca="false">'Campus Rollup'!H16/'Campus Rollup'!D16</f>
        <v>12092686.9674155</v>
      </c>
      <c r="C14" s="134" t="n">
        <f aca="false">C13/'Campus Rollup'!$D$16</f>
        <v>19535950.0577645</v>
      </c>
      <c r="D14" s="134" t="n">
        <f aca="false">D13/'Campus Rollup'!$D$16</f>
        <v>18630644.8433245</v>
      </c>
      <c r="E14" s="134" t="n">
        <f aca="false">E13/'Campus Rollup'!$D$16</f>
        <v>33547633.595718</v>
      </c>
      <c r="F14" s="134" t="n">
        <f aca="false">F13/'Campus Rollup'!$D$16</f>
        <v>20612836.3766579</v>
      </c>
      <c r="G14" s="134" t="n">
        <f aca="false">G13/'Campus Rollup'!$D$16</f>
        <v>18073849.4655467</v>
      </c>
      <c r="H14" s="134" t="n">
        <f aca="false">H13/'Campus Rollup'!$D$16</f>
        <v>11760597.2446298</v>
      </c>
    </row>
    <row r="15" customFormat="false" ht="15" hidden="false" customHeight="true" outlineLevel="0" collapsed="false">
      <c r="A15" s="125" t="s">
        <v>218</v>
      </c>
      <c r="B15" s="130" t="n">
        <f aca="false">'Campus Rollup'!E16</f>
        <v>275731915.866136</v>
      </c>
      <c r="C15" s="131" t="n">
        <v>416840508.036072</v>
      </c>
      <c r="D15" s="131" t="n">
        <v>416840508.036072</v>
      </c>
      <c r="E15" s="131" t="n">
        <v>618530193.44113</v>
      </c>
      <c r="F15" s="131" t="n">
        <v>416840508.036072</v>
      </c>
      <c r="G15" s="131" t="n">
        <v>416840508.036072</v>
      </c>
      <c r="H15" s="131" t="n">
        <v>275731915.866136</v>
      </c>
    </row>
    <row r="16" customFormat="false" ht="15" hidden="false" customHeight="true" outlineLevel="0" collapsed="false">
      <c r="A16" s="125" t="s">
        <v>219</v>
      </c>
      <c r="B16" s="130" t="n">
        <f aca="false">'Campus Rollup'!F16</f>
        <v>609160998.09738</v>
      </c>
      <c r="C16" s="131" t="n">
        <v>1080845097</v>
      </c>
      <c r="D16" s="131" t="n">
        <v>1002231672</v>
      </c>
      <c r="E16" s="131" t="n">
        <v>2069717493</v>
      </c>
      <c r="F16" s="131" t="n">
        <v>1180628910</v>
      </c>
      <c r="G16" s="131" t="n">
        <v>952120088</v>
      </c>
      <c r="H16" s="131" t="n">
        <v>578065774</v>
      </c>
    </row>
    <row r="17" customFormat="false" ht="15" hidden="false" customHeight="true" outlineLevel="0" collapsed="false">
      <c r="A17" s="125" t="s">
        <v>220</v>
      </c>
      <c r="B17" s="130" t="n">
        <f aca="false">'Campus Rollup'!G16</f>
        <v>203448913.103876</v>
      </c>
      <c r="C17" s="131" t="n">
        <v>260549900.162735</v>
      </c>
      <c r="D17" s="131" t="n">
        <v>257685855.863135</v>
      </c>
      <c r="E17" s="131" t="n">
        <v>331039337.173487</v>
      </c>
      <c r="F17" s="131" t="n">
        <v>257685855.863135</v>
      </c>
      <c r="G17" s="131" t="n">
        <v>257685855.863135</v>
      </c>
      <c r="H17" s="131" t="n">
        <v>204656062.150542</v>
      </c>
    </row>
    <row r="18" customFormat="false" ht="15" hidden="false" customHeight="true" outlineLevel="0" collapsed="false">
      <c r="B18" s="128"/>
    </row>
    <row r="19" customFormat="false" ht="15" hidden="false" customHeight="true" outlineLevel="0" collapsed="false">
      <c r="A19" s="7" t="s">
        <v>221</v>
      </c>
      <c r="B19" s="7"/>
      <c r="C19" s="7"/>
      <c r="D19" s="7"/>
      <c r="E19" s="7"/>
      <c r="F19" s="129"/>
      <c r="G19" s="129"/>
      <c r="H19" s="129"/>
    </row>
    <row r="20" customFormat="false" ht="15" hidden="false" customHeight="true" outlineLevel="0" collapsed="false">
      <c r="A20" s="125" t="s">
        <v>222</v>
      </c>
      <c r="B20" s="135" t="n">
        <f aca="false">'Campus Rollup'!H16-$C$13</f>
        <v>-669893678.131415</v>
      </c>
      <c r="C20" s="136" t="n">
        <f aca="false">C13-$C$13</f>
        <v>0</v>
      </c>
      <c r="D20" s="136" t="n">
        <f aca="false">D13-$C$13</f>
        <v>-81477469.2995999</v>
      </c>
      <c r="E20" s="136" t="n">
        <f aca="false">E13-$C$13</f>
        <v>1261051518.41581</v>
      </c>
      <c r="F20" s="136" t="n">
        <f aca="false">F13-$C$13</f>
        <v>96919768.7004001</v>
      </c>
      <c r="G20" s="136" t="n">
        <f aca="false">G13-$C$13</f>
        <v>-131589053.2996</v>
      </c>
      <c r="H20" s="136" t="n">
        <f aca="false">H13-$C$13</f>
        <v>-699781753.182129</v>
      </c>
    </row>
    <row r="21" customFormat="false" ht="15" hidden="false" customHeight="true" outlineLevel="0" collapsed="false">
      <c r="A21" s="125" t="s">
        <v>223</v>
      </c>
      <c r="B21" s="137" t="n">
        <f aca="false">('Campus Rollup'!H16-$C$13)/$C$13</f>
        <v>-0.381003384444605</v>
      </c>
      <c r="C21" s="138" t="n">
        <f aca="false">(C13-$C$13)/$C$13</f>
        <v>0</v>
      </c>
      <c r="D21" s="138" t="n">
        <f aca="false">(D13-$C$13)/$C$13</f>
        <v>-0.0463404754702568</v>
      </c>
      <c r="E21" s="138" t="n">
        <f aca="false">(E13-$C$13)/$C$13</f>
        <v>0.717225601853161</v>
      </c>
      <c r="F21" s="138" t="n">
        <f aca="false">(F13-$C$13)/$C$13</f>
        <v>0.0551233144899103</v>
      </c>
      <c r="G21" s="138" t="n">
        <f aca="false">(G13-$C$13)/$C$13</f>
        <v>-0.0748415402319616</v>
      </c>
      <c r="H21" s="138" t="n">
        <f aca="false">(H13-$C$13)/$C$13</f>
        <v>-0.398002287584906</v>
      </c>
    </row>
    <row r="22" customFormat="false" ht="15" hidden="false" customHeight="true" outlineLevel="0" collapsed="false">
      <c r="A22" s="125" t="s">
        <v>224</v>
      </c>
      <c r="B22" s="139" t="n">
        <f aca="false">'Campus Rollup'!H16/'Campus Rollup'!D16-'Benchmark Library'!L20</f>
        <v>692686.967415463</v>
      </c>
      <c r="C22" s="140" t="n">
        <f aca="false">C14-'Benchmark Library'!L20</f>
        <v>8135950.05776452</v>
      </c>
      <c r="D22" s="140" t="n">
        <f aca="false">D14-'Benchmark Library'!L20</f>
        <v>7230644.84332452</v>
      </c>
      <c r="E22" s="140" t="n">
        <f aca="false">E14-'Benchmark Library'!L20</f>
        <v>22147633.595718</v>
      </c>
      <c r="F22" s="140" t="n">
        <f aca="false">F14-'Benchmark Library'!L20</f>
        <v>9212836.37665786</v>
      </c>
      <c r="G22" s="140" t="n">
        <f aca="false">G14-'Benchmark Library'!L20</f>
        <v>6673849.46554675</v>
      </c>
      <c r="H22" s="140" t="n">
        <f aca="false">H14-'Benchmark Library'!L20</f>
        <v>360597.244629758</v>
      </c>
    </row>
    <row r="23" customFormat="false" ht="15" hidden="false" customHeight="true" outlineLevel="0" collapsed="false">
      <c r="B23" s="128"/>
    </row>
    <row r="24" customFormat="false" ht="15" hidden="false" customHeight="true" outlineLevel="0" collapsed="false">
      <c r="A24" s="141" t="s">
        <v>225</v>
      </c>
      <c r="B24" s="142"/>
      <c r="C24" s="141"/>
      <c r="D24" s="141"/>
      <c r="E24" s="141"/>
      <c r="F24" s="141"/>
      <c r="G24" s="141"/>
      <c r="H24" s="141"/>
    </row>
    <row r="25" customFormat="false" ht="15" hidden="false" customHeight="true" outlineLevel="0" collapsed="false">
      <c r="A25" s="125" t="s">
        <v>226</v>
      </c>
      <c r="B25" s="143" t="str">
        <f aca="false">'Value Engineering'!L41</f>
        <v>Balanced</v>
      </c>
    </row>
    <row r="26" customFormat="false" ht="15" hidden="false" customHeight="true" outlineLevel="0" collapsed="false">
      <c r="A26" s="125" t="s">
        <v>227</v>
      </c>
      <c r="B26" s="144" t="n">
        <f aca="false">'Value Engineering'!L43</f>
        <v>35305864</v>
      </c>
    </row>
    <row r="27" customFormat="false" ht="15" hidden="false" customHeight="true" outlineLevel="0" collapsed="false">
      <c r="A27" s="125" t="s">
        <v>228</v>
      </c>
      <c r="B27" s="145" t="n">
        <f aca="false">'Value Engineering'!L44</f>
        <v>1053035963.06739</v>
      </c>
    </row>
    <row r="28" customFormat="false" ht="15.75" hidden="false" customHeight="true" outlineLevel="0" collapsed="false">
      <c r="A28" s="125" t="s">
        <v>229</v>
      </c>
      <c r="B28" s="146" t="n">
        <f aca="false">'Value Engineering'!L45</f>
        <v>11700399.5896377</v>
      </c>
    </row>
    <row r="29" customFormat="false" ht="15" hidden="false" customHeight="true" outlineLevel="0" collapsed="false">
      <c r="A29" s="12" t="s">
        <v>230</v>
      </c>
    </row>
    <row r="30" customFormat="false" ht="15.75" hidden="false" customHeight="true" outlineLevel="0" collapsed="false"/>
    <row r="31" customFormat="false" ht="15" hidden="false" customHeight="true" outlineLevel="0" collapsed="false">
      <c r="A31" s="147" t="s">
        <v>231</v>
      </c>
      <c r="B31" s="148"/>
      <c r="C31" s="149"/>
      <c r="D31" s="149"/>
      <c r="E31" s="149"/>
      <c r="F31" s="149"/>
      <c r="G31" s="149"/>
      <c r="H31" s="149"/>
    </row>
    <row r="32" customFormat="false" ht="15" hidden="false" customHeight="true" outlineLevel="0" collapsed="false">
      <c r="A32" s="150" t="s">
        <v>232</v>
      </c>
      <c r="B32" s="151" t="n">
        <f aca="false">'Carbon &amp; Sustainability'!B77</f>
        <v>683824</v>
      </c>
      <c r="C32" s="152" t="n">
        <f aca="false">'Carbon &amp; Sustainability'!C77</f>
        <v>2552332</v>
      </c>
    </row>
    <row r="33" customFormat="false" ht="15" hidden="false" customHeight="true" outlineLevel="0" collapsed="false">
      <c r="A33" s="150" t="s">
        <v>233</v>
      </c>
      <c r="B33" s="153" t="n">
        <f aca="false">'Carbon &amp; Sustainability'!B78</f>
        <v>0.85478</v>
      </c>
      <c r="C33" s="154" t="n">
        <f aca="false">'Carbon &amp; Sustainability'!C78</f>
        <v>3.190415</v>
      </c>
    </row>
    <row r="34" customFormat="false" ht="15" hidden="false" customHeight="true" outlineLevel="0" collapsed="false">
      <c r="A34" s="150" t="s">
        <v>234</v>
      </c>
      <c r="B34" s="151" t="n">
        <f aca="false">'Carbon &amp; Sustainability'!B76</f>
        <v>18921.6</v>
      </c>
      <c r="C34" s="152" t="n">
        <f aca="false">'Carbon &amp; Sustainability'!C76</f>
        <v>143488.8</v>
      </c>
    </row>
    <row r="35" customFormat="false" ht="15" hidden="false" customHeight="true" outlineLevel="0" collapsed="false">
      <c r="A35" s="150" t="s">
        <v>235</v>
      </c>
      <c r="B35" s="155" t="n">
        <f aca="false">'Carbon &amp; Sustainability'!B79</f>
        <v>0.58494583401577</v>
      </c>
      <c r="C35" s="156" t="n">
        <f aca="false">'Carbon &amp; Sustainability'!C79</f>
        <v>0.156719423648648</v>
      </c>
    </row>
    <row r="36" customFormat="false" ht="15" hidden="false" customHeight="true" outlineLevel="0" collapsed="false">
      <c r="A36" s="150" t="s">
        <v>236</v>
      </c>
      <c r="B36" s="157" t="n">
        <f aca="false">'Carbon &amp; Sustainability'!B81</f>
        <v>126.144</v>
      </c>
      <c r="C36" s="158" t="n">
        <f aca="false">'Carbon &amp; Sustainability'!C81</f>
        <v>1135.296</v>
      </c>
    </row>
    <row r="37" customFormat="false" ht="15" hidden="false" customHeight="true" outlineLevel="0" collapsed="false">
      <c r="A37" s="150" t="s">
        <v>237</v>
      </c>
      <c r="B37" s="153" t="n">
        <f aca="false">'Carbon &amp; Sustainability'!B73</f>
        <v>0.2</v>
      </c>
      <c r="C37" s="154" t="n">
        <f aca="false">'Carbon &amp; Sustainability'!C73</f>
        <v>1.8</v>
      </c>
    </row>
    <row r="38" customFormat="false" ht="15.75" hidden="false" customHeight="true" outlineLevel="0" collapsed="false">
      <c r="A38" s="150" t="s">
        <v>238</v>
      </c>
      <c r="B38" s="159" t="n">
        <f aca="false">(B32-C32)/C32</f>
        <v>-0.732078742107218</v>
      </c>
    </row>
    <row r="39" customFormat="false" ht="15" hidden="false" customHeight="true" outlineLevel="0" collapsed="false">
      <c r="A39" s="12" t="s">
        <v>239</v>
      </c>
    </row>
  </sheetData>
  <mergeCells count="4">
    <mergeCell ref="A1:E1"/>
    <mergeCell ref="A2:E2"/>
    <mergeCell ref="A12:E12"/>
    <mergeCell ref="A19:E19"/>
  </mergeCells>
  <conditionalFormatting sqref="B20:H21">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J8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6" topLeftCell="A736" activePane="bottomLeft" state="frozen"/>
      <selection pane="topLeft" activeCell="A1" activeCellId="0" sqref="A1"/>
      <selection pane="bottomLeft" activeCell="A743" activeCellId="0" sqref="A743"/>
    </sheetView>
  </sheetViews>
  <sheetFormatPr defaultColWidth="8.57421875" defaultRowHeight="15" zeroHeight="false" outlineLevelRow="1" outlineLevelCol="0"/>
  <cols>
    <col collapsed="false" customWidth="true" hidden="false" outlineLevel="0" max="1" min="1" style="1" width="5.71"/>
    <col collapsed="false" customWidth="true" hidden="false" outlineLevel="0" max="2" min="2" style="1" width="24.71"/>
    <col collapsed="false" customWidth="true" hidden="false" outlineLevel="0" max="3" min="3" style="1" width="53.29"/>
    <col collapsed="false" customWidth="true" hidden="false" outlineLevel="0" max="4" min="4" style="1" width="10.43"/>
    <col collapsed="false" customWidth="true" hidden="false" outlineLevel="0" max="5" min="5" style="1" width="18.86"/>
    <col collapsed="false" customWidth="true" hidden="false" outlineLevel="0" max="6" min="6" style="1" width="14.29"/>
    <col collapsed="false" customWidth="true" hidden="false" outlineLevel="0" max="7" min="7" style="1" width="17.57"/>
    <col collapsed="false" customWidth="true" hidden="false" outlineLevel="0" max="8" min="8" style="1" width="21.86"/>
    <col collapsed="false" customWidth="true" hidden="false" outlineLevel="0" max="9" min="9" style="1" width="15.29"/>
    <col collapsed="false" customWidth="true" hidden="false" outlineLevel="0" max="10" min="10" style="1" width="11.43"/>
  </cols>
  <sheetData>
    <row r="1" customFormat="false" ht="30" hidden="false" customHeight="true" outlineLevel="0" collapsed="false">
      <c r="A1" s="160" t="s">
        <v>240</v>
      </c>
      <c r="B1" s="160"/>
      <c r="C1" s="160"/>
      <c r="D1" s="160"/>
      <c r="E1" s="160"/>
      <c r="F1" s="160"/>
      <c r="G1" s="160"/>
      <c r="H1" s="160"/>
      <c r="I1" s="161"/>
      <c r="J1" s="161"/>
    </row>
    <row r="2" customFormat="false" ht="3.75" hidden="false" customHeight="true" outlineLevel="0" collapsed="false">
      <c r="A2" s="162"/>
      <c r="B2" s="162"/>
      <c r="C2" s="162"/>
      <c r="D2" s="162"/>
      <c r="E2" s="162"/>
      <c r="F2" s="162"/>
      <c r="G2" s="162"/>
      <c r="H2" s="162"/>
      <c r="I2" s="162"/>
      <c r="J2" s="162"/>
    </row>
    <row r="3" customFormat="false" ht="15" hidden="false" customHeight="true" outlineLevel="0" collapsed="false">
      <c r="A3" s="163" t="s">
        <v>241</v>
      </c>
      <c r="C3" s="164" t="s">
        <v>242</v>
      </c>
      <c r="E3" s="163" t="s">
        <v>243</v>
      </c>
      <c r="F3" s="165" t="n">
        <v>46143</v>
      </c>
      <c r="G3" s="166"/>
    </row>
    <row r="4" customFormat="false" ht="15" hidden="false" customHeight="true" outlineLevel="0" collapsed="false">
      <c r="A4" s="163" t="s">
        <v>244</v>
      </c>
      <c r="C4" s="164" t="s">
        <v>245</v>
      </c>
      <c r="E4" s="163" t="s">
        <v>246</v>
      </c>
      <c r="F4" s="165" t="s">
        <v>247</v>
      </c>
      <c r="G4" s="166"/>
    </row>
    <row r="5" customFormat="false" ht="15" hidden="false" customHeight="true" outlineLevel="0" collapsed="false">
      <c r="A5" s="163" t="s">
        <v>248</v>
      </c>
      <c r="C5" s="164" t="s">
        <v>249</v>
      </c>
      <c r="E5" s="163" t="s">
        <v>250</v>
      </c>
      <c r="F5" s="1" t="s">
        <v>251</v>
      </c>
      <c r="G5" s="164"/>
    </row>
    <row r="6" customFormat="false" ht="15" hidden="false" customHeight="true" outlineLevel="0" collapsed="false">
      <c r="A6" s="163" t="s">
        <v>252</v>
      </c>
      <c r="C6" s="167" t="n">
        <f aca="false">'Campus Rollup'!C16</f>
        <v>800000</v>
      </c>
      <c r="E6" s="163" t="s">
        <v>253</v>
      </c>
      <c r="F6" s="1" t="s">
        <v>254</v>
      </c>
      <c r="G6" s="164"/>
    </row>
    <row r="7" customFormat="false" ht="15" hidden="false" customHeight="true" outlineLevel="0" collapsed="false">
      <c r="A7" s="163" t="s">
        <v>255</v>
      </c>
      <c r="C7" s="164" t="s">
        <v>155</v>
      </c>
      <c r="E7" s="163" t="s">
        <v>256</v>
      </c>
      <c r="F7" s="168" t="n">
        <v>0.1</v>
      </c>
      <c r="G7" s="169" t="s">
        <v>257</v>
      </c>
      <c r="H7" s="170" t="n">
        <v>0.035</v>
      </c>
    </row>
    <row r="8" customFormat="false" ht="15" hidden="false" customHeight="true" outlineLevel="0" collapsed="false">
      <c r="A8" s="163" t="s">
        <v>258</v>
      </c>
      <c r="C8" s="171" t="n">
        <v>1.4</v>
      </c>
      <c r="G8" s="169" t="s">
        <v>259</v>
      </c>
      <c r="H8" s="172" t="n">
        <f aca="false">'Location Factors'!B6</f>
        <v>1</v>
      </c>
    </row>
    <row r="9" customFormat="false" ht="15" hidden="false" customHeight="true" outlineLevel="0" collapsed="false">
      <c r="A9" s="163" t="s">
        <v>260</v>
      </c>
      <c r="C9" s="173" t="n">
        <f aca="false">'Campus Rollup'!D16</f>
        <v>90</v>
      </c>
      <c r="G9" s="169" t="s">
        <v>261</v>
      </c>
      <c r="H9" s="174" t="n">
        <f aca="false">F3</f>
        <v>46143</v>
      </c>
    </row>
    <row r="10" customFormat="false" ht="15" hidden="false" customHeight="true" outlineLevel="0" collapsed="false">
      <c r="A10" s="163" t="s">
        <v>262</v>
      </c>
      <c r="C10" s="173" t="n">
        <f aca="false">C9</f>
        <v>90</v>
      </c>
    </row>
    <row r="11" customFormat="false" ht="15" hidden="false" customHeight="true" outlineLevel="0" collapsed="false">
      <c r="A11" s="163" t="s">
        <v>263</v>
      </c>
      <c r="C11" s="173" t="n">
        <f aca="false">C9*1.25</f>
        <v>112.5</v>
      </c>
    </row>
    <row r="12" customFormat="false" ht="15" hidden="false" customHeight="true" outlineLevel="0" collapsed="false">
      <c r="A12" s="163" t="s">
        <v>264</v>
      </c>
      <c r="C12" s="167" t="n">
        <f aca="false">C9*285</f>
        <v>25650</v>
      </c>
    </row>
    <row r="13" customFormat="false" ht="15" hidden="false" customHeight="true" outlineLevel="0" collapsed="false">
      <c r="A13" s="163" t="s">
        <v>265</v>
      </c>
      <c r="C13" s="167" t="n">
        <f aca="false">C6*0.55</f>
        <v>440000</v>
      </c>
    </row>
    <row r="14" customFormat="false" ht="15" hidden="false" customHeight="true" outlineLevel="0" collapsed="false">
      <c r="A14" s="163" t="s">
        <v>145</v>
      </c>
      <c r="C14" s="164" t="s">
        <v>157</v>
      </c>
    </row>
    <row r="15" customFormat="false" ht="6" hidden="false" customHeight="true" outlineLevel="0" collapsed="false"/>
    <row r="16" customFormat="false" ht="15" hidden="false" customHeight="true" outlineLevel="0" collapsed="false">
      <c r="A16" s="175" t="s">
        <v>266</v>
      </c>
      <c r="B16" s="175" t="s">
        <v>267</v>
      </c>
      <c r="C16" s="175" t="s">
        <v>268</v>
      </c>
      <c r="D16" s="175" t="s">
        <v>269</v>
      </c>
      <c r="E16" s="175" t="s">
        <v>270</v>
      </c>
      <c r="F16" s="175" t="s">
        <v>271</v>
      </c>
      <c r="G16" s="175" t="s">
        <v>272</v>
      </c>
      <c r="H16" s="175" t="s">
        <v>273</v>
      </c>
      <c r="I16" s="175" t="s">
        <v>274</v>
      </c>
      <c r="J16" s="175" t="s">
        <v>275</v>
      </c>
    </row>
    <row r="17" customFormat="false" ht="15" hidden="false" customHeight="true" outlineLevel="0" collapsed="false">
      <c r="A17" s="176"/>
      <c r="D17" s="177"/>
      <c r="E17" s="176"/>
      <c r="F17" s="178"/>
      <c r="G17" s="179"/>
      <c r="H17" s="180"/>
    </row>
    <row r="18" customFormat="false" ht="15" hidden="false" customHeight="true" outlineLevel="1" collapsed="false">
      <c r="A18" s="181" t="s">
        <v>276</v>
      </c>
      <c r="B18" s="181"/>
      <c r="C18" s="181"/>
      <c r="D18" s="181"/>
      <c r="E18" s="181"/>
      <c r="F18" s="181"/>
      <c r="G18" s="181"/>
      <c r="H18" s="181"/>
      <c r="I18" s="182"/>
      <c r="J18" s="182" t="s">
        <v>277</v>
      </c>
    </row>
    <row r="19" customFormat="false" ht="15" hidden="false" customHeight="true" outlineLevel="1" collapsed="false">
      <c r="A19" s="176" t="n">
        <v>1</v>
      </c>
      <c r="B19" s="1" t="s">
        <v>278</v>
      </c>
      <c r="C19" s="1" t="s">
        <v>279</v>
      </c>
      <c r="D19" s="183" t="n">
        <f aca="false">$C$9</f>
        <v>90</v>
      </c>
      <c r="E19" s="176" t="s">
        <v>280</v>
      </c>
      <c r="F19" s="184" t="n">
        <v>275000</v>
      </c>
      <c r="G19" s="179" t="n">
        <f aca="false">$F$7</f>
        <v>0.1</v>
      </c>
      <c r="H19" s="180" t="n">
        <f aca="false">IF(OR(D19="",F19="",D19=0,F19=0),0,D19*F19*$H$8*(1+G19)*(1+$H$7))</f>
        <v>28177875</v>
      </c>
      <c r="I19" s="177" t="s">
        <v>281</v>
      </c>
      <c r="J19" s="185" t="s">
        <v>277</v>
      </c>
    </row>
    <row r="20" customFormat="false" ht="15" hidden="false" customHeight="true" outlineLevel="1" collapsed="false">
      <c r="A20" s="176" t="n">
        <v>2</v>
      </c>
      <c r="B20" s="1" t="s">
        <v>282</v>
      </c>
      <c r="C20" s="1" t="s">
        <v>283</v>
      </c>
      <c r="D20" s="183" t="n">
        <f aca="false">$C$9</f>
        <v>90</v>
      </c>
      <c r="E20" s="176" t="str">
        <f aca="false">IFERROR(VLOOKUP($B20,'Unit Cost Database'!$A:$H,3,FALSE()),"LS")</f>
        <v>MW</v>
      </c>
      <c r="F20" s="184" t="n">
        <f aca="false">IFERROR(VLOOKUP($B20,'Unit Cost Database'!$A:$H,8,FALSE()),0)</f>
        <v>225000</v>
      </c>
      <c r="G20" s="179" t="n">
        <f aca="false">$F$7</f>
        <v>0.1</v>
      </c>
      <c r="H20" s="180" t="n">
        <f aca="false">IF(OR(D20="",F20="",D20=0,F20=0),0,D20*F20*$H$8*(1+G20)*(1+$H$7))</f>
        <v>23054625</v>
      </c>
      <c r="I20" s="177" t="s">
        <v>281</v>
      </c>
      <c r="J20" s="185" t="s">
        <v>277</v>
      </c>
    </row>
    <row r="21" customFormat="false" ht="15" hidden="false" customHeight="true" outlineLevel="1" collapsed="false">
      <c r="A21" s="176" t="n">
        <v>3</v>
      </c>
      <c r="B21" s="1" t="s">
        <v>284</v>
      </c>
      <c r="C21" s="1" t="s">
        <v>285</v>
      </c>
      <c r="D21" s="183" t="n">
        <f aca="false">$C$9</f>
        <v>90</v>
      </c>
      <c r="E21" s="176" t="str">
        <f aca="false">IFERROR(VLOOKUP($B21,'Unit Cost Database'!$A:$H,3,FALSE()),"LS")</f>
        <v>MW</v>
      </c>
      <c r="F21" s="184" t="n">
        <f aca="false">IFERROR(VLOOKUP($B21,'Unit Cost Database'!$A:$H,8,FALSE()),0)</f>
        <v>65000</v>
      </c>
      <c r="G21" s="179" t="n">
        <f aca="false">$F$7</f>
        <v>0.1</v>
      </c>
      <c r="H21" s="180" t="n">
        <f aca="false">IF(OR(D21="",F21="",D21=0,F21=0),0,D21*F21*$H$8*(1+G21)*(1+$H$7))</f>
        <v>6660225</v>
      </c>
      <c r="I21" s="177" t="s">
        <v>281</v>
      </c>
      <c r="J21" s="185" t="s">
        <v>277</v>
      </c>
    </row>
    <row r="22" customFormat="false" ht="15" hidden="false" customHeight="true" outlineLevel="1" collapsed="false">
      <c r="A22" s="176" t="n">
        <v>4</v>
      </c>
      <c r="B22" s="1" t="s">
        <v>286</v>
      </c>
      <c r="C22" s="1" t="s">
        <v>287</v>
      </c>
      <c r="D22" s="183" t="n">
        <f aca="false">$C$9</f>
        <v>90</v>
      </c>
      <c r="E22" s="176" t="str">
        <f aca="false">IFERROR(VLOOKUP($B22,'Unit Cost Database'!$A:$H,3,FALSE()),"LS")</f>
        <v>MW</v>
      </c>
      <c r="F22" s="184" t="n">
        <f aca="false">IFERROR(VLOOKUP($B22,'Unit Cost Database'!$A:$H,8,FALSE()),0)</f>
        <v>35000</v>
      </c>
      <c r="G22" s="179" t="n">
        <f aca="false">$F$7</f>
        <v>0.1</v>
      </c>
      <c r="H22" s="180" t="n">
        <f aca="false">IF(OR(D22="",F22="",D22=0,F22=0),0,D22*F22*$H$8*(1+G22)*(1+$H$7))</f>
        <v>3586275</v>
      </c>
      <c r="I22" s="177" t="s">
        <v>281</v>
      </c>
      <c r="J22" s="185" t="s">
        <v>277</v>
      </c>
    </row>
    <row r="23" customFormat="false" ht="15" hidden="false" customHeight="true" outlineLevel="1" collapsed="false">
      <c r="A23" s="176" t="n">
        <v>5</v>
      </c>
      <c r="B23" s="1" t="s">
        <v>288</v>
      </c>
      <c r="C23" s="1" t="s">
        <v>289</v>
      </c>
      <c r="D23" s="183" t="n">
        <f aca="false">3</f>
        <v>3</v>
      </c>
      <c r="E23" s="176" t="str">
        <f aca="false">IFERROR(VLOOKUP($B23,'Unit Cost Database'!$A:$H,3,FALSE()),"LS")</f>
        <v>EA</v>
      </c>
      <c r="F23" s="184" t="n">
        <f aca="false">IFERROR(VLOOKUP($B23,'Unit Cost Database'!$A:$H,8,FALSE()),0)</f>
        <v>125000</v>
      </c>
      <c r="G23" s="179" t="n">
        <f aca="false">$F$7</f>
        <v>0.1</v>
      </c>
      <c r="H23" s="180" t="n">
        <f aca="false">IF(OR(D23="",F23="",D23=0,F23=0),0,D23*F23*$H$8*(1+G23)*(1+$H$7))</f>
        <v>426937.5</v>
      </c>
      <c r="I23" s="177" t="s">
        <v>281</v>
      </c>
      <c r="J23" s="185" t="s">
        <v>277</v>
      </c>
    </row>
    <row r="24" customFormat="false" ht="15" hidden="false" customHeight="true" outlineLevel="1" collapsed="false">
      <c r="A24" s="176" t="n">
        <v>6</v>
      </c>
      <c r="B24" s="1" t="s">
        <v>290</v>
      </c>
      <c r="C24" s="1" t="s">
        <v>291</v>
      </c>
      <c r="D24" s="183" t="n">
        <f aca="false">1</f>
        <v>1</v>
      </c>
      <c r="E24" s="176" t="str">
        <f aca="false">IFERROR(VLOOKUP($B24,'Unit Cost Database'!$A:$H,3,FALSE()),"LS")</f>
        <v>LS</v>
      </c>
      <c r="F24" s="184" t="n">
        <f aca="false">IFERROR(VLOOKUP($B24,'Unit Cost Database'!$A:$H,8,FALSE()),0)</f>
        <v>250000</v>
      </c>
      <c r="G24" s="179" t="n">
        <f aca="false">$F$7</f>
        <v>0.1</v>
      </c>
      <c r="H24" s="180" t="n">
        <f aca="false">IF(OR(D24="",F24="",D24=0,F24=0),0,D24*F24*$H$8*(1+G24)*(1+$H$7))</f>
        <v>284625</v>
      </c>
      <c r="I24" s="177" t="s">
        <v>281</v>
      </c>
      <c r="J24" s="185" t="s">
        <v>277</v>
      </c>
    </row>
    <row r="25" customFormat="false" ht="15" hidden="false" customHeight="true" outlineLevel="1" collapsed="false">
      <c r="A25" s="176" t="n">
        <v>7</v>
      </c>
      <c r="B25" s="1" t="s">
        <v>292</v>
      </c>
      <c r="C25" s="1" t="s">
        <v>293</v>
      </c>
      <c r="D25" s="183" t="n">
        <f aca="false">$C$9</f>
        <v>90</v>
      </c>
      <c r="E25" s="176" t="str">
        <f aca="false">IFERROR(VLOOKUP($B25,'Unit Cost Database'!$A:$H,3,FALSE()),"LS")</f>
        <v>MW</v>
      </c>
      <c r="F25" s="184" t="n">
        <f aca="false">IFERROR(VLOOKUP($B25,'Unit Cost Database'!$A:$H,8,FALSE()),0)</f>
        <v>85000</v>
      </c>
      <c r="G25" s="179" t="n">
        <f aca="false">$F$7</f>
        <v>0.1</v>
      </c>
      <c r="H25" s="180" t="n">
        <f aca="false">IF(OR(D25="",F25="",D25=0,F25=0),0,D25*F25*$H$8*(1+G25)*(1+$H$7))</f>
        <v>8709525</v>
      </c>
      <c r="I25" s="177" t="s">
        <v>281</v>
      </c>
      <c r="J25" s="185" t="s">
        <v>277</v>
      </c>
    </row>
    <row r="26" customFormat="false" ht="15" hidden="false" customHeight="true" outlineLevel="1" collapsed="false">
      <c r="A26" s="176" t="n">
        <v>8</v>
      </c>
      <c r="B26" s="1" t="s">
        <v>294</v>
      </c>
      <c r="C26" s="1" t="s">
        <v>295</v>
      </c>
      <c r="D26" s="183" t="n">
        <f aca="false">$C$9</f>
        <v>90</v>
      </c>
      <c r="E26" s="176" t="str">
        <f aca="false">IFERROR(VLOOKUP($B26,'Unit Cost Database'!$A:$H,3,FALSE()),"LS")</f>
        <v>MW</v>
      </c>
      <c r="F26" s="184" t="n">
        <f aca="false">IFERROR(VLOOKUP($B26,'Unit Cost Database'!$A:$H,8,FALSE()),0)</f>
        <v>175000</v>
      </c>
      <c r="G26" s="179" t="n">
        <f aca="false">$F$7</f>
        <v>0.1</v>
      </c>
      <c r="H26" s="180" t="n">
        <f aca="false">IF(OR(D26="",F26="",D26=0,F26=0),0,D26*F26*$H$8*(1+G26)*(1+$H$7))</f>
        <v>17931375</v>
      </c>
      <c r="I26" s="177" t="s">
        <v>281</v>
      </c>
      <c r="J26" s="185" t="s">
        <v>277</v>
      </c>
    </row>
    <row r="27" customFormat="false" ht="15" hidden="false" customHeight="true" outlineLevel="1" collapsed="false">
      <c r="A27" s="176" t="n">
        <v>9</v>
      </c>
      <c r="B27" s="1" t="s">
        <v>296</v>
      </c>
      <c r="C27" s="1" t="s">
        <v>297</v>
      </c>
      <c r="D27" s="183" t="n">
        <f aca="false">$C$9</f>
        <v>90</v>
      </c>
      <c r="E27" s="176" t="str">
        <f aca="false">IFERROR(VLOOKUP($B27,'Unit Cost Database'!$A:$H,3,FALSE()),"LS")</f>
        <v>MW</v>
      </c>
      <c r="F27" s="184" t="n">
        <f aca="false">IFERROR(VLOOKUP($B27,'Unit Cost Database'!$A:$H,8,FALSE()),0)</f>
        <v>7500</v>
      </c>
      <c r="G27" s="179" t="n">
        <f aca="false">$F$7</f>
        <v>0.1</v>
      </c>
      <c r="H27" s="180" t="n">
        <f aca="false">IF(OR(D27="",F27="",D27=0,F27=0),0,D27*F27*$H$8*(1+G27)*(1+$H$7))</f>
        <v>768487.5</v>
      </c>
      <c r="I27" s="177" t="s">
        <v>281</v>
      </c>
      <c r="J27" s="185" t="s">
        <v>277</v>
      </c>
    </row>
    <row r="28" customFormat="false" ht="15" hidden="false" customHeight="true" outlineLevel="1" collapsed="false">
      <c r="A28" s="176" t="n">
        <v>10</v>
      </c>
      <c r="B28" s="1" t="s">
        <v>298</v>
      </c>
      <c r="C28" s="1" t="s">
        <v>299</v>
      </c>
      <c r="D28" s="183" t="n">
        <f aca="false">1</f>
        <v>1</v>
      </c>
      <c r="E28" s="176" t="s">
        <v>300</v>
      </c>
      <c r="F28" s="184" t="n">
        <v>350000</v>
      </c>
      <c r="G28" s="179" t="n">
        <f aca="false">$F$7</f>
        <v>0.1</v>
      </c>
      <c r="H28" s="180" t="n">
        <f aca="false">IF(OR(D28="",F28="",D28=0,F28=0),0,D28*F28*$H$8*(1+G28)*(1+$H$7))</f>
        <v>398475</v>
      </c>
      <c r="I28" s="177" t="s">
        <v>281</v>
      </c>
      <c r="J28" s="185" t="s">
        <v>277</v>
      </c>
    </row>
    <row r="29" customFormat="false" ht="15" hidden="false" customHeight="true" outlineLevel="1" collapsed="false">
      <c r="A29" s="176" t="n">
        <v>11</v>
      </c>
      <c r="B29" s="1" t="s">
        <v>301</v>
      </c>
      <c r="C29" s="1" t="s">
        <v>302</v>
      </c>
      <c r="D29" s="183" t="n">
        <f aca="false">1</f>
        <v>1</v>
      </c>
      <c r="E29" s="176" t="str">
        <f aca="false">IFERROR(VLOOKUP($B29,'Unit Cost Database'!$A:$H,3,FALSE()),"LS")</f>
        <v>LS</v>
      </c>
      <c r="F29" s="184" t="n">
        <f aca="false">IFERROR(VLOOKUP($B29,'Unit Cost Database'!$A:$H,8,FALSE()),0)</f>
        <v>250000</v>
      </c>
      <c r="G29" s="179" t="n">
        <f aca="false">$F$7</f>
        <v>0.1</v>
      </c>
      <c r="H29" s="180" t="n">
        <f aca="false">IF(OR(D29="",F29="",D29=0,F29=0),0,D29*F29*$H$8*(1+G29)*(1+$H$7))</f>
        <v>284625</v>
      </c>
      <c r="I29" s="177" t="s">
        <v>281</v>
      </c>
      <c r="J29" s="185" t="s">
        <v>277</v>
      </c>
    </row>
    <row r="30" customFormat="false" ht="15" hidden="false" customHeight="true" outlineLevel="1" collapsed="false">
      <c r="A30" s="176" t="n">
        <v>12</v>
      </c>
      <c r="B30" s="1" t="s">
        <v>303</v>
      </c>
      <c r="C30" s="1" t="s">
        <v>304</v>
      </c>
      <c r="D30" s="183" t="n">
        <f aca="false">24</f>
        <v>24</v>
      </c>
      <c r="E30" s="176" t="str">
        <f aca="false">IFERROR(VLOOKUP($B30,'Unit Cost Database'!$A:$H,3,FALSE()),"LS")</f>
        <v>MO</v>
      </c>
      <c r="F30" s="184" t="n">
        <f aca="false">IFERROR(VLOOKUP($B30,'Unit Cost Database'!$A:$H,8,FALSE()),0)</f>
        <v>95000</v>
      </c>
      <c r="G30" s="179" t="n">
        <f aca="false">$F$7</f>
        <v>0.1</v>
      </c>
      <c r="H30" s="180" t="n">
        <f aca="false">IF(OR(D30="",F30="",D30=0,F30=0),0,D30*F30*$H$8*(1+G30)*(1+$H$7))</f>
        <v>2595780</v>
      </c>
      <c r="I30" s="177" t="s">
        <v>281</v>
      </c>
      <c r="J30" s="185" t="s">
        <v>277</v>
      </c>
    </row>
    <row r="31" customFormat="false" ht="15" hidden="false" customHeight="true" outlineLevel="1" collapsed="false">
      <c r="A31" s="176" t="n">
        <v>13</v>
      </c>
      <c r="B31" s="1" t="s">
        <v>305</v>
      </c>
      <c r="C31" s="1" t="s">
        <v>306</v>
      </c>
      <c r="D31" s="183" t="n">
        <f aca="false">24</f>
        <v>24</v>
      </c>
      <c r="E31" s="176" t="str">
        <f aca="false">IFERROR(VLOOKUP($B31,'Unit Cost Database'!$A:$H,3,FALSE()),"LS")</f>
        <v>MO</v>
      </c>
      <c r="F31" s="184" t="n">
        <f aca="false">IFERROR(VLOOKUP($B31,'Unit Cost Database'!$A:$H,8,FALSE()),0)</f>
        <v>25000</v>
      </c>
      <c r="G31" s="179" t="n">
        <f aca="false">$F$7</f>
        <v>0.1</v>
      </c>
      <c r="H31" s="180" t="n">
        <f aca="false">IF(OR(D31="",F31="",D31=0,F31=0),0,D31*F31*$H$8*(1+G31)*(1+$H$7))</f>
        <v>683100</v>
      </c>
      <c r="I31" s="177" t="s">
        <v>281</v>
      </c>
      <c r="J31" s="185" t="s">
        <v>277</v>
      </c>
    </row>
    <row r="32" customFormat="false" ht="15" hidden="false" customHeight="true" outlineLevel="1" collapsed="false">
      <c r="A32" s="176" t="n">
        <v>14</v>
      </c>
      <c r="B32" s="1" t="s">
        <v>307</v>
      </c>
      <c r="C32" s="1" t="s">
        <v>308</v>
      </c>
      <c r="D32" s="183" t="n">
        <f aca="false">24</f>
        <v>24</v>
      </c>
      <c r="E32" s="176" t="str">
        <f aca="false">IFERROR(VLOOKUP($B32,'Unit Cost Database'!$A:$H,3,FALSE()),"LS")</f>
        <v>MO</v>
      </c>
      <c r="F32" s="184" t="n">
        <f aca="false">IFERROR(VLOOKUP($B32,'Unit Cost Database'!$A:$H,8,FALSE()),0)</f>
        <v>35000</v>
      </c>
      <c r="G32" s="179" t="n">
        <f aca="false">$F$7</f>
        <v>0.1</v>
      </c>
      <c r="H32" s="180" t="n">
        <f aca="false">IF(OR(D32="",F32="",D32=0,F32=0),0,D32*F32*$H$8*(1+G32)*(1+$H$7))</f>
        <v>956340</v>
      </c>
      <c r="I32" s="177" t="s">
        <v>281</v>
      </c>
      <c r="J32" s="185" t="s">
        <v>277</v>
      </c>
    </row>
    <row r="33" customFormat="false" ht="15" hidden="false" customHeight="true" outlineLevel="1" collapsed="false">
      <c r="A33" s="176" t="n">
        <v>15</v>
      </c>
      <c r="B33" s="1" t="s">
        <v>309</v>
      </c>
      <c r="C33" s="1" t="s">
        <v>310</v>
      </c>
      <c r="D33" s="183" t="n">
        <f aca="false">$C$9</f>
        <v>90</v>
      </c>
      <c r="E33" s="176" t="s">
        <v>280</v>
      </c>
      <c r="F33" s="184" t="n">
        <v>85000</v>
      </c>
      <c r="G33" s="179" t="n">
        <f aca="false">$F$7</f>
        <v>0.1</v>
      </c>
      <c r="H33" s="180" t="n">
        <f aca="false">IF(OR(D33="",F33="",D33=0,F33=0),0,D33*F33*$H$8*(1+G33)*(1+$H$7))</f>
        <v>8709525</v>
      </c>
      <c r="I33" s="177" t="s">
        <v>281</v>
      </c>
      <c r="J33" s="185" t="s">
        <v>277</v>
      </c>
    </row>
    <row r="34" customFormat="false" ht="15" hidden="false" customHeight="true" outlineLevel="1" collapsed="false">
      <c r="A34" s="176" t="n">
        <v>16</v>
      </c>
      <c r="B34" s="1" t="s">
        <v>311</v>
      </c>
      <c r="C34" s="1" t="s">
        <v>312</v>
      </c>
      <c r="D34" s="183" t="n">
        <f aca="false">24</f>
        <v>24</v>
      </c>
      <c r="E34" s="176" t="str">
        <f aca="false">IFERROR(VLOOKUP($B34,'Unit Cost Database'!$A:$H,3,FALSE()),"LS")</f>
        <v>MO</v>
      </c>
      <c r="F34" s="184" t="n">
        <f aca="false">IFERROR(VLOOKUP($B34,'Unit Cost Database'!$A:$H,8,FALSE()),0)</f>
        <v>55000</v>
      </c>
      <c r="G34" s="179" t="n">
        <f aca="false">$F$7</f>
        <v>0.1</v>
      </c>
      <c r="H34" s="180" t="n">
        <f aca="false">IF(OR(D34="",F34="",D34=0,F34=0),0,D34*F34*$H$8*(1+G34)*(1+$H$7))</f>
        <v>1502820</v>
      </c>
      <c r="I34" s="177" t="s">
        <v>281</v>
      </c>
      <c r="J34" s="185" t="s">
        <v>277</v>
      </c>
    </row>
    <row r="35" customFormat="false" ht="15" hidden="false" customHeight="true" outlineLevel="1" collapsed="false">
      <c r="A35" s="176" t="n">
        <v>17</v>
      </c>
      <c r="B35" s="1" t="s">
        <v>313</v>
      </c>
      <c r="C35" s="1" t="s">
        <v>314</v>
      </c>
      <c r="D35" s="183" t="n">
        <f aca="false">$C$6*0.05</f>
        <v>40000</v>
      </c>
      <c r="E35" s="176" t="str">
        <f aca="false">IFERROR(VLOOKUP($B35,'Unit Cost Database'!$A:$H,3,FALSE()),"LS")</f>
        <v>SF</v>
      </c>
      <c r="F35" s="184" t="n">
        <f aca="false">IFERROR(VLOOKUP($B35,'Unit Cost Database'!$A:$H,8,FALSE()),0)</f>
        <v>175</v>
      </c>
      <c r="G35" s="179" t="n">
        <f aca="false">$F$7</f>
        <v>0.1</v>
      </c>
      <c r="H35" s="180" t="n">
        <f aca="false">IF(OR(D35="",F35="",D35=0,F35=0),0,D35*F35*$H$8*(1+G35)*(1+$H$7))</f>
        <v>7969500</v>
      </c>
      <c r="I35" s="177" t="s">
        <v>281</v>
      </c>
      <c r="J35" s="185" t="s">
        <v>277</v>
      </c>
    </row>
    <row r="36" customFormat="false" ht="15" hidden="false" customHeight="true" outlineLevel="1" collapsed="false">
      <c r="A36" s="176" t="n">
        <v>18</v>
      </c>
      <c r="B36" s="1" t="s">
        <v>315</v>
      </c>
      <c r="C36" s="1" t="s">
        <v>316</v>
      </c>
      <c r="D36" s="183" t="n">
        <f aca="false">1</f>
        <v>1</v>
      </c>
      <c r="E36" s="176" t="str">
        <f aca="false">IFERROR(VLOOKUP($B36,'Unit Cost Database'!$A:$H,3,FALSE()),"LS")</f>
        <v>LS</v>
      </c>
      <c r="F36" s="184" t="n">
        <f aca="false">IFERROR(VLOOKUP($B36,'Unit Cost Database'!$A:$H,8,FALSE()),0)</f>
        <v>350000</v>
      </c>
      <c r="G36" s="179" t="n">
        <f aca="false">$F$7</f>
        <v>0.1</v>
      </c>
      <c r="H36" s="180" t="n">
        <f aca="false">IF(OR(D36="",F36="",D36=0,F36=0),0,D36*F36*$H$8*(1+G36)*(1+$H$7))</f>
        <v>398475</v>
      </c>
      <c r="I36" s="177" t="s">
        <v>281</v>
      </c>
      <c r="J36" s="185" t="s">
        <v>277</v>
      </c>
    </row>
    <row r="37" customFormat="false" ht="15" hidden="false" customHeight="true" outlineLevel="1" collapsed="false">
      <c r="A37" s="186"/>
      <c r="B37" s="187"/>
      <c r="C37" s="188" t="s">
        <v>317</v>
      </c>
      <c r="D37" s="189"/>
      <c r="E37" s="186"/>
      <c r="F37" s="190"/>
      <c r="G37" s="191"/>
      <c r="H37" s="192" t="n">
        <f aca="false">SUM(H19:H36)</f>
        <v>113098590</v>
      </c>
      <c r="I37" s="187"/>
      <c r="J37" s="187"/>
    </row>
    <row r="38" customFormat="false" ht="15" hidden="false" customHeight="true" outlineLevel="1" collapsed="false">
      <c r="A38" s="176"/>
      <c r="D38" s="177"/>
      <c r="E38" s="176"/>
      <c r="F38" s="178"/>
      <c r="G38" s="179"/>
      <c r="H38" s="180"/>
    </row>
    <row r="39" customFormat="false" ht="15" hidden="false" customHeight="true" outlineLevel="1" collapsed="false">
      <c r="A39" s="193" t="s">
        <v>318</v>
      </c>
      <c r="B39" s="193"/>
      <c r="C39" s="193"/>
      <c r="D39" s="193"/>
      <c r="E39" s="193"/>
      <c r="F39" s="193"/>
      <c r="G39" s="193"/>
      <c r="H39" s="193"/>
      <c r="I39" s="182"/>
      <c r="J39" s="182" t="s">
        <v>319</v>
      </c>
    </row>
    <row r="40" customFormat="false" ht="15" hidden="false" customHeight="true" outlineLevel="1" collapsed="false">
      <c r="A40" s="176" t="n">
        <v>1</v>
      </c>
      <c r="B40" s="1" t="s">
        <v>320</v>
      </c>
      <c r="C40" s="1" t="s">
        <v>321</v>
      </c>
      <c r="D40" s="183" t="n">
        <f aca="false">24</f>
        <v>24</v>
      </c>
      <c r="E40" s="176" t="str">
        <f aca="false">IFERROR(VLOOKUP($B40,'Unit Cost Database'!$A:$H,3,FALSE()),"LS")</f>
        <v>MO</v>
      </c>
      <c r="F40" s="184" t="n">
        <f aca="false">IFERROR(VLOOKUP($B40,'Unit Cost Database'!$A:$H,8,FALSE()),0)</f>
        <v>80000</v>
      </c>
      <c r="G40" s="179" t="n">
        <f aca="false">$F$7</f>
        <v>0.1</v>
      </c>
      <c r="H40" s="180" t="n">
        <f aca="false">IF(OR(D40="",F40="",D40=0,F40=0),0,D40*F40*$H$8*(1+G40)*(1+$H$7))</f>
        <v>2185920</v>
      </c>
      <c r="I40" s="177" t="s">
        <v>281</v>
      </c>
      <c r="J40" s="185" t="s">
        <v>319</v>
      </c>
    </row>
    <row r="41" customFormat="false" ht="15" hidden="false" customHeight="true" outlineLevel="1" collapsed="false">
      <c r="A41" s="176" t="n">
        <v>2</v>
      </c>
      <c r="B41" s="1" t="s">
        <v>322</v>
      </c>
      <c r="C41" s="1" t="s">
        <v>323</v>
      </c>
      <c r="D41" s="183" t="n">
        <f aca="false">24</f>
        <v>24</v>
      </c>
      <c r="E41" s="176" t="str">
        <f aca="false">IFERROR(VLOOKUP($B41,'Unit Cost Database'!$A:$H,3,FALSE()),"LS")</f>
        <v>MO</v>
      </c>
      <c r="F41" s="184" t="n">
        <f aca="false">IFERROR(VLOOKUP($B41,'Unit Cost Database'!$A:$H,8,FALSE()),0)</f>
        <v>17500</v>
      </c>
      <c r="G41" s="179" t="n">
        <f aca="false">$F$7</f>
        <v>0.1</v>
      </c>
      <c r="H41" s="180" t="n">
        <f aca="false">IF(OR(D41="",F41="",D41=0,F41=0),0,D41*F41*$H$8*(1+G41)*(1+$H$7))</f>
        <v>478170</v>
      </c>
      <c r="I41" s="177" t="s">
        <v>281</v>
      </c>
      <c r="J41" s="185" t="s">
        <v>319</v>
      </c>
    </row>
    <row r="42" customFormat="false" ht="15" hidden="false" customHeight="true" outlineLevel="1" collapsed="false">
      <c r="A42" s="176" t="n">
        <v>3</v>
      </c>
      <c r="B42" s="1" t="s">
        <v>324</v>
      </c>
      <c r="C42" s="1" t="s">
        <v>325</v>
      </c>
      <c r="D42" s="183" t="n">
        <f aca="false">24</f>
        <v>24</v>
      </c>
      <c r="E42" s="176" t="str">
        <f aca="false">IFERROR(VLOOKUP($B42,'Unit Cost Database'!$A:$H,3,FALSE()),"LS")</f>
        <v>MO</v>
      </c>
      <c r="F42" s="184" t="n">
        <f aca="false">IFERROR(VLOOKUP($B42,'Unit Cost Database'!$A:$H,8,FALSE()),0)</f>
        <v>12600</v>
      </c>
      <c r="G42" s="179" t="n">
        <f aca="false">$F$7</f>
        <v>0.1</v>
      </c>
      <c r="H42" s="180" t="n">
        <f aca="false">IF(OR(D42="",F42="",D42=0,F42=0),0,D42*F42*$H$8*(1+G42)*(1+$H$7))</f>
        <v>344282.4</v>
      </c>
      <c r="I42" s="177" t="s">
        <v>281</v>
      </c>
      <c r="J42" s="185" t="s">
        <v>319</v>
      </c>
    </row>
    <row r="43" customFormat="false" ht="15" hidden="false" customHeight="true" outlineLevel="1" collapsed="false">
      <c r="A43" s="176" t="n">
        <v>4</v>
      </c>
      <c r="B43" s="1" t="s">
        <v>326</v>
      </c>
      <c r="C43" s="1" t="s">
        <v>327</v>
      </c>
      <c r="D43" s="183" t="n">
        <f aca="false">24</f>
        <v>24</v>
      </c>
      <c r="E43" s="176" t="str">
        <f aca="false">IFERROR(VLOOKUP($B43,'Unit Cost Database'!$A:$H,3,FALSE()),"LS")</f>
        <v>MO</v>
      </c>
      <c r="F43" s="184" t="n">
        <f aca="false">IFERROR(VLOOKUP($B43,'Unit Cost Database'!$A:$H,8,FALSE()),0)</f>
        <v>5950</v>
      </c>
      <c r="G43" s="179" t="n">
        <f aca="false">$F$7</f>
        <v>0.1</v>
      </c>
      <c r="H43" s="180" t="n">
        <f aca="false">IF(OR(D43="",F43="",D43=0,F43=0),0,D43*F43*$H$8*(1+G43)*(1+$H$7))</f>
        <v>162577.8</v>
      </c>
      <c r="I43" s="177" t="s">
        <v>281</v>
      </c>
      <c r="J43" s="185" t="s">
        <v>319</v>
      </c>
    </row>
    <row r="44" customFormat="false" ht="15" hidden="false" customHeight="true" outlineLevel="1" collapsed="false">
      <c r="A44" s="176" t="n">
        <v>5</v>
      </c>
      <c r="B44" s="1" t="s">
        <v>328</v>
      </c>
      <c r="C44" s="1" t="s">
        <v>329</v>
      </c>
      <c r="D44" s="183" t="n">
        <f aca="false">24</f>
        <v>24</v>
      </c>
      <c r="E44" s="176" t="str">
        <f aca="false">IFERROR(VLOOKUP($B44,'Unit Cost Database'!$A:$H,3,FALSE()),"LS")</f>
        <v>MO</v>
      </c>
      <c r="F44" s="184" t="n">
        <f aca="false">IFERROR(VLOOKUP($B44,'Unit Cost Database'!$A:$H,8,FALSE()),0)</f>
        <v>45500</v>
      </c>
      <c r="G44" s="179" t="n">
        <f aca="false">$F$7</f>
        <v>0.1</v>
      </c>
      <c r="H44" s="180" t="n">
        <f aca="false">IF(OR(D44="",F44="",D44=0,F44=0),0,D44*F44*$H$8*(1+G44)*(1+$H$7))</f>
        <v>1243242</v>
      </c>
      <c r="I44" s="177" t="s">
        <v>281</v>
      </c>
      <c r="J44" s="185" t="s">
        <v>319</v>
      </c>
    </row>
    <row r="45" customFormat="false" ht="15" hidden="false" customHeight="true" outlineLevel="1" collapsed="false">
      <c r="A45" s="176" t="n">
        <v>6</v>
      </c>
      <c r="B45" s="1" t="s">
        <v>330</v>
      </c>
      <c r="C45" s="1" t="s">
        <v>331</v>
      </c>
      <c r="D45" s="183" t="n">
        <f aca="false">24</f>
        <v>24</v>
      </c>
      <c r="E45" s="176" t="str">
        <f aca="false">IFERROR(VLOOKUP($B45,'Unit Cost Database'!$A:$H,3,FALSE()),"LS")</f>
        <v>MO</v>
      </c>
      <c r="F45" s="184" t="n">
        <f aca="false">IFERROR(VLOOKUP($B45,'Unit Cost Database'!$A:$H,8,FALSE()),0)</f>
        <v>20000</v>
      </c>
      <c r="G45" s="179" t="n">
        <f aca="false">$F$7</f>
        <v>0.1</v>
      </c>
      <c r="H45" s="180" t="n">
        <f aca="false">IF(OR(D45="",F45="",D45=0,F45=0),0,D45*F45*$H$8*(1+G45)*(1+$H$7))</f>
        <v>546480</v>
      </c>
      <c r="I45" s="177" t="s">
        <v>281</v>
      </c>
      <c r="J45" s="185" t="s">
        <v>319</v>
      </c>
    </row>
    <row r="46" customFormat="false" ht="15" hidden="false" customHeight="true" outlineLevel="0" collapsed="false">
      <c r="A46" s="176" t="n">
        <v>7</v>
      </c>
      <c r="B46" s="1" t="s">
        <v>332</v>
      </c>
      <c r="C46" s="1" t="s">
        <v>333</v>
      </c>
      <c r="D46" s="183" t="n">
        <f aca="false">24</f>
        <v>24</v>
      </c>
      <c r="E46" s="176" t="str">
        <f aca="false">IFERROR(VLOOKUP($B46,'Unit Cost Database'!$A:$H,3,FALSE()),"LS")</f>
        <v>MO</v>
      </c>
      <c r="F46" s="184" t="n">
        <f aca="false">IFERROR(VLOOKUP($B46,'Unit Cost Database'!$A:$H,8,FALSE()),0)</f>
        <v>24500</v>
      </c>
      <c r="G46" s="179" t="n">
        <f aca="false">$F$7</f>
        <v>0.1</v>
      </c>
      <c r="H46" s="180" t="n">
        <f aca="false">IF(OR(D46="",F46="",D46=0,F46=0),0,D46*F46*$H$8*(1+G46)*(1+$H$7))</f>
        <v>669438</v>
      </c>
      <c r="I46" s="177" t="s">
        <v>281</v>
      </c>
      <c r="J46" s="185" t="s">
        <v>319</v>
      </c>
    </row>
    <row r="47" customFormat="false" ht="15" hidden="false" customHeight="true" outlineLevel="0" collapsed="false">
      <c r="A47" s="176" t="n">
        <v>8</v>
      </c>
      <c r="B47" s="1" t="s">
        <v>334</v>
      </c>
      <c r="C47" s="1" t="s">
        <v>335</v>
      </c>
      <c r="D47" s="183" t="n">
        <f aca="false">24</f>
        <v>24</v>
      </c>
      <c r="E47" s="176" t="str">
        <f aca="false">IFERROR(VLOOKUP($B47,'Unit Cost Database'!$A:$H,3,FALSE()),"LS")</f>
        <v>MO</v>
      </c>
      <c r="F47" s="184" t="n">
        <f aca="false">IFERROR(VLOOKUP($B47,'Unit Cost Database'!$A:$H,8,FALSE()),0)</f>
        <v>17500</v>
      </c>
      <c r="G47" s="179" t="n">
        <f aca="false">$F$7</f>
        <v>0.1</v>
      </c>
      <c r="H47" s="180" t="n">
        <f aca="false">IF(OR(D47="",F47="",D47=0,F47=0),0,D47*F47*$H$8*(1+G47)*(1+$H$7))</f>
        <v>478170</v>
      </c>
      <c r="I47" s="177" t="s">
        <v>281</v>
      </c>
      <c r="J47" s="185" t="s">
        <v>319</v>
      </c>
    </row>
    <row r="48" customFormat="false" ht="15" hidden="false" customHeight="true" outlineLevel="0" collapsed="false">
      <c r="A48" s="176" t="n">
        <v>9</v>
      </c>
      <c r="B48" s="1" t="s">
        <v>336</v>
      </c>
      <c r="C48" s="1" t="s">
        <v>337</v>
      </c>
      <c r="D48" s="183" t="n">
        <f aca="false">24</f>
        <v>24</v>
      </c>
      <c r="E48" s="176" t="str">
        <f aca="false">IFERROR(VLOOKUP($B48,'Unit Cost Database'!$A:$H,3,FALSE()),"LS")</f>
        <v>MO</v>
      </c>
      <c r="F48" s="184" t="n">
        <f aca="false">IFERROR(VLOOKUP($B48,'Unit Cost Database'!$A:$H,8,FALSE()),0)</f>
        <v>24500</v>
      </c>
      <c r="G48" s="179" t="n">
        <f aca="false">$F$7</f>
        <v>0.1</v>
      </c>
      <c r="H48" s="180" t="n">
        <f aca="false">IF(OR(D48="",F48="",D48=0,F48=0),0,D48*F48*$H$8*(1+G48)*(1+$H$7))</f>
        <v>669438</v>
      </c>
      <c r="I48" s="177" t="s">
        <v>281</v>
      </c>
      <c r="J48" s="185" t="s">
        <v>319</v>
      </c>
    </row>
    <row r="49" customFormat="false" ht="15" hidden="false" customHeight="true" outlineLevel="1" collapsed="false">
      <c r="A49" s="176" t="n">
        <v>10</v>
      </c>
      <c r="B49" s="1" t="s">
        <v>338</v>
      </c>
      <c r="C49" s="1" t="s">
        <v>339</v>
      </c>
      <c r="D49" s="183" t="n">
        <f aca="false">24</f>
        <v>24</v>
      </c>
      <c r="E49" s="176" t="str">
        <f aca="false">IFERROR(VLOOKUP($B49,'Unit Cost Database'!$A:$H,3,FALSE()),"LS")</f>
        <v>MO</v>
      </c>
      <c r="F49" s="184" t="n">
        <f aca="false">IFERROR(VLOOKUP($B49,'Unit Cost Database'!$A:$H,8,FALSE()),0)</f>
        <v>45500</v>
      </c>
      <c r="G49" s="179" t="n">
        <f aca="false">$F$7</f>
        <v>0.1</v>
      </c>
      <c r="H49" s="180" t="n">
        <f aca="false">IF(OR(D49="",F49="",D49=0,F49=0),0,D49*F49*$H$8*(1+G49)*(1+$H$7))</f>
        <v>1243242</v>
      </c>
      <c r="I49" s="177" t="s">
        <v>281</v>
      </c>
      <c r="J49" s="185" t="s">
        <v>319</v>
      </c>
    </row>
    <row r="50" customFormat="false" ht="15" hidden="false" customHeight="true" outlineLevel="1" collapsed="false">
      <c r="A50" s="176" t="n">
        <v>11</v>
      </c>
      <c r="B50" s="1" t="s">
        <v>340</v>
      </c>
      <c r="C50" s="1" t="s">
        <v>341</v>
      </c>
      <c r="D50" s="183" t="n">
        <f aca="false">24</f>
        <v>24</v>
      </c>
      <c r="E50" s="176" t="str">
        <f aca="false">IFERROR(VLOOKUP($B50,'Unit Cost Database'!$A:$H,3,FALSE()),"LS")</f>
        <v>MO</v>
      </c>
      <c r="F50" s="184" t="n">
        <f aca="false">IFERROR(VLOOKUP($B50,'Unit Cost Database'!$A:$H,8,FALSE()),0)</f>
        <v>12600</v>
      </c>
      <c r="G50" s="179" t="n">
        <f aca="false">$F$7</f>
        <v>0.1</v>
      </c>
      <c r="H50" s="180" t="n">
        <f aca="false">IF(OR(D50="",F50="",D50=0,F50=0),0,D50*F50*$H$8*(1+G50)*(1+$H$7))</f>
        <v>344282.4</v>
      </c>
      <c r="I50" s="177" t="s">
        <v>281</v>
      </c>
      <c r="J50" s="185" t="s">
        <v>319</v>
      </c>
    </row>
    <row r="51" customFormat="false" ht="15" hidden="false" customHeight="true" outlineLevel="1" collapsed="false">
      <c r="A51" s="176" t="n">
        <v>12</v>
      </c>
      <c r="B51" s="1" t="s">
        <v>342</v>
      </c>
      <c r="C51" s="1" t="s">
        <v>343</v>
      </c>
      <c r="D51" s="183" t="n">
        <f aca="false">24</f>
        <v>24</v>
      </c>
      <c r="E51" s="176" t="str">
        <f aca="false">IFERROR(VLOOKUP($B51,'Unit Cost Database'!$A:$H,3,FALSE()),"LS")</f>
        <v>MO</v>
      </c>
      <c r="F51" s="184" t="n">
        <f aca="false">IFERROR(VLOOKUP($B51,'Unit Cost Database'!$A:$H,8,FALSE()),0)</f>
        <v>17500</v>
      </c>
      <c r="G51" s="179" t="n">
        <f aca="false">$F$7</f>
        <v>0.1</v>
      </c>
      <c r="H51" s="180" t="n">
        <f aca="false">IF(OR(D51="",F51="",D51=0,F51=0),0,D51*F51*$H$8*(1+G51)*(1+$H$7))</f>
        <v>478170</v>
      </c>
      <c r="I51" s="177" t="s">
        <v>281</v>
      </c>
      <c r="J51" s="185" t="s">
        <v>319</v>
      </c>
    </row>
    <row r="52" customFormat="false" ht="15" hidden="false" customHeight="true" outlineLevel="1" collapsed="false">
      <c r="A52" s="176" t="n">
        <v>13</v>
      </c>
      <c r="B52" s="1" t="s">
        <v>344</v>
      </c>
      <c r="C52" s="1" t="s">
        <v>345</v>
      </c>
      <c r="D52" s="183" t="n">
        <f aca="false">24</f>
        <v>24</v>
      </c>
      <c r="E52" s="176" t="str">
        <f aca="false">IFERROR(VLOOKUP($B52,'Unit Cost Database'!$A:$H,3,FALSE()),"LS")</f>
        <v>MO</v>
      </c>
      <c r="F52" s="184" t="n">
        <f aca="false">IFERROR(VLOOKUP($B52,'Unit Cost Database'!$A:$H,8,FALSE()),0)</f>
        <v>12600</v>
      </c>
      <c r="G52" s="179" t="n">
        <f aca="false">$F$7</f>
        <v>0.1</v>
      </c>
      <c r="H52" s="180" t="n">
        <f aca="false">IF(OR(D52="",F52="",D52=0,F52=0),0,D52*F52*$H$8*(1+G52)*(1+$H$7))</f>
        <v>344282.4</v>
      </c>
      <c r="I52" s="177" t="s">
        <v>281</v>
      </c>
      <c r="J52" s="185" t="s">
        <v>319</v>
      </c>
    </row>
    <row r="53" customFormat="false" ht="15" hidden="false" customHeight="true" outlineLevel="1" collapsed="false">
      <c r="A53" s="176" t="n">
        <v>14</v>
      </c>
      <c r="B53" s="1" t="s">
        <v>346</v>
      </c>
      <c r="C53" s="1" t="s">
        <v>347</v>
      </c>
      <c r="D53" s="183" t="n">
        <f aca="false">24</f>
        <v>24</v>
      </c>
      <c r="E53" s="176" t="str">
        <f aca="false">IFERROR(VLOOKUP($B53,'Unit Cost Database'!$A:$H,3,FALSE()),"LS")</f>
        <v>MO</v>
      </c>
      <c r="F53" s="184" t="n">
        <f aca="false">IFERROR(VLOOKUP($B53,'Unit Cost Database'!$A:$H,8,FALSE()),0)</f>
        <v>17500</v>
      </c>
      <c r="G53" s="179" t="n">
        <f aca="false">$F$7</f>
        <v>0.1</v>
      </c>
      <c r="H53" s="180" t="n">
        <f aca="false">IF(OR(D53="",F53="",D53=0,F53=0),0,D53*F53*$H$8*(1+G53)*(1+$H$7))</f>
        <v>478170</v>
      </c>
      <c r="I53" s="177" t="s">
        <v>281</v>
      </c>
      <c r="J53" s="185" t="s">
        <v>319</v>
      </c>
    </row>
    <row r="54" customFormat="false" ht="15" hidden="false" customHeight="true" outlineLevel="1" collapsed="false">
      <c r="A54" s="176" t="n">
        <v>15</v>
      </c>
      <c r="B54" s="1" t="s">
        <v>348</v>
      </c>
      <c r="C54" s="1" t="s">
        <v>349</v>
      </c>
      <c r="D54" s="183" t="n">
        <f aca="false">1</f>
        <v>1</v>
      </c>
      <c r="E54" s="176" t="str">
        <f aca="false">IFERROR(VLOOKUP($B54,'Unit Cost Database'!$A:$H,3,FALSE()),"LS")</f>
        <v>LS</v>
      </c>
      <c r="F54" s="184" t="n">
        <f aca="false">(H$772+H$792+H$835+H$112+H$164+H$212+H$387+H$359+H$495+H$665+H$239+H$272+H$292+H$714+H$742+H$75)*0.005</f>
        <v>4525263.94431758</v>
      </c>
      <c r="G54" s="179" t="n">
        <f aca="false">$F$7</f>
        <v>0.1</v>
      </c>
      <c r="H54" s="180" t="n">
        <f aca="false">IF(OR(D54="",F54="",D54=0,F54=0),0,D54*F54*$H$8*(1+G54)*(1+$H$7))</f>
        <v>5152013.00060557</v>
      </c>
      <c r="I54" s="177" t="s">
        <v>281</v>
      </c>
      <c r="J54" s="185" t="s">
        <v>319</v>
      </c>
    </row>
    <row r="55" customFormat="false" ht="15" hidden="false" customHeight="true" outlineLevel="1" collapsed="false">
      <c r="A55" s="176" t="n">
        <v>16</v>
      </c>
      <c r="B55" s="1" t="s">
        <v>350</v>
      </c>
      <c r="C55" s="1" t="s">
        <v>351</v>
      </c>
      <c r="D55" s="183" t="n">
        <f aca="false">1</f>
        <v>1</v>
      </c>
      <c r="E55" s="176" t="str">
        <f aca="false">IFERROR(VLOOKUP($B55,'Unit Cost Database'!$A:$H,3,FALSE()),"LS")</f>
        <v>LS</v>
      </c>
      <c r="F55" s="184" t="n">
        <f aca="false">(H$772+H$792+H$835+H$112+H$164+H$212+H$387+H$359+H$495+H$665+H$239+H$272+H$292+H$714+H$742+H$75)*0.012</f>
        <v>10860633.4663622</v>
      </c>
      <c r="G55" s="179" t="n">
        <f aca="false">$F$7</f>
        <v>0.1</v>
      </c>
      <c r="H55" s="180" t="n">
        <f aca="false">IF(OR(D55="",F55="",D55=0,F55=0),0,D55*F55*$H$8*(1+G55)*(1+$H$7))</f>
        <v>12364831.2014534</v>
      </c>
      <c r="I55" s="177" t="s">
        <v>281</v>
      </c>
      <c r="J55" s="185" t="s">
        <v>319</v>
      </c>
    </row>
    <row r="56" customFormat="false" ht="15" hidden="false" customHeight="true" outlineLevel="1" collapsed="false">
      <c r="A56" s="176" t="n">
        <v>17</v>
      </c>
      <c r="B56" s="1" t="s">
        <v>352</v>
      </c>
      <c r="C56" s="1" t="s">
        <v>353</v>
      </c>
      <c r="D56" s="183" t="n">
        <f aca="false">1</f>
        <v>1</v>
      </c>
      <c r="E56" s="176" t="str">
        <f aca="false">IFERROR(VLOOKUP($B56,'Unit Cost Database'!$A:$H,3,FALSE()),"LS")</f>
        <v>LS</v>
      </c>
      <c r="F56" s="184" t="n">
        <f aca="false">(H$772+H$792+H$835+H$112+H$164+H$212+H$387+H$359+H$495+H$665+H$239+H$272+H$292+H$714+H$742+H$75)*0.015</f>
        <v>13575791.8329527</v>
      </c>
      <c r="G56" s="179" t="n">
        <f aca="false">$F$7</f>
        <v>0.1</v>
      </c>
      <c r="H56" s="180" t="n">
        <f aca="false">IF(OR(D56="",F56="",D56=0,F56=0),0,D56*F56*$H$8*(1+G56)*(1+$H$7))</f>
        <v>15456039.0018167</v>
      </c>
      <c r="I56" s="177" t="s">
        <v>281</v>
      </c>
      <c r="J56" s="185" t="s">
        <v>319</v>
      </c>
    </row>
    <row r="57" customFormat="false" ht="15" hidden="false" customHeight="true" outlineLevel="1" collapsed="false">
      <c r="A57" s="176" t="n">
        <v>18</v>
      </c>
      <c r="B57" s="1" t="s">
        <v>354</v>
      </c>
      <c r="C57" s="1" t="s">
        <v>355</v>
      </c>
      <c r="D57" s="183" t="n">
        <f aca="false">24</f>
        <v>24</v>
      </c>
      <c r="E57" s="176" t="str">
        <f aca="false">IFERROR(VLOOKUP($B57,'Unit Cost Database'!$A:$H,3,FALSE()),"LS")</f>
        <v>MO</v>
      </c>
      <c r="F57" s="184" t="n">
        <f aca="false">IFERROR(VLOOKUP($B57,'Unit Cost Database'!$A:$H,8,FALSE()),0)</f>
        <v>12600</v>
      </c>
      <c r="G57" s="179" t="n">
        <f aca="false">$F$7</f>
        <v>0.1</v>
      </c>
      <c r="H57" s="180" t="n">
        <f aca="false">IF(OR(D57="",F57="",D57=0,F57=0),0,D57*F57*$H$8*(1+G57)*(1+$H$7))</f>
        <v>344282.4</v>
      </c>
      <c r="I57" s="177" t="s">
        <v>281</v>
      </c>
      <c r="J57" s="185" t="s">
        <v>319</v>
      </c>
    </row>
    <row r="58" customFormat="false" ht="15" hidden="false" customHeight="true" outlineLevel="1" collapsed="false">
      <c r="A58" s="186"/>
      <c r="B58" s="187"/>
      <c r="C58" s="188" t="s">
        <v>356</v>
      </c>
      <c r="D58" s="189"/>
      <c r="E58" s="186"/>
      <c r="F58" s="190"/>
      <c r="G58" s="191"/>
      <c r="H58" s="192" t="n">
        <f aca="false">SUM(H40:H57)</f>
        <v>42983030.6038756</v>
      </c>
      <c r="I58" s="187"/>
      <c r="J58" s="187"/>
    </row>
    <row r="59" customFormat="false" ht="15" hidden="false" customHeight="true" outlineLevel="1" collapsed="false">
      <c r="A59" s="176"/>
      <c r="D59" s="177"/>
      <c r="E59" s="176"/>
      <c r="F59" s="178"/>
      <c r="G59" s="179"/>
      <c r="H59" s="180"/>
    </row>
    <row r="60" customFormat="false" ht="15" hidden="false" customHeight="true" outlineLevel="1" collapsed="false">
      <c r="A60" s="193" t="s">
        <v>357</v>
      </c>
      <c r="B60" s="193"/>
      <c r="C60" s="193"/>
      <c r="D60" s="193"/>
      <c r="E60" s="193"/>
      <c r="F60" s="193"/>
      <c r="G60" s="193"/>
      <c r="H60" s="193"/>
      <c r="I60" s="182"/>
      <c r="J60" s="182" t="s">
        <v>358</v>
      </c>
    </row>
    <row r="61" customFormat="false" ht="15" hidden="false" customHeight="true" outlineLevel="1" collapsed="false">
      <c r="A61" s="176" t="n">
        <v>1</v>
      </c>
      <c r="B61" s="1" t="s">
        <v>359</v>
      </c>
      <c r="C61" s="1" t="s">
        <v>360</v>
      </c>
      <c r="D61" s="183" t="n">
        <f aca="false">$C$9</f>
        <v>90</v>
      </c>
      <c r="E61" s="176" t="str">
        <f aca="false">IFERROR(VLOOKUP($B61,'Unit Cost Database'!$A:$H,3,FALSE()),"LS")</f>
        <v>MW</v>
      </c>
      <c r="F61" s="184" t="n">
        <f aca="false">IFERROR(VLOOKUP($B61,'Unit Cost Database'!$A:$H,8,FALSE()),0)</f>
        <v>50000</v>
      </c>
      <c r="G61" s="179" t="n">
        <f aca="false">$F$7</f>
        <v>0.1</v>
      </c>
      <c r="H61" s="180" t="n">
        <f aca="false">IF(OR(D61="",F61="",D61=0,F61=0),0,D61*F61*$H$8*(1+G61)*(1+$H$7))</f>
        <v>5123250</v>
      </c>
      <c r="I61" s="177" t="s">
        <v>361</v>
      </c>
      <c r="J61" s="185" t="s">
        <v>358</v>
      </c>
    </row>
    <row r="62" customFormat="false" ht="15" hidden="false" customHeight="true" outlineLevel="1" collapsed="false">
      <c r="A62" s="176" t="n">
        <v>2</v>
      </c>
      <c r="B62" s="1" t="s">
        <v>362</v>
      </c>
      <c r="C62" s="1" t="s">
        <v>363</v>
      </c>
      <c r="D62" s="183" t="n">
        <f aca="false">$C$9*0.3</f>
        <v>27</v>
      </c>
      <c r="E62" s="176" t="str">
        <f aca="false">IFERROR(VLOOKUP($B62,'Unit Cost Database'!$A:$H,3,FALSE()),"LS")</f>
        <v>MW</v>
      </c>
      <c r="F62" s="184" t="n">
        <f aca="false">IFERROR(VLOOKUP($B62,'Unit Cost Database'!$A:$H,8,FALSE()),0)</f>
        <v>35000</v>
      </c>
      <c r="G62" s="179" t="n">
        <f aca="false">$F$7</f>
        <v>0.1</v>
      </c>
      <c r="H62" s="180" t="n">
        <f aca="false">IF(OR(D62="",F62="",D62=0,F62=0),0,D62*F62*$H$8*(1+G62)*(1+$H$7))</f>
        <v>1075882.5</v>
      </c>
      <c r="I62" s="177" t="s">
        <v>361</v>
      </c>
      <c r="J62" s="185" t="s">
        <v>358</v>
      </c>
    </row>
    <row r="63" customFormat="false" ht="15" hidden="false" customHeight="true" outlineLevel="1" collapsed="false">
      <c r="A63" s="176" t="n">
        <v>3</v>
      </c>
      <c r="B63" s="1" t="s">
        <v>364</v>
      </c>
      <c r="C63" s="1" t="s">
        <v>365</v>
      </c>
      <c r="D63" s="183" t="n">
        <f aca="false">$C$9*0.5</f>
        <v>45</v>
      </c>
      <c r="E63" s="176" t="str">
        <f aca="false">IFERROR(VLOOKUP($B63,'Unit Cost Database'!$A:$H,3,FALSE()),"LS")</f>
        <v>MW</v>
      </c>
      <c r="F63" s="184" t="n">
        <f aca="false">IFERROR(VLOOKUP($B63,'Unit Cost Database'!$A:$H,8,FALSE()),0)</f>
        <v>45000</v>
      </c>
      <c r="G63" s="179" t="n">
        <f aca="false">$F$7</f>
        <v>0.1</v>
      </c>
      <c r="H63" s="180" t="n">
        <f aca="false">IF(OR(D63="",F63="",D63=0,F63=0),0,D63*F63*$H$8*(1+G63)*(1+$H$7))</f>
        <v>2305462.5</v>
      </c>
      <c r="I63" s="177" t="s">
        <v>361</v>
      </c>
      <c r="J63" s="185" t="s">
        <v>358</v>
      </c>
    </row>
    <row r="64" customFormat="false" ht="15" hidden="false" customHeight="true" outlineLevel="1" collapsed="false">
      <c r="A64" s="176" t="n">
        <v>4</v>
      </c>
      <c r="B64" s="1" t="s">
        <v>366</v>
      </c>
      <c r="C64" s="1" t="s">
        <v>367</v>
      </c>
      <c r="D64" s="183" t="n">
        <f aca="false">$C$9*0.5</f>
        <v>45</v>
      </c>
      <c r="E64" s="176" t="str">
        <f aca="false">IFERROR(VLOOKUP($B64,'Unit Cost Database'!$A:$H,3,FALSE()),"LS")</f>
        <v>MW</v>
      </c>
      <c r="F64" s="184" t="n">
        <f aca="false">IFERROR(VLOOKUP($B64,'Unit Cost Database'!$A:$H,8,FALSE()),0)</f>
        <v>55000</v>
      </c>
      <c r="G64" s="179" t="n">
        <f aca="false">$F$7</f>
        <v>0.1</v>
      </c>
      <c r="H64" s="180" t="n">
        <f aca="false">IF(OR(D64="",F64="",D64=0,F64=0),0,D64*F64*$H$8*(1+G64)*(1+$H$7))</f>
        <v>2817787.5</v>
      </c>
      <c r="I64" s="177" t="s">
        <v>361</v>
      </c>
      <c r="J64" s="185" t="s">
        <v>358</v>
      </c>
    </row>
    <row r="65" customFormat="false" ht="15" hidden="false" customHeight="true" outlineLevel="1" collapsed="false">
      <c r="A65" s="176" t="n">
        <v>5</v>
      </c>
      <c r="B65" s="1" t="s">
        <v>368</v>
      </c>
      <c r="C65" s="1" t="s">
        <v>369</v>
      </c>
      <c r="D65" s="183" t="n">
        <f aca="false">$C$9</f>
        <v>90</v>
      </c>
      <c r="E65" s="176" t="str">
        <f aca="false">IFERROR(VLOOKUP($B65,'Unit Cost Database'!$A:$H,3,FALSE()),"LS")</f>
        <v>MW</v>
      </c>
      <c r="F65" s="184" t="n">
        <f aca="false">IFERROR(VLOOKUP($B65,'Unit Cost Database'!$A:$H,8,FALSE()),0)</f>
        <v>75000</v>
      </c>
      <c r="G65" s="179" t="n">
        <f aca="false">$F$7</f>
        <v>0.1</v>
      </c>
      <c r="H65" s="180" t="n">
        <f aca="false">IF(OR(D65="",F65="",D65=0,F65=0),0,D65*F65*$H$8*(1+G65)*(1+$H$7))</f>
        <v>7684875</v>
      </c>
      <c r="I65" s="177" t="s">
        <v>361</v>
      </c>
      <c r="J65" s="185" t="s">
        <v>358</v>
      </c>
    </row>
    <row r="66" customFormat="false" ht="15" hidden="false" customHeight="true" outlineLevel="0" collapsed="false">
      <c r="A66" s="176" t="n">
        <v>6</v>
      </c>
      <c r="B66" s="1" t="s">
        <v>370</v>
      </c>
      <c r="C66" s="1" t="s">
        <v>371</v>
      </c>
      <c r="D66" s="183" t="n">
        <f aca="false">$C$9</f>
        <v>90</v>
      </c>
      <c r="E66" s="176" t="str">
        <f aca="false">IFERROR(VLOOKUP($B66,'Unit Cost Database'!$A:$H,3,FALSE()),"LS")</f>
        <v>MW</v>
      </c>
      <c r="F66" s="184" t="n">
        <f aca="false">IFERROR(VLOOKUP($B66,'Unit Cost Database'!$A:$H,8,FALSE()),0)</f>
        <v>75000</v>
      </c>
      <c r="G66" s="179" t="n">
        <f aca="false">$F$7</f>
        <v>0.1</v>
      </c>
      <c r="H66" s="180" t="n">
        <f aca="false">IF(OR(D66="",F66="",D66=0,F66=0),0,D66*F66*$H$8*(1+G66)*(1+$H$7))</f>
        <v>7684875</v>
      </c>
      <c r="I66" s="177" t="s">
        <v>361</v>
      </c>
      <c r="J66" s="185" t="s">
        <v>358</v>
      </c>
    </row>
    <row r="67" customFormat="false" ht="15" hidden="false" customHeight="true" outlineLevel="0" collapsed="false">
      <c r="A67" s="176" t="n">
        <v>7</v>
      </c>
      <c r="B67" s="1" t="s">
        <v>372</v>
      </c>
      <c r="C67" s="1" t="s">
        <v>373</v>
      </c>
      <c r="D67" s="183" t="n">
        <f aca="false">$C$9</f>
        <v>90</v>
      </c>
      <c r="E67" s="176" t="str">
        <f aca="false">IFERROR(VLOOKUP($B67,'Unit Cost Database'!$A:$H,3,FALSE()),"LS")</f>
        <v>MW</v>
      </c>
      <c r="F67" s="184" t="n">
        <f aca="false">IFERROR(VLOOKUP($B67,'Unit Cost Database'!$A:$H,8,FALSE()),0)</f>
        <v>65000</v>
      </c>
      <c r="G67" s="179" t="n">
        <f aca="false">$F$7</f>
        <v>0.1</v>
      </c>
      <c r="H67" s="180" t="n">
        <f aca="false">IF(OR(D67="",F67="",D67=0,F67=0),0,D67*F67*$H$8*(1+G67)*(1+$H$7))</f>
        <v>6660225</v>
      </c>
      <c r="I67" s="177" t="s">
        <v>361</v>
      </c>
      <c r="J67" s="185" t="s">
        <v>358</v>
      </c>
    </row>
    <row r="68" customFormat="false" ht="15" hidden="false" customHeight="true" outlineLevel="0" collapsed="false">
      <c r="A68" s="176" t="n">
        <v>8</v>
      </c>
      <c r="B68" s="1" t="s">
        <v>374</v>
      </c>
      <c r="C68" s="1" t="s">
        <v>375</v>
      </c>
      <c r="D68" s="183" t="n">
        <f aca="false">$C$9*0.3</f>
        <v>27</v>
      </c>
      <c r="E68" s="176" t="str">
        <f aca="false">IFERROR(VLOOKUP($B68,'Unit Cost Database'!$A:$H,3,FALSE()),"LS")</f>
        <v>MW</v>
      </c>
      <c r="F68" s="184" t="n">
        <f aca="false">IFERROR(VLOOKUP($B68,'Unit Cost Database'!$A:$H,8,FALSE()),0)</f>
        <v>45000</v>
      </c>
      <c r="G68" s="179" t="n">
        <f aca="false">$F$7</f>
        <v>0.1</v>
      </c>
      <c r="H68" s="180" t="n">
        <f aca="false">IF(OR(D68="",F68="",D68=0,F68=0),0,D68*F68*$H$8*(1+G68)*(1+$H$7))</f>
        <v>1383277.5</v>
      </c>
      <c r="I68" s="177" t="s">
        <v>361</v>
      </c>
      <c r="J68" s="185" t="s">
        <v>358</v>
      </c>
    </row>
    <row r="69" customFormat="false" ht="15" hidden="false" customHeight="true" outlineLevel="1" collapsed="false">
      <c r="A69" s="176" t="n">
        <v>9</v>
      </c>
      <c r="B69" s="1" t="s">
        <v>376</v>
      </c>
      <c r="C69" s="1" t="s">
        <v>377</v>
      </c>
      <c r="D69" s="183" t="n">
        <f aca="false">$C$9</f>
        <v>90</v>
      </c>
      <c r="E69" s="176" t="str">
        <f aca="false">IFERROR(VLOOKUP($B69,'Unit Cost Database'!$A:$H,3,FALSE()),"LS")</f>
        <v>MW</v>
      </c>
      <c r="F69" s="184" t="n">
        <f aca="false">IFERROR(VLOOKUP($B69,'Unit Cost Database'!$A:$H,8,FALSE()),0)</f>
        <v>35000</v>
      </c>
      <c r="G69" s="179" t="n">
        <f aca="false">$F$7</f>
        <v>0.1</v>
      </c>
      <c r="H69" s="180" t="n">
        <f aca="false">IF(OR(D69="",F69="",D69=0,F69=0),0,D69*F69*$H$8*(1+G69)*(1+$H$7))</f>
        <v>3586275</v>
      </c>
      <c r="I69" s="177" t="s">
        <v>361</v>
      </c>
      <c r="J69" s="185" t="s">
        <v>358</v>
      </c>
    </row>
    <row r="70" customFormat="false" ht="15" hidden="false" customHeight="true" outlineLevel="1" collapsed="false">
      <c r="A70" s="176" t="n">
        <v>10</v>
      </c>
      <c r="B70" s="1" t="s">
        <v>378</v>
      </c>
      <c r="C70" s="1" t="s">
        <v>379</v>
      </c>
      <c r="D70" s="183" t="n">
        <f aca="false">$C$9</f>
        <v>90</v>
      </c>
      <c r="E70" s="176" t="str">
        <f aca="false">IFERROR(VLOOKUP($B70,'Unit Cost Database'!$A:$H,3,FALSE()),"LS")</f>
        <v>MW</v>
      </c>
      <c r="F70" s="184" t="n">
        <f aca="false">IFERROR(VLOOKUP($B70,'Unit Cost Database'!$A:$H,8,FALSE()),0)</f>
        <v>25000</v>
      </c>
      <c r="G70" s="179" t="n">
        <f aca="false">$F$7</f>
        <v>0.1</v>
      </c>
      <c r="H70" s="180" t="n">
        <f aca="false">IF(OR(D70="",F70="",D70=0,F70=0),0,D70*F70*$H$8*(1+G70)*(1+$H$7))</f>
        <v>2561625</v>
      </c>
      <c r="I70" s="177" t="s">
        <v>361</v>
      </c>
      <c r="J70" s="185" t="s">
        <v>358</v>
      </c>
    </row>
    <row r="71" customFormat="false" ht="15" hidden="false" customHeight="true" outlineLevel="1" collapsed="false">
      <c r="A71" s="176" t="n">
        <v>11</v>
      </c>
      <c r="B71" s="1" t="s">
        <v>380</v>
      </c>
      <c r="C71" s="1" t="s">
        <v>381</v>
      </c>
      <c r="D71" s="183" t="n">
        <f aca="false">$C$9</f>
        <v>90</v>
      </c>
      <c r="E71" s="176" t="str">
        <f aca="false">IFERROR(VLOOKUP($B71,'Unit Cost Database'!$A:$H,3,FALSE()),"LS")</f>
        <v>MW</v>
      </c>
      <c r="F71" s="184" t="n">
        <f aca="false">IFERROR(VLOOKUP($B71,'Unit Cost Database'!$A:$H,8,FALSE()),0)</f>
        <v>18000</v>
      </c>
      <c r="G71" s="179" t="n">
        <f aca="false">$F$7</f>
        <v>0.1</v>
      </c>
      <c r="H71" s="180" t="n">
        <f aca="false">IF(OR(D71="",F71="",D71=0,F71=0),0,D71*F71*$H$8*(1+G71)*(1+$H$7))</f>
        <v>1844370</v>
      </c>
      <c r="I71" s="177" t="s">
        <v>361</v>
      </c>
      <c r="J71" s="185" t="s">
        <v>358</v>
      </c>
    </row>
    <row r="72" customFormat="false" ht="15" hidden="false" customHeight="true" outlineLevel="1" collapsed="false">
      <c r="A72" s="176" t="n">
        <v>12</v>
      </c>
      <c r="B72" s="1" t="s">
        <v>382</v>
      </c>
      <c r="C72" s="1" t="s">
        <v>383</v>
      </c>
      <c r="D72" s="183" t="n">
        <f aca="false">1</f>
        <v>1</v>
      </c>
      <c r="E72" s="176" t="str">
        <f aca="false">IFERROR(VLOOKUP($B72,'Unit Cost Database'!$A:$H,3,FALSE()),"LS")</f>
        <v>LS</v>
      </c>
      <c r="F72" s="184" t="n">
        <f aca="false">IFERROR(VLOOKUP($B72,'Unit Cost Database'!$A:$H,8,FALSE()),0)</f>
        <v>250000</v>
      </c>
      <c r="G72" s="179" t="n">
        <f aca="false">$F$7</f>
        <v>0.1</v>
      </c>
      <c r="H72" s="180" t="n">
        <f aca="false">IF(OR(D72="",F72="",D72=0,F72=0),0,D72*F72*$H$8*(1+G72)*(1+$H$7))</f>
        <v>284625</v>
      </c>
      <c r="I72" s="177" t="s">
        <v>361</v>
      </c>
      <c r="J72" s="185" t="s">
        <v>358</v>
      </c>
    </row>
    <row r="73" customFormat="false" ht="15" hidden="false" customHeight="true" outlineLevel="1" collapsed="false">
      <c r="A73" s="176" t="n">
        <v>13</v>
      </c>
      <c r="B73" s="1" t="s">
        <v>384</v>
      </c>
      <c r="C73" s="1" t="s">
        <v>385</v>
      </c>
      <c r="D73" s="183" t="n">
        <f aca="false">$C$9*0.5</f>
        <v>45</v>
      </c>
      <c r="E73" s="176" t="str">
        <f aca="false">IFERROR(VLOOKUP($B73,'Unit Cost Database'!$A:$H,3,FALSE()),"LS")</f>
        <v>MW</v>
      </c>
      <c r="F73" s="184" t="n">
        <f aca="false">IFERROR(VLOOKUP($B73,'Unit Cost Database'!$A:$H,8,FALSE()),0)</f>
        <v>35000</v>
      </c>
      <c r="G73" s="179" t="n">
        <f aca="false">$F$7</f>
        <v>0.1</v>
      </c>
      <c r="H73" s="180" t="n">
        <f aca="false">IF(OR(D73="",F73="",D73=0,F73=0),0,D73*F73*$H$8*(1+G73)*(1+$H$7))</f>
        <v>1793137.5</v>
      </c>
      <c r="I73" s="177" t="s">
        <v>361</v>
      </c>
      <c r="J73" s="185" t="s">
        <v>358</v>
      </c>
    </row>
    <row r="74" customFormat="false" ht="15" hidden="false" customHeight="true" outlineLevel="1" collapsed="false">
      <c r="A74" s="176" t="n">
        <v>14</v>
      </c>
      <c r="B74" s="1" t="s">
        <v>386</v>
      </c>
      <c r="C74" s="1" t="s">
        <v>387</v>
      </c>
      <c r="D74" s="183" t="n">
        <f aca="false">$C$9</f>
        <v>90</v>
      </c>
      <c r="E74" s="176" t="str">
        <f aca="false">IFERROR(VLOOKUP($B74,'Unit Cost Database'!$A:$H,3,FALSE()),"LS")</f>
        <v>MW</v>
      </c>
      <c r="F74" s="184" t="n">
        <f aca="false">IFERROR(VLOOKUP($B74,'Unit Cost Database'!$A:$H,8,FALSE()),0)</f>
        <v>25000</v>
      </c>
      <c r="G74" s="179" t="n">
        <f aca="false">$F$7</f>
        <v>0.1</v>
      </c>
      <c r="H74" s="180" t="n">
        <f aca="false">IF(OR(D74="",F74="",D74=0,F74=0),0,D74*F74*$H$8*(1+G74)*(1+$H$7))</f>
        <v>2561625</v>
      </c>
      <c r="I74" s="177" t="s">
        <v>361</v>
      </c>
      <c r="J74" s="185" t="s">
        <v>358</v>
      </c>
    </row>
    <row r="75" customFormat="false" ht="15" hidden="false" customHeight="true" outlineLevel="1" collapsed="false">
      <c r="A75" s="186"/>
      <c r="B75" s="187"/>
      <c r="C75" s="188" t="s">
        <v>388</v>
      </c>
      <c r="D75" s="189"/>
      <c r="E75" s="186"/>
      <c r="F75" s="190"/>
      <c r="G75" s="191"/>
      <c r="H75" s="192" t="n">
        <f aca="false">SUM(H61:H74)</f>
        <v>47367292.5</v>
      </c>
      <c r="I75" s="187"/>
      <c r="J75" s="187"/>
    </row>
    <row r="76" customFormat="false" ht="15" hidden="false" customHeight="true" outlineLevel="1" collapsed="false">
      <c r="A76" s="176"/>
      <c r="D76" s="177"/>
      <c r="E76" s="176"/>
      <c r="F76" s="178"/>
      <c r="G76" s="179"/>
      <c r="H76" s="180"/>
    </row>
    <row r="77" customFormat="false" ht="15" hidden="false" customHeight="true" outlineLevel="1" collapsed="false">
      <c r="A77" s="193" t="s">
        <v>389</v>
      </c>
      <c r="B77" s="193"/>
      <c r="C77" s="193"/>
      <c r="D77" s="193"/>
      <c r="E77" s="193"/>
      <c r="F77" s="193"/>
      <c r="G77" s="193"/>
      <c r="H77" s="193"/>
      <c r="I77" s="182"/>
      <c r="J77" s="182" t="s">
        <v>76</v>
      </c>
    </row>
    <row r="78" customFormat="false" ht="15" hidden="false" customHeight="true" outlineLevel="1" collapsed="false">
      <c r="A78" s="176" t="n">
        <v>1</v>
      </c>
      <c r="B78" s="1" t="s">
        <v>390</v>
      </c>
      <c r="C78" s="1" t="s">
        <v>391</v>
      </c>
      <c r="D78" s="183" t="n">
        <f aca="false">$C$6*0.04/27</f>
        <v>1185.18518518519</v>
      </c>
      <c r="E78" s="176" t="str">
        <f aca="false">IFERROR(VLOOKUP($B78,'Unit Cost Database'!$A:$H,3,FALSE()),"LS")</f>
        <v>CY</v>
      </c>
      <c r="F78" s="184" t="n">
        <f aca="false">IFERROR(VLOOKUP($B78,'Unit Cost Database'!$A:$H,8,FALSE()),0)</f>
        <v>220</v>
      </c>
      <c r="G78" s="179" t="n">
        <f aca="false">$F$7</f>
        <v>0.1</v>
      </c>
      <c r="H78" s="180" t="n">
        <f aca="false">IF(OR(D78="",F78="",D78=0,F78=0),0,D78*F78*$H$8*(1+G78)*(1+$H$7))</f>
        <v>296853.333333333</v>
      </c>
      <c r="I78" s="177" t="s">
        <v>361</v>
      </c>
      <c r="J78" s="185" t="s">
        <v>76</v>
      </c>
    </row>
    <row r="79" customFormat="false" ht="15" hidden="false" customHeight="true" outlineLevel="1" collapsed="false">
      <c r="A79" s="176" t="n">
        <v>2</v>
      </c>
      <c r="B79" s="1" t="s">
        <v>392</v>
      </c>
      <c r="C79" s="1" t="s">
        <v>393</v>
      </c>
      <c r="D79" s="183" t="n">
        <f aca="false">$C$6*0.04/27</f>
        <v>1185.18518518519</v>
      </c>
      <c r="E79" s="176" t="str">
        <f aca="false">IFERROR(VLOOKUP($B79,'Unit Cost Database'!$A:$H,3,FALSE()),"LS")</f>
        <v>CY</v>
      </c>
      <c r="F79" s="184" t="n">
        <f aca="false">IFERROR(VLOOKUP($B79,'Unit Cost Database'!$A:$H,8,FALSE()),0)</f>
        <v>240</v>
      </c>
      <c r="G79" s="179" t="n">
        <f aca="false">$F$7</f>
        <v>0.1</v>
      </c>
      <c r="H79" s="180" t="n">
        <f aca="false">IF(OR(D79="",F79="",D79=0,F79=0),0,D79*F79*$H$8*(1+G79)*(1+$H$7))</f>
        <v>323840</v>
      </c>
      <c r="I79" s="177" t="s">
        <v>361</v>
      </c>
      <c r="J79" s="185" t="s">
        <v>76</v>
      </c>
    </row>
    <row r="80" customFormat="false" ht="15" hidden="false" customHeight="true" outlineLevel="1" collapsed="false">
      <c r="A80" s="176" t="n">
        <v>3</v>
      </c>
      <c r="B80" s="1" t="s">
        <v>394</v>
      </c>
      <c r="C80" s="1" t="s">
        <v>395</v>
      </c>
      <c r="D80" s="183" t="n">
        <f aca="false">$C$6*0.03/27</f>
        <v>888.888888888889</v>
      </c>
      <c r="E80" s="176" t="str">
        <f aca="false">IFERROR(VLOOKUP($B80,'Unit Cost Database'!$A:$H,3,FALSE()),"LS")</f>
        <v>CY</v>
      </c>
      <c r="F80" s="184" t="n">
        <f aca="false">IFERROR(VLOOKUP($B80,'Unit Cost Database'!$A:$H,8,FALSE()),0)</f>
        <v>450</v>
      </c>
      <c r="G80" s="179" t="n">
        <f aca="false">$F$7</f>
        <v>0.1</v>
      </c>
      <c r="H80" s="180" t="n">
        <f aca="false">IF(OR(D80="",F80="",D80=0,F80=0),0,D80*F80*$H$8*(1+G80)*(1+$H$7))</f>
        <v>455400</v>
      </c>
      <c r="I80" s="177" t="s">
        <v>361</v>
      </c>
      <c r="J80" s="185" t="s">
        <v>76</v>
      </c>
    </row>
    <row r="81" customFormat="false" ht="15" hidden="false" customHeight="true" outlineLevel="1" collapsed="false">
      <c r="A81" s="176" t="n">
        <v>4</v>
      </c>
      <c r="B81" s="1" t="s">
        <v>396</v>
      </c>
      <c r="C81" s="1" t="s">
        <v>397</v>
      </c>
      <c r="D81" s="183" t="n">
        <f aca="false">$C$6*0.02/27</f>
        <v>592.592592592593</v>
      </c>
      <c r="E81" s="176" t="str">
        <f aca="false">IFERROR(VLOOKUP($B81,'Unit Cost Database'!$A:$H,3,FALSE()),"LS")</f>
        <v>CY</v>
      </c>
      <c r="F81" s="184" t="n">
        <f aca="false">IFERROR(VLOOKUP($B81,'Unit Cost Database'!$A:$H,8,FALSE()),0)</f>
        <v>650</v>
      </c>
      <c r="G81" s="179" t="n">
        <f aca="false">$F$7</f>
        <v>0.1</v>
      </c>
      <c r="H81" s="180" t="n">
        <f aca="false">IF(OR(D81="",F81="",D81=0,F81=0),0,D81*F81*$H$8*(1+G81)*(1+$H$7))</f>
        <v>438533.333333333</v>
      </c>
      <c r="I81" s="177" t="s">
        <v>361</v>
      </c>
      <c r="J81" s="185" t="s">
        <v>76</v>
      </c>
    </row>
    <row r="82" customFormat="false" ht="15" hidden="false" customHeight="true" outlineLevel="1" collapsed="false">
      <c r="A82" s="176" t="n">
        <v>5</v>
      </c>
      <c r="B82" s="1" t="s">
        <v>398</v>
      </c>
      <c r="C82" s="1" t="s">
        <v>399</v>
      </c>
      <c r="D82" s="183" t="n">
        <v>240000</v>
      </c>
      <c r="E82" s="176" t="str">
        <f aca="false">IFERROR(VLOOKUP($B82,'Unit Cost Database'!$A:$H,3,FALSE()),"LS")</f>
        <v>SF</v>
      </c>
      <c r="F82" s="184" t="n">
        <f aca="false">IFERROR(VLOOKUP($B82,'Unit Cost Database'!$A:$H,8,FALSE()),0)</f>
        <v>14</v>
      </c>
      <c r="G82" s="179" t="n">
        <f aca="false">$F$7</f>
        <v>0.1</v>
      </c>
      <c r="H82" s="180" t="n">
        <f aca="false">IF(OR(D82="",F82="",D82=0,F82=0),0,D82*F82*$H$8*(1+G82)*(1+$H$7))</f>
        <v>3825360</v>
      </c>
      <c r="I82" s="177" t="s">
        <v>361</v>
      </c>
      <c r="J82" s="185" t="s">
        <v>76</v>
      </c>
    </row>
    <row r="83" customFormat="false" ht="15" hidden="false" customHeight="true" outlineLevel="1" collapsed="false">
      <c r="A83" s="176"/>
      <c r="B83" s="1" t="s">
        <v>400</v>
      </c>
      <c r="C83" s="1" t="s">
        <v>401</v>
      </c>
      <c r="D83" s="183" t="n">
        <v>0</v>
      </c>
      <c r="E83" s="176" t="str">
        <f aca="false">IFERROR(VLOOKUP($B83,'Unit Cost Database'!$A:$H,3,FALSE()),"LS")</f>
        <v>LS</v>
      </c>
      <c r="F83" s="194" t="n">
        <f aca="false">IFERROR(VLOOKUP($B83,'Unit Cost Database'!$A:$H,8,FALSE()),0)</f>
        <v>1848000</v>
      </c>
      <c r="G83" s="179" t="n">
        <f aca="false">$F$7</f>
        <v>0.1</v>
      </c>
      <c r="H83" s="180" t="n">
        <f aca="false">IF(OR(D83="",F83="",D83=0,F83=0),0,D83*F83*$H$8*(1+G83)*(1+$H$7))</f>
        <v>0</v>
      </c>
      <c r="I83" s="177" t="s">
        <v>361</v>
      </c>
      <c r="J83" s="185" t="s">
        <v>76</v>
      </c>
    </row>
    <row r="84" customFormat="false" ht="15" hidden="false" customHeight="true" outlineLevel="1" collapsed="false">
      <c r="A84" s="176"/>
      <c r="B84" s="1" t="s">
        <v>402</v>
      </c>
      <c r="C84" s="1" t="s">
        <v>403</v>
      </c>
      <c r="D84" s="183" t="n">
        <v>0</v>
      </c>
      <c r="E84" s="176" t="str">
        <f aca="false">IFERROR(VLOOKUP($B84,'Unit Cost Database'!$A:$H,3,FALSE()),"LS")</f>
        <v>LS</v>
      </c>
      <c r="F84" s="194" t="n">
        <f aca="false">IFERROR(VLOOKUP($B84,'Unit Cost Database'!$A:$H,8,FALSE()),0)</f>
        <v>672000</v>
      </c>
      <c r="G84" s="179" t="n">
        <f aca="false">$F$7</f>
        <v>0.1</v>
      </c>
      <c r="H84" s="180" t="n">
        <f aca="false">IF(OR(D84="",F84="",D84=0,F84=0),0,D84*F84*$H$8*(1+G84)*(1+$H$7))</f>
        <v>0</v>
      </c>
      <c r="I84" s="177" t="s">
        <v>361</v>
      </c>
      <c r="J84" s="185" t="s">
        <v>76</v>
      </c>
    </row>
    <row r="85" customFormat="false" ht="15" hidden="false" customHeight="true" outlineLevel="1" collapsed="false">
      <c r="A85" s="176"/>
      <c r="B85" s="1" t="s">
        <v>404</v>
      </c>
      <c r="C85" s="1" t="s">
        <v>405</v>
      </c>
      <c r="D85" s="183" t="n">
        <v>0</v>
      </c>
      <c r="E85" s="176" t="str">
        <f aca="false">IFERROR(VLOOKUP($B85,'Unit Cost Database'!$A:$H,3,FALSE()),"LS")</f>
        <v>LS</v>
      </c>
      <c r="F85" s="194" t="n">
        <f aca="false">IFERROR(VLOOKUP($B85,'Unit Cost Database'!$A:$H,8,FALSE()),0)</f>
        <v>504000</v>
      </c>
      <c r="G85" s="179" t="n">
        <f aca="false">$F$7</f>
        <v>0.1</v>
      </c>
      <c r="H85" s="180" t="n">
        <f aca="false">IF(OR(D85="",F85="",D85=0,F85=0),0,D85*F85*$H$8*(1+G85)*(1+$H$7))</f>
        <v>0</v>
      </c>
      <c r="I85" s="177" t="s">
        <v>361</v>
      </c>
      <c r="J85" s="185" t="s">
        <v>76</v>
      </c>
    </row>
    <row r="86" customFormat="false" ht="15" hidden="false" customHeight="true" outlineLevel="1" collapsed="false">
      <c r="A86" s="176"/>
      <c r="B86" s="1" t="s">
        <v>406</v>
      </c>
      <c r="C86" s="1" t="s">
        <v>407</v>
      </c>
      <c r="D86" s="183" t="n">
        <v>0</v>
      </c>
      <c r="E86" s="176" t="str">
        <f aca="false">IFERROR(VLOOKUP($B86,'Unit Cost Database'!$A:$H,3,FALSE()),"LS")</f>
        <v>LS</v>
      </c>
      <c r="F86" s="194" t="n">
        <f aca="false">IFERROR(VLOOKUP($B86,'Unit Cost Database'!$A:$H,8,FALSE()),0)</f>
        <v>336000</v>
      </c>
      <c r="G86" s="179" t="n">
        <f aca="false">$F$7</f>
        <v>0.1</v>
      </c>
      <c r="H86" s="180" t="n">
        <f aca="false">IF(OR(D86="",F86="",D86=0,F86=0),0,D86*F86*$H$8*(1+G86)*(1+$H$7))</f>
        <v>0</v>
      </c>
      <c r="I86" s="177" t="s">
        <v>361</v>
      </c>
      <c r="J86" s="185" t="s">
        <v>76</v>
      </c>
    </row>
    <row r="87" customFormat="false" ht="15" hidden="false" customHeight="true" outlineLevel="1" collapsed="false">
      <c r="A87" s="176" t="n">
        <v>6</v>
      </c>
      <c r="B87" s="1" t="s">
        <v>408</v>
      </c>
      <c r="C87" s="1" t="s">
        <v>409</v>
      </c>
      <c r="D87" s="183" t="n">
        <v>605548.284665651</v>
      </c>
      <c r="E87" s="176" t="str">
        <f aca="false">IFERROR(VLOOKUP($B87,'Unit Cost Database'!$A:$H,3,FALSE()),"LS")</f>
        <v>SF</v>
      </c>
      <c r="F87" s="184" t="n">
        <f aca="false">IFERROR(VLOOKUP($B87,'Unit Cost Database'!$A:$H,8,FALSE()),0)</f>
        <v>10</v>
      </c>
      <c r="G87" s="179" t="n">
        <f aca="false">$F$7</f>
        <v>0.1</v>
      </c>
      <c r="H87" s="180" t="n">
        <f aca="false">IF(OR(D87="",F87="",D87=0,F87=0),0,D87*F87*$H$8*(1+G87)*(1+$H$7))</f>
        <v>6894167.22091844</v>
      </c>
      <c r="I87" s="177" t="s">
        <v>361</v>
      </c>
      <c r="J87" s="185" t="s">
        <v>76</v>
      </c>
    </row>
    <row r="88" customFormat="false" ht="15" hidden="false" customHeight="true" outlineLevel="1" collapsed="false">
      <c r="A88" s="176"/>
      <c r="B88" s="1" t="s">
        <v>410</v>
      </c>
      <c r="C88" s="1" t="s">
        <v>411</v>
      </c>
      <c r="D88" s="183" t="n">
        <v>0</v>
      </c>
      <c r="E88" s="176" t="str">
        <f aca="false">IFERROR(VLOOKUP($B88,'Unit Cost Database'!$A:$H,3,FALSE()),"LS")</f>
        <v>LS</v>
      </c>
      <c r="F88" s="184" t="n">
        <f aca="false">IFERROR(VLOOKUP($B88,'Unit Cost Database'!$A:$H,8,FALSE()),0)</f>
        <v>3330515.56564609</v>
      </c>
      <c r="G88" s="179" t="n">
        <f aca="false">$F$7</f>
        <v>0.1</v>
      </c>
      <c r="H88" s="180" t="n">
        <f aca="false">IF(OR(D88="",F88="",D88=0,F88=0),0,D88*F88*$H$8*(1+G88)*(1+$H$7))</f>
        <v>0</v>
      </c>
      <c r="I88" s="177" t="s">
        <v>361</v>
      </c>
      <c r="J88" s="185" t="s">
        <v>76</v>
      </c>
    </row>
    <row r="89" customFormat="false" ht="15" hidden="false" customHeight="true" outlineLevel="1" collapsed="false">
      <c r="A89" s="176"/>
      <c r="B89" s="1" t="s">
        <v>412</v>
      </c>
      <c r="C89" s="1" t="s">
        <v>413</v>
      </c>
      <c r="D89" s="183" t="n">
        <v>0</v>
      </c>
      <c r="E89" s="176" t="str">
        <f aca="false">IFERROR(VLOOKUP($B89,'Unit Cost Database'!$A:$H,3,FALSE()),"LS")</f>
        <v>LS</v>
      </c>
      <c r="F89" s="184" t="n">
        <f aca="false">IFERROR(VLOOKUP($B89,'Unit Cost Database'!$A:$H,8,FALSE()),0)</f>
        <v>1211096.56937128</v>
      </c>
      <c r="G89" s="179" t="n">
        <f aca="false">$F$7</f>
        <v>0.1</v>
      </c>
      <c r="H89" s="180" t="n">
        <f aca="false">IF(OR(D89="",F89="",D89=0,F89=0),0,D89*F89*$H$8*(1+G89)*(1+$H$7))</f>
        <v>0</v>
      </c>
      <c r="I89" s="177" t="s">
        <v>361</v>
      </c>
      <c r="J89" s="185" t="s">
        <v>76</v>
      </c>
    </row>
    <row r="90" customFormat="false" ht="15" hidden="false" customHeight="true" outlineLevel="1" collapsed="false">
      <c r="A90" s="176"/>
      <c r="B90" s="1" t="s">
        <v>414</v>
      </c>
      <c r="C90" s="1" t="s">
        <v>415</v>
      </c>
      <c r="D90" s="183" t="n">
        <v>0</v>
      </c>
      <c r="E90" s="176" t="str">
        <f aca="false">IFERROR(VLOOKUP($B90,'Unit Cost Database'!$A:$H,3,FALSE()),"LS")</f>
        <v>LS</v>
      </c>
      <c r="F90" s="184" t="n">
        <f aca="false">IFERROR(VLOOKUP($B90,'Unit Cost Database'!$A:$H,8,FALSE()),0)</f>
        <v>908322.427003473</v>
      </c>
      <c r="G90" s="179" t="n">
        <f aca="false">$F$7</f>
        <v>0.1</v>
      </c>
      <c r="H90" s="180" t="n">
        <f aca="false">IF(OR(D90="",F90="",D90=0,F90=0),0,D90*F90*$H$8*(1+G90)*(1+$H$7))</f>
        <v>0</v>
      </c>
      <c r="I90" s="177" t="s">
        <v>361</v>
      </c>
      <c r="J90" s="185" t="s">
        <v>76</v>
      </c>
    </row>
    <row r="91" customFormat="false" ht="15" hidden="false" customHeight="true" outlineLevel="1" collapsed="false">
      <c r="A91" s="176"/>
      <c r="B91" s="1" t="s">
        <v>416</v>
      </c>
      <c r="C91" s="1" t="s">
        <v>417</v>
      </c>
      <c r="D91" s="183" t="n">
        <v>0</v>
      </c>
      <c r="E91" s="176" t="str">
        <f aca="false">IFERROR(VLOOKUP($B91,'Unit Cost Database'!$A:$H,3,FALSE()),"LS")</f>
        <v>LS</v>
      </c>
      <c r="F91" s="184" t="n">
        <f aca="false">IFERROR(VLOOKUP($B91,'Unit Cost Database'!$A:$H,8,FALSE()),0)</f>
        <v>605548.284635668</v>
      </c>
      <c r="G91" s="179" t="n">
        <f aca="false">$F$7</f>
        <v>0.1</v>
      </c>
      <c r="H91" s="180" t="n">
        <f aca="false">IF(OR(D91="",F91="",D91=0,F91=0),0,D91*F91*$H$8*(1+G91)*(1+$H$7))</f>
        <v>0</v>
      </c>
      <c r="I91" s="177" t="s">
        <v>361</v>
      </c>
      <c r="J91" s="185" t="s">
        <v>76</v>
      </c>
    </row>
    <row r="92" customFormat="false" ht="15" hidden="false" customHeight="true" outlineLevel="1" collapsed="false">
      <c r="A92" s="176" t="n">
        <v>7</v>
      </c>
      <c r="B92" s="1" t="s">
        <v>418</v>
      </c>
      <c r="C92" s="1" t="s">
        <v>419</v>
      </c>
      <c r="D92" s="183" t="n">
        <f aca="false">$C$6*0.02</f>
        <v>16000</v>
      </c>
      <c r="E92" s="176" t="str">
        <f aca="false">IFERROR(VLOOKUP($B92,'Unit Cost Database'!$A:$H,3,FALSE()),"LS")</f>
        <v>SF</v>
      </c>
      <c r="F92" s="184" t="n">
        <f aca="false">IFERROR(VLOOKUP($B92,'Unit Cost Database'!$A:$H,8,FALSE()),0)</f>
        <v>18</v>
      </c>
      <c r="G92" s="179" t="n">
        <f aca="false">$F$7</f>
        <v>0.1</v>
      </c>
      <c r="H92" s="180" t="n">
        <f aca="false">IF(OR(D92="",F92="",D92=0,F92=0),0,D92*F92*$H$8*(1+G92)*(1+$H$7))</f>
        <v>327888</v>
      </c>
      <c r="I92" s="177" t="s">
        <v>361</v>
      </c>
      <c r="J92" s="185" t="s">
        <v>76</v>
      </c>
    </row>
    <row r="93" customFormat="false" ht="15" hidden="false" customHeight="true" outlineLevel="1" collapsed="false">
      <c r="A93" s="176" t="n">
        <v>8</v>
      </c>
      <c r="B93" s="1" t="s">
        <v>420</v>
      </c>
      <c r="C93" s="1" t="s">
        <v>421</v>
      </c>
      <c r="D93" s="183" t="n">
        <f aca="false">$C$13</f>
        <v>440000</v>
      </c>
      <c r="E93" s="176" t="str">
        <f aca="false">IFERROR(VLOOKUP($B93,'Unit Cost Database'!$A:$H,3,FALSE()),"LS")</f>
        <v>SF</v>
      </c>
      <c r="F93" s="184" t="n">
        <f aca="false">IFERROR(VLOOKUP($B93,'Unit Cost Database'!$A:$H,8,FALSE()),0)</f>
        <v>2.8</v>
      </c>
      <c r="G93" s="179" t="n">
        <f aca="false">$F$7</f>
        <v>0.1</v>
      </c>
      <c r="H93" s="180" t="n">
        <f aca="false">IF(OR(D93="",F93="",D93=0,F93=0),0,D93*F93*$H$8*(1+G93)*(1+$H$7))</f>
        <v>1402632</v>
      </c>
      <c r="I93" s="177" t="s">
        <v>361</v>
      </c>
      <c r="J93" s="185" t="s">
        <v>76</v>
      </c>
    </row>
    <row r="94" customFormat="false" ht="15" hidden="false" customHeight="true" outlineLevel="1" collapsed="false">
      <c r="A94" s="176" t="n">
        <v>9</v>
      </c>
      <c r="B94" s="1" t="s">
        <v>422</v>
      </c>
      <c r="C94" s="1" t="s">
        <v>423</v>
      </c>
      <c r="D94" s="183" t="n">
        <v>480000</v>
      </c>
      <c r="E94" s="176" t="str">
        <f aca="false">IFERROR(VLOOKUP($B94,'Unit Cost Database'!$A:$H,3,FALSE()),"LS")</f>
        <v>SF</v>
      </c>
      <c r="F94" s="184" t="n">
        <f aca="false">IFERROR(VLOOKUP($B94,'Unit Cost Database'!$A:$H,8,FALSE()),0)</f>
        <v>18</v>
      </c>
      <c r="G94" s="179" t="n">
        <f aca="false">$F$7</f>
        <v>0.1</v>
      </c>
      <c r="H94" s="180" t="n">
        <f aca="false">IF(OR(D94="",F94="",D94=0,F94=0),0,D94*F94*$H$8*(1+G94)*(1+$H$7))</f>
        <v>9836640</v>
      </c>
      <c r="I94" s="177" t="s">
        <v>361</v>
      </c>
      <c r="J94" s="185" t="s">
        <v>76</v>
      </c>
    </row>
    <row r="95" customFormat="false" ht="15" hidden="false" customHeight="true" outlineLevel="1" collapsed="false">
      <c r="A95" s="176"/>
      <c r="B95" s="1" t="s">
        <v>424</v>
      </c>
      <c r="C95" s="1" t="s">
        <v>425</v>
      </c>
      <c r="D95" s="183" t="n">
        <v>0</v>
      </c>
      <c r="E95" s="176" t="str">
        <f aca="false">IFERROR(VLOOKUP($B95,'Unit Cost Database'!$A:$H,3,FALSE()),"LS")</f>
        <v>LS</v>
      </c>
      <c r="F95" s="184" t="n">
        <f aca="false">IFERROR(VLOOKUP($B95,'Unit Cost Database'!$A:$H,8,FALSE()),0)</f>
        <v>5184000</v>
      </c>
      <c r="G95" s="179" t="n">
        <f aca="false">$F$7</f>
        <v>0.1</v>
      </c>
      <c r="H95" s="180" t="n">
        <f aca="false">IF(OR(D95="",F95="",D95=0,F95=0),0,D95*F95*$H$8*(1+G95)*(1+$H$7))</f>
        <v>0</v>
      </c>
      <c r="I95" s="177" t="s">
        <v>361</v>
      </c>
      <c r="J95" s="185" t="s">
        <v>76</v>
      </c>
    </row>
    <row r="96" customFormat="false" ht="15" hidden="false" customHeight="true" outlineLevel="1" collapsed="false">
      <c r="A96" s="176"/>
      <c r="B96" s="1" t="s">
        <v>426</v>
      </c>
      <c r="C96" s="1" t="s">
        <v>427</v>
      </c>
      <c r="D96" s="183" t="n">
        <v>0</v>
      </c>
      <c r="E96" s="176" t="str">
        <f aca="false">IFERROR(VLOOKUP($B96,'Unit Cost Database'!$A:$H,3,FALSE()),"LS")</f>
        <v>LS</v>
      </c>
      <c r="F96" s="184" t="n">
        <f aca="false">IFERROR(VLOOKUP($B96,'Unit Cost Database'!$A:$H,8,FALSE()),0)</f>
        <v>2160000</v>
      </c>
      <c r="G96" s="179" t="n">
        <f aca="false">$F$7</f>
        <v>0.1</v>
      </c>
      <c r="H96" s="180" t="n">
        <f aca="false">IF(OR(D96="",F96="",D96=0,F96=0),0,D96*F96*$H$8*(1+G96)*(1+$H$7))</f>
        <v>0</v>
      </c>
      <c r="I96" s="177" t="s">
        <v>361</v>
      </c>
      <c r="J96" s="185" t="s">
        <v>76</v>
      </c>
    </row>
    <row r="97" customFormat="false" ht="15" hidden="false" customHeight="true" outlineLevel="1" collapsed="false">
      <c r="A97" s="176"/>
      <c r="B97" s="1" t="s">
        <v>428</v>
      </c>
      <c r="C97" s="1" t="s">
        <v>429</v>
      </c>
      <c r="D97" s="183" t="n">
        <v>0</v>
      </c>
      <c r="E97" s="176" t="str">
        <f aca="false">IFERROR(VLOOKUP($B97,'Unit Cost Database'!$A:$H,3,FALSE()),"LS")</f>
        <v>LS</v>
      </c>
      <c r="F97" s="184" t="n">
        <f aca="false">IFERROR(VLOOKUP($B97,'Unit Cost Database'!$A:$H,8,FALSE()),0)</f>
        <v>864000</v>
      </c>
      <c r="G97" s="179" t="n">
        <f aca="false">$F$7</f>
        <v>0.1</v>
      </c>
      <c r="H97" s="180" t="n">
        <f aca="false">IF(OR(D97="",F97="",D97=0,F97=0),0,D97*F97*$H$8*(1+G97)*(1+$H$7))</f>
        <v>0</v>
      </c>
      <c r="I97" s="177" t="s">
        <v>361</v>
      </c>
      <c r="J97" s="185" t="s">
        <v>76</v>
      </c>
    </row>
    <row r="98" customFormat="false" ht="15" hidden="false" customHeight="true" outlineLevel="1" collapsed="false">
      <c r="A98" s="176"/>
      <c r="B98" s="1" t="s">
        <v>430</v>
      </c>
      <c r="C98" s="1" t="s">
        <v>431</v>
      </c>
      <c r="D98" s="183" t="n">
        <v>0</v>
      </c>
      <c r="E98" s="176" t="str">
        <f aca="false">IFERROR(VLOOKUP($B98,'Unit Cost Database'!$A:$H,3,FALSE()),"LS")</f>
        <v>LS</v>
      </c>
      <c r="F98" s="184" t="n">
        <f aca="false">IFERROR(VLOOKUP($B98,'Unit Cost Database'!$A:$H,8,FALSE()),0)</f>
        <v>432000</v>
      </c>
      <c r="G98" s="179" t="n">
        <f aca="false">$F$7</f>
        <v>0.1</v>
      </c>
      <c r="H98" s="180" t="n">
        <f aca="false">IF(OR(D98="",F98="",D98=0,F98=0),0,D98*F98*$H$8*(1+G98)*(1+$H$7))</f>
        <v>0</v>
      </c>
      <c r="I98" s="177" t="s">
        <v>361</v>
      </c>
      <c r="J98" s="185" t="s">
        <v>76</v>
      </c>
    </row>
    <row r="99" customFormat="false" ht="15" hidden="false" customHeight="true" outlineLevel="1" collapsed="false">
      <c r="A99" s="176" t="n">
        <v>10</v>
      </c>
      <c r="B99" s="1" t="s">
        <v>432</v>
      </c>
      <c r="C99" s="1" t="s">
        <v>433</v>
      </c>
      <c r="D99" s="183" t="n">
        <f aca="false">$C$6*0.05</f>
        <v>40000</v>
      </c>
      <c r="E99" s="176" t="str">
        <f aca="false">IFERROR(VLOOKUP($B99,'Unit Cost Database'!$A:$H,3,FALSE()),"LS")</f>
        <v>SF</v>
      </c>
      <c r="F99" s="184" t="n">
        <f aca="false">IFERROR(VLOOKUP($B99,'Unit Cost Database'!$A:$H,8,FALSE()),0)</f>
        <v>21</v>
      </c>
      <c r="G99" s="179" t="n">
        <f aca="false">$F$7</f>
        <v>0.1</v>
      </c>
      <c r="H99" s="180" t="n">
        <f aca="false">IF(OR(D99="",F99="",D99=0,F99=0),0,D99*F99*$H$8*(1+G99)*(1+$H$7))</f>
        <v>956340</v>
      </c>
      <c r="I99" s="177" t="s">
        <v>361</v>
      </c>
      <c r="J99" s="185" t="s">
        <v>76</v>
      </c>
    </row>
    <row r="100" customFormat="false" ht="15" hidden="false" customHeight="true" outlineLevel="1" collapsed="false">
      <c r="A100" s="176" t="n">
        <v>11</v>
      </c>
      <c r="B100" s="1" t="s">
        <v>434</v>
      </c>
      <c r="C100" s="1" t="s">
        <v>435</v>
      </c>
      <c r="D100" s="183" t="n">
        <f aca="false">$C$6</f>
        <v>800000</v>
      </c>
      <c r="E100" s="176" t="str">
        <f aca="false">IFERROR(VLOOKUP($B100,'Unit Cost Database'!$A:$H,3,FALSE()),"LS")</f>
        <v>SF</v>
      </c>
      <c r="F100" s="184" t="n">
        <f aca="false">IFERROR(VLOOKUP($B100,'Unit Cost Database'!$A:$H,8,FALSE()),0)</f>
        <v>0.35</v>
      </c>
      <c r="G100" s="179" t="n">
        <f aca="false">$F$7</f>
        <v>0.1</v>
      </c>
      <c r="H100" s="180" t="n">
        <f aca="false">IF(OR(D100="",F100="",D100=0,F100=0),0,D100*F100*$H$8*(1+G100)*(1+$H$7))</f>
        <v>318780</v>
      </c>
      <c r="I100" s="177" t="s">
        <v>361</v>
      </c>
      <c r="J100" s="185" t="s">
        <v>76</v>
      </c>
    </row>
    <row r="101" customFormat="false" ht="15" hidden="false" customHeight="true" outlineLevel="1" collapsed="false">
      <c r="A101" s="176" t="n">
        <v>12</v>
      </c>
      <c r="B101" s="1" t="s">
        <v>436</v>
      </c>
      <c r="C101" s="1" t="s">
        <v>437</v>
      </c>
      <c r="D101" s="183" t="n">
        <v>600000</v>
      </c>
      <c r="E101" s="176" t="str">
        <f aca="false">IFERROR(VLOOKUP($B101,'Unit Cost Database'!$A:$H,3,FALSE()),"LS")</f>
        <v>SF</v>
      </c>
      <c r="F101" s="184" t="n">
        <f aca="false">IFERROR(VLOOKUP($B101,'Unit Cost Database'!$A:$H,8,FALSE()),0)</f>
        <v>1.1</v>
      </c>
      <c r="G101" s="179" t="n">
        <f aca="false">$F$7</f>
        <v>0.1</v>
      </c>
      <c r="H101" s="180" t="n">
        <f aca="false">IF(OR(D101="",F101="",D101=0,F101=0),0,D101*F101*$H$8*(1+G101)*(1+$H$7))</f>
        <v>751410</v>
      </c>
      <c r="I101" s="177" t="s">
        <v>361</v>
      </c>
      <c r="J101" s="185" t="s">
        <v>76</v>
      </c>
    </row>
    <row r="102" customFormat="false" ht="15" hidden="false" customHeight="true" outlineLevel="1" collapsed="false">
      <c r="A102" s="176" t="n">
        <v>13</v>
      </c>
      <c r="B102" s="1" t="s">
        <v>438</v>
      </c>
      <c r="C102" s="1" t="s">
        <v>439</v>
      </c>
      <c r="D102" s="183" t="n">
        <v>1</v>
      </c>
      <c r="E102" s="176" t="str">
        <f aca="false">IFERROR(VLOOKUP($B102,'Unit Cost Database'!$A:$H,3,FALSE()),"LS")</f>
        <v>LS</v>
      </c>
      <c r="F102" s="184" t="n">
        <f aca="false">IFERROR(VLOOKUP($B102,'Unit Cost Database'!$A:$H,8,FALSE()),0)</f>
        <v>180000</v>
      </c>
      <c r="G102" s="179" t="n">
        <f aca="false">$F$7</f>
        <v>0.1</v>
      </c>
      <c r="H102" s="180" t="n">
        <f aca="false">IF(OR(D102="",F102="",D102=0,F102=0),0,D102*F102*$H$8*(1+G102)*(1+$H$7))</f>
        <v>204930</v>
      </c>
      <c r="I102" s="177" t="s">
        <v>361</v>
      </c>
      <c r="J102" s="185" t="s">
        <v>76</v>
      </c>
    </row>
    <row r="103" customFormat="false" ht="15" hidden="false" customHeight="true" outlineLevel="1" collapsed="false">
      <c r="A103" s="176" t="n">
        <v>14</v>
      </c>
      <c r="B103" s="1" t="s">
        <v>440</v>
      </c>
      <c r="C103" s="1" t="s">
        <v>441</v>
      </c>
      <c r="D103" s="183" t="n">
        <v>9500</v>
      </c>
      <c r="E103" s="176" t="str">
        <f aca="false">IFERROR(VLOOKUP($B103,'Unit Cost Database'!$A:$H,3,FALSE()),"LS")</f>
        <v>CY</v>
      </c>
      <c r="F103" s="184" t="n">
        <f aca="false">IFERROR(VLOOKUP($B103,'Unit Cost Database'!$A:$H,8,FALSE()),0)</f>
        <v>320</v>
      </c>
      <c r="G103" s="179" t="n">
        <f aca="false">$F$7</f>
        <v>0.1</v>
      </c>
      <c r="H103" s="180" t="n">
        <f aca="false">IF(OR(D103="",F103="",D103=0,F103=0),0,D103*F103*$H$8*(1+G103)*(1+$H$7))</f>
        <v>3461040</v>
      </c>
      <c r="I103" s="177" t="s">
        <v>361</v>
      </c>
      <c r="J103" s="185" t="s">
        <v>76</v>
      </c>
    </row>
    <row r="104" customFormat="false" ht="15" hidden="false" customHeight="true" outlineLevel="1" collapsed="false">
      <c r="A104" s="176"/>
      <c r="B104" s="1" t="s">
        <v>442</v>
      </c>
      <c r="C104" s="1" t="s">
        <v>443</v>
      </c>
      <c r="D104" s="183" t="n">
        <v>0</v>
      </c>
      <c r="E104" s="176" t="str">
        <f aca="false">IFERROR(VLOOKUP($B104,'Unit Cost Database'!$A:$H,3,FALSE()),"LS")</f>
        <v>LS</v>
      </c>
      <c r="F104" s="184" t="n">
        <f aca="false">IFERROR(VLOOKUP($B104,'Unit Cost Database'!$A:$H,8,FALSE()),0)</f>
        <v>1824000</v>
      </c>
      <c r="G104" s="179" t="n">
        <f aca="false">$F$7</f>
        <v>0.1</v>
      </c>
      <c r="H104" s="180" t="n">
        <f aca="false">IF(OR(D104="",F104="",D104=0,F104=0),0,D104*F104*$H$8*(1+G104)*(1+$H$7))</f>
        <v>0</v>
      </c>
      <c r="I104" s="177" t="s">
        <v>361</v>
      </c>
      <c r="J104" s="185" t="s">
        <v>76</v>
      </c>
    </row>
    <row r="105" customFormat="false" ht="15" hidden="false" customHeight="true" outlineLevel="1" collapsed="false">
      <c r="A105" s="176"/>
      <c r="B105" s="1" t="s">
        <v>444</v>
      </c>
      <c r="C105" s="1" t="s">
        <v>445</v>
      </c>
      <c r="D105" s="183" t="n">
        <v>0</v>
      </c>
      <c r="E105" s="176" t="str">
        <f aca="false">IFERROR(VLOOKUP($B105,'Unit Cost Database'!$A:$H,3,FALSE()),"LS")</f>
        <v>LS</v>
      </c>
      <c r="F105" s="184" t="n">
        <f aca="false">IFERROR(VLOOKUP($B105,'Unit Cost Database'!$A:$H,8,FALSE()),0)</f>
        <v>760000</v>
      </c>
      <c r="G105" s="179" t="n">
        <f aca="false">$F$7</f>
        <v>0.1</v>
      </c>
      <c r="H105" s="180" t="n">
        <f aca="false">IF(OR(D105="",F105="",D105=0,F105=0),0,D105*F105*$H$8*(1+G105)*(1+$H$7))</f>
        <v>0</v>
      </c>
      <c r="I105" s="177" t="s">
        <v>361</v>
      </c>
      <c r="J105" s="185" t="s">
        <v>76</v>
      </c>
    </row>
    <row r="106" customFormat="false" ht="15" hidden="false" customHeight="true" outlineLevel="1" collapsed="false">
      <c r="A106" s="176"/>
      <c r="B106" s="1" t="s">
        <v>446</v>
      </c>
      <c r="C106" s="1" t="s">
        <v>447</v>
      </c>
      <c r="D106" s="183" t="n">
        <v>0</v>
      </c>
      <c r="E106" s="176" t="str">
        <f aca="false">IFERROR(VLOOKUP($B106,'Unit Cost Database'!$A:$H,3,FALSE()),"LS")</f>
        <v>LS</v>
      </c>
      <c r="F106" s="184" t="n">
        <f aca="false">IFERROR(VLOOKUP($B106,'Unit Cost Database'!$A:$H,8,FALSE()),0)</f>
        <v>456000</v>
      </c>
      <c r="G106" s="179" t="n">
        <f aca="false">$F$7</f>
        <v>0.1</v>
      </c>
      <c r="H106" s="180" t="n">
        <f aca="false">IF(OR(D106="",F106="",D106=0,F106=0),0,D106*F106*$H$8*(1+G106)*(1+$H$7))</f>
        <v>0</v>
      </c>
      <c r="I106" s="177" t="s">
        <v>361</v>
      </c>
      <c r="J106" s="185" t="s">
        <v>76</v>
      </c>
    </row>
    <row r="107" customFormat="false" ht="15" hidden="false" customHeight="true" outlineLevel="1" collapsed="false">
      <c r="A107" s="176" t="n">
        <v>15</v>
      </c>
      <c r="B107" s="1" t="s">
        <v>448</v>
      </c>
      <c r="C107" s="1" t="s">
        <v>449</v>
      </c>
      <c r="D107" s="183" t="n">
        <v>4200</v>
      </c>
      <c r="E107" s="176" t="str">
        <f aca="false">IFERROR(VLOOKUP($B107,'Unit Cost Database'!$A:$H,3,FALSE()),"LS")</f>
        <v>CY</v>
      </c>
      <c r="F107" s="184" t="n">
        <f aca="false">IFERROR(VLOOKUP($B107,'Unit Cost Database'!$A:$H,8,FALSE()),0)</f>
        <v>380</v>
      </c>
      <c r="G107" s="179" t="n">
        <f aca="false">$F$7</f>
        <v>0.1</v>
      </c>
      <c r="H107" s="180" t="n">
        <f aca="false">IF(OR(D107="",F107="",D107=0,F107=0),0,D107*F107*$H$8*(1+G107)*(1+$H$7))</f>
        <v>1817046</v>
      </c>
      <c r="I107" s="177" t="s">
        <v>361</v>
      </c>
      <c r="J107" s="185" t="s">
        <v>76</v>
      </c>
    </row>
    <row r="108" customFormat="false" ht="15" hidden="false" customHeight="true" outlineLevel="1" collapsed="false">
      <c r="A108" s="176" t="n">
        <v>16</v>
      </c>
      <c r="B108" s="1" t="s">
        <v>450</v>
      </c>
      <c r="C108" s="1" t="s">
        <v>451</v>
      </c>
      <c r="D108" s="183" t="n">
        <v>600000</v>
      </c>
      <c r="E108" s="176" t="str">
        <f aca="false">IFERROR(VLOOKUP($B108,'Unit Cost Database'!$A:$H,3,FALSE()),"LS")</f>
        <v>SF</v>
      </c>
      <c r="F108" s="184" t="n">
        <f aca="false">IFERROR(VLOOKUP($B108,'Unit Cost Database'!$A:$H,8,FALSE()),0)</f>
        <v>1.4</v>
      </c>
      <c r="G108" s="179" t="n">
        <f aca="false">$F$7</f>
        <v>0.1</v>
      </c>
      <c r="H108" s="180" t="n">
        <f aca="false">IF(OR(D108="",F108="",D108=0,F108=0),0,D108*F108*$H$8*(1+G108)*(1+$H$7))</f>
        <v>956340</v>
      </c>
      <c r="I108" s="177" t="s">
        <v>361</v>
      </c>
      <c r="J108" s="185" t="s">
        <v>76</v>
      </c>
    </row>
    <row r="109" customFormat="false" ht="15" hidden="false" customHeight="true" outlineLevel="0" collapsed="false">
      <c r="A109" s="176" t="n">
        <v>17</v>
      </c>
      <c r="B109" s="1" t="s">
        <v>452</v>
      </c>
      <c r="C109" s="1" t="s">
        <v>453</v>
      </c>
      <c r="D109" s="183" t="n">
        <v>9000</v>
      </c>
      <c r="E109" s="176" t="str">
        <f aca="false">IFERROR(VLOOKUP($B109,'Unit Cost Database'!$A:$H,3,FALSE()),"LS")</f>
        <v>LF</v>
      </c>
      <c r="F109" s="184" t="n">
        <f aca="false">IFERROR(VLOOKUP($B109,'Unit Cost Database'!$A:$H,8,FALSE()),0)</f>
        <v>18</v>
      </c>
      <c r="G109" s="179" t="n">
        <f aca="false">$F$7</f>
        <v>0.1</v>
      </c>
      <c r="H109" s="180" t="n">
        <f aca="false">IF(OR(D109="",F109="",D109=0,F109=0),0,D109*F109*$H$8*(1+G109)*(1+$H$7))</f>
        <v>184437</v>
      </c>
      <c r="I109" s="177" t="s">
        <v>361</v>
      </c>
      <c r="J109" s="185" t="s">
        <v>76</v>
      </c>
    </row>
    <row r="110" customFormat="false" ht="15" hidden="false" customHeight="true" outlineLevel="0" collapsed="false">
      <c r="A110" s="176" t="n">
        <v>18</v>
      </c>
      <c r="B110" s="1" t="s">
        <v>454</v>
      </c>
      <c r="C110" s="1" t="s">
        <v>455</v>
      </c>
      <c r="D110" s="183" t="n">
        <v>1800</v>
      </c>
      <c r="E110" s="176" t="str">
        <f aca="false">IFERROR(VLOOKUP($B110,'Unit Cost Database'!$A:$H,3,FALSE()),"LS")</f>
        <v>CF</v>
      </c>
      <c r="F110" s="184" t="n">
        <f aca="false">IFERROR(VLOOKUP($B110,'Unit Cost Database'!$A:$H,8,FALSE()),0)</f>
        <v>45</v>
      </c>
      <c r="G110" s="179" t="n">
        <f aca="false">$F$7</f>
        <v>0.1</v>
      </c>
      <c r="H110" s="180" t="n">
        <f aca="false">IF(OR(D110="",F110="",D110=0,F110=0),0,D110*F110*$H$8*(1+G110)*(1+$H$7))</f>
        <v>92218.5</v>
      </c>
      <c r="I110" s="177" t="s">
        <v>361</v>
      </c>
      <c r="J110" s="185" t="s">
        <v>76</v>
      </c>
    </row>
    <row r="111" customFormat="false" ht="15" hidden="false" customHeight="true" outlineLevel="0" collapsed="false">
      <c r="A111" s="176" t="n">
        <v>19</v>
      </c>
      <c r="B111" s="1" t="s">
        <v>456</v>
      </c>
      <c r="C111" s="1" t="s">
        <v>457</v>
      </c>
      <c r="D111" s="183" t="n">
        <v>90000</v>
      </c>
      <c r="E111" s="176" t="str">
        <f aca="false">IFERROR(VLOOKUP($B111,'Unit Cost Database'!$A:$H,3,FALSE()),"LS")</f>
        <v>SF</v>
      </c>
      <c r="F111" s="184" t="n">
        <f aca="false">IFERROR(VLOOKUP($B111,'Unit Cost Database'!$A:$H,8,FALSE()),0)</f>
        <v>9</v>
      </c>
      <c r="G111" s="179" t="n">
        <f aca="false">$F$7</f>
        <v>0.1</v>
      </c>
      <c r="H111" s="180" t="n">
        <f aca="false">IF(OR(D111="",F111="",D111=0,F111=0),0,D111*F111*$H$8*(1+G111)*(1+$H$7))</f>
        <v>922185</v>
      </c>
      <c r="I111" s="177" t="s">
        <v>361</v>
      </c>
      <c r="J111" s="185" t="s">
        <v>76</v>
      </c>
    </row>
    <row r="112" customFormat="false" ht="15" hidden="false" customHeight="true" outlineLevel="1" collapsed="false">
      <c r="A112" s="186"/>
      <c r="B112" s="187"/>
      <c r="C112" s="188" t="s">
        <v>458</v>
      </c>
      <c r="D112" s="189"/>
      <c r="E112" s="186"/>
      <c r="F112" s="190"/>
      <c r="G112" s="191"/>
      <c r="H112" s="192" t="n">
        <f aca="false">SUM(H78:H111)</f>
        <v>33466040.3875851</v>
      </c>
      <c r="I112" s="187"/>
      <c r="J112" s="187"/>
    </row>
    <row r="113" customFormat="false" ht="15" hidden="false" customHeight="true" outlineLevel="1" collapsed="false">
      <c r="A113" s="176"/>
      <c r="D113" s="177"/>
      <c r="E113" s="176"/>
      <c r="F113" s="178"/>
      <c r="G113" s="179"/>
      <c r="H113" s="180"/>
    </row>
    <row r="114" customFormat="false" ht="15" hidden="false" customHeight="true" outlineLevel="1" collapsed="false">
      <c r="A114" s="193" t="s">
        <v>459</v>
      </c>
      <c r="B114" s="193"/>
      <c r="C114" s="193"/>
      <c r="D114" s="193"/>
      <c r="E114" s="193"/>
      <c r="F114" s="193"/>
      <c r="G114" s="193"/>
      <c r="H114" s="193"/>
      <c r="I114" s="182"/>
      <c r="J114" s="182" t="s">
        <v>76</v>
      </c>
    </row>
    <row r="115" customFormat="false" ht="15" hidden="false" customHeight="true" outlineLevel="1" collapsed="false">
      <c r="A115" s="176" t="n">
        <v>1</v>
      </c>
      <c r="B115" s="1" t="s">
        <v>460</v>
      </c>
      <c r="C115" s="1" t="s">
        <v>461</v>
      </c>
      <c r="D115" s="183" t="n">
        <v>1</v>
      </c>
      <c r="E115" s="176" t="str">
        <f aca="false">IFERROR(VLOOKUP($B115,'Unit Cost Database'!$A:$H,3,FALSE()),"LS")</f>
        <v>LS</v>
      </c>
      <c r="F115" s="184" t="n">
        <f aca="false">IFERROR(VLOOKUP($B115,'Unit Cost Database'!$A:$H,8,FALSE()),0)</f>
        <v>180000</v>
      </c>
      <c r="G115" s="179" t="n">
        <f aca="false">$F$7</f>
        <v>0.1</v>
      </c>
      <c r="H115" s="180" t="n">
        <f aca="false">IF(OR(D115="",F115="",D115=0,F115=0),0,D115*F115*$H$8*(1+G115)*(1+$H$7))</f>
        <v>204930</v>
      </c>
      <c r="I115" s="177" t="s">
        <v>361</v>
      </c>
      <c r="J115" s="185" t="s">
        <v>76</v>
      </c>
    </row>
    <row r="116" customFormat="false" ht="15" hidden="false" customHeight="true" outlineLevel="1" collapsed="false">
      <c r="A116" s="176" t="n">
        <v>2</v>
      </c>
      <c r="B116" s="1" t="s">
        <v>462</v>
      </c>
      <c r="C116" s="1" t="s">
        <v>463</v>
      </c>
      <c r="D116" s="183" t="n">
        <v>96000</v>
      </c>
      <c r="E116" s="176" t="str">
        <f aca="false">IFERROR(VLOOKUP($B116,'Unit Cost Database'!$A:$H,3,FALSE()),"LS")</f>
        <v>SF</v>
      </c>
      <c r="F116" s="184" t="n">
        <f aca="false">IFERROR(VLOOKUP($B116,'Unit Cost Database'!$A:$H,8,FALSE()),0)</f>
        <v>22</v>
      </c>
      <c r="G116" s="179" t="n">
        <f aca="false">$F$7</f>
        <v>0.1</v>
      </c>
      <c r="H116" s="180" t="n">
        <f aca="false">IF(OR(D116="",F116="",D116=0,F116=0),0,D116*F116*$H$8*(1+G116)*(1+$H$7))</f>
        <v>2404512</v>
      </c>
      <c r="I116" s="177" t="s">
        <v>361</v>
      </c>
      <c r="J116" s="185" t="s">
        <v>76</v>
      </c>
    </row>
    <row r="117" customFormat="false" ht="15" hidden="false" customHeight="true" outlineLevel="1" collapsed="false">
      <c r="A117" s="176"/>
      <c r="B117" s="1" t="s">
        <v>464</v>
      </c>
      <c r="C117" s="1" t="s">
        <v>465</v>
      </c>
      <c r="D117" s="183" t="n">
        <v>0</v>
      </c>
      <c r="E117" s="176" t="str">
        <f aca="false">IFERROR(VLOOKUP($B117,'Unit Cost Database'!$A:$H,3,FALSE()),"LS")</f>
        <v>LS</v>
      </c>
      <c r="F117" s="184" t="n">
        <f aca="false">IFERROR(VLOOKUP($B117,'Unit Cost Database'!$A:$H,8,FALSE()),0)</f>
        <v>1267200</v>
      </c>
      <c r="G117" s="179" t="n">
        <f aca="false">$F$7</f>
        <v>0.1</v>
      </c>
      <c r="H117" s="180" t="n">
        <f aca="false">IF(OR(D117="",F117="",D117=0,F117=0),0,D117*F117*$H$8*(1+G117)*(1+$H$7))</f>
        <v>0</v>
      </c>
      <c r="I117" s="177" t="s">
        <v>361</v>
      </c>
      <c r="J117" s="185" t="s">
        <v>76</v>
      </c>
    </row>
    <row r="118" customFormat="false" ht="15" hidden="false" customHeight="true" outlineLevel="1" collapsed="false">
      <c r="A118" s="176"/>
      <c r="B118" s="1" t="s">
        <v>466</v>
      </c>
      <c r="C118" s="1" t="s">
        <v>467</v>
      </c>
      <c r="D118" s="183" t="n">
        <v>0</v>
      </c>
      <c r="E118" s="176" t="str">
        <f aca="false">IFERROR(VLOOKUP($B118,'Unit Cost Database'!$A:$H,3,FALSE()),"LS")</f>
        <v>LS</v>
      </c>
      <c r="F118" s="184" t="n">
        <f aca="false">IFERROR(VLOOKUP($B118,'Unit Cost Database'!$A:$H,8,FALSE()),0)</f>
        <v>528000</v>
      </c>
      <c r="G118" s="179" t="n">
        <f aca="false">$F$7</f>
        <v>0.1</v>
      </c>
      <c r="H118" s="180" t="n">
        <f aca="false">IF(OR(D118="",F118="",D118=0,F118=0),0,D118*F118*$H$8*(1+G118)*(1+$H$7))</f>
        <v>0</v>
      </c>
      <c r="I118" s="177" t="s">
        <v>361</v>
      </c>
      <c r="J118" s="185" t="s">
        <v>76</v>
      </c>
    </row>
    <row r="119" customFormat="false" ht="15" hidden="false" customHeight="true" outlineLevel="1" collapsed="false">
      <c r="A119" s="176"/>
      <c r="B119" s="1" t="s">
        <v>468</v>
      </c>
      <c r="C119" s="1" t="s">
        <v>469</v>
      </c>
      <c r="D119" s="183" t="n">
        <v>0</v>
      </c>
      <c r="E119" s="176" t="str">
        <f aca="false">IFERROR(VLOOKUP($B119,'Unit Cost Database'!$A:$H,3,FALSE()),"LS")</f>
        <v>LS</v>
      </c>
      <c r="F119" s="184" t="n">
        <f aca="false">IFERROR(VLOOKUP($B119,'Unit Cost Database'!$A:$H,8,FALSE()),0)</f>
        <v>316800</v>
      </c>
      <c r="G119" s="179" t="n">
        <f aca="false">$F$7</f>
        <v>0.1</v>
      </c>
      <c r="H119" s="180" t="n">
        <f aca="false">IF(OR(D119="",F119="",D119=0,F119=0),0,D119*F119*$H$8*(1+G119)*(1+$H$7))</f>
        <v>0</v>
      </c>
      <c r="I119" s="177" t="s">
        <v>361</v>
      </c>
      <c r="J119" s="185" t="s">
        <v>76</v>
      </c>
    </row>
    <row r="120" customFormat="false" ht="15" hidden="false" customHeight="true" outlineLevel="1" collapsed="false">
      <c r="A120" s="176" t="n">
        <v>3</v>
      </c>
      <c r="B120" s="1" t="s">
        <v>470</v>
      </c>
      <c r="C120" s="1" t="s">
        <v>471</v>
      </c>
      <c r="D120" s="183" t="n">
        <v>9000</v>
      </c>
      <c r="E120" s="176" t="str">
        <f aca="false">IFERROR(VLOOKUP($B120,'Unit Cost Database'!$A:$H,3,FALSE()),"LS")</f>
        <v>SF</v>
      </c>
      <c r="F120" s="184" t="n">
        <f aca="false">IFERROR(VLOOKUP($B120,'Unit Cost Database'!$A:$H,8,FALSE()),0)</f>
        <v>26</v>
      </c>
      <c r="G120" s="179" t="n">
        <f aca="false">$F$7</f>
        <v>0.1</v>
      </c>
      <c r="H120" s="180" t="n">
        <f aca="false">IF(OR(D120="",F120="",D120=0,F120=0),0,D120*F120*$H$8*(1+G120)*(1+$H$7))</f>
        <v>266409</v>
      </c>
      <c r="I120" s="177" t="s">
        <v>281</v>
      </c>
      <c r="J120" s="185" t="s">
        <v>76</v>
      </c>
    </row>
    <row r="121" customFormat="false" ht="15" hidden="false" customHeight="true" outlineLevel="1" collapsed="false">
      <c r="A121" s="176" t="n">
        <v>4</v>
      </c>
      <c r="B121" s="1" t="s">
        <v>472</v>
      </c>
      <c r="C121" s="1" t="s">
        <v>473</v>
      </c>
      <c r="D121" s="183" t="n">
        <v>14000</v>
      </c>
      <c r="E121" s="176" t="str">
        <f aca="false">IFERROR(VLOOKUP($B121,'Unit Cost Database'!$A:$H,3,FALSE()),"LS")</f>
        <v>SF</v>
      </c>
      <c r="F121" s="184" t="n">
        <f aca="false">IFERROR(VLOOKUP($B121,'Unit Cost Database'!$A:$H,8,FALSE()),0)</f>
        <v>40</v>
      </c>
      <c r="G121" s="179" t="n">
        <f aca="false">$F$7</f>
        <v>0.1</v>
      </c>
      <c r="H121" s="180" t="n">
        <f aca="false">IF(OR(D121="",F121="",D121=0,F121=0),0,D121*F121*$H$8*(1+G121)*(1+$H$7))</f>
        <v>637560</v>
      </c>
      <c r="I121" s="177" t="s">
        <v>361</v>
      </c>
      <c r="J121" s="185" t="s">
        <v>76</v>
      </c>
    </row>
    <row r="122" customFormat="false" ht="15" hidden="false" customHeight="true" outlineLevel="1" collapsed="false">
      <c r="A122" s="176" t="n">
        <v>5</v>
      </c>
      <c r="B122" s="1" t="s">
        <v>474</v>
      </c>
      <c r="C122" s="1" t="s">
        <v>475</v>
      </c>
      <c r="D122" s="183" t="n">
        <v>12000</v>
      </c>
      <c r="E122" s="176" t="str">
        <f aca="false">IFERROR(VLOOKUP($B122,'Unit Cost Database'!$A:$H,3,FALSE()),"LS")</f>
        <v>SF</v>
      </c>
      <c r="F122" s="184" t="n">
        <f aca="false">IFERROR(VLOOKUP($B122,'Unit Cost Database'!$A:$H,8,FALSE()),0)</f>
        <v>30</v>
      </c>
      <c r="G122" s="179" t="n">
        <f aca="false">$F$7</f>
        <v>0.1</v>
      </c>
      <c r="H122" s="180" t="n">
        <f aca="false">IF(OR(D122="",F122="",D122=0,F122=0),0,D122*F122*$H$8*(1+G122)*(1+$H$7))</f>
        <v>409860</v>
      </c>
      <c r="I122" s="177" t="s">
        <v>361</v>
      </c>
      <c r="J122" s="185" t="s">
        <v>76</v>
      </c>
    </row>
    <row r="123" customFormat="false" ht="15" hidden="false" customHeight="true" outlineLevel="1" collapsed="false">
      <c r="A123" s="176" t="n">
        <v>6</v>
      </c>
      <c r="B123" s="1" t="s">
        <v>476</v>
      </c>
      <c r="C123" s="1" t="s">
        <v>477</v>
      </c>
      <c r="D123" s="183" t="n">
        <v>1</v>
      </c>
      <c r="E123" s="176" t="str">
        <f aca="false">IFERROR(VLOOKUP($B123,'Unit Cost Database'!$A:$H,3,FALSE()),"LS")</f>
        <v>LS</v>
      </c>
      <c r="F123" s="184" t="n">
        <f aca="false">IFERROR(VLOOKUP($B123,'Unit Cost Database'!$A:$H,8,FALSE()),0)</f>
        <v>70000</v>
      </c>
      <c r="G123" s="179" t="n">
        <f aca="false">$F$7</f>
        <v>0.1</v>
      </c>
      <c r="H123" s="180" t="n">
        <f aca="false">IF(OR(D123="",F123="",D123=0,F123=0),0,D123*F123*$H$8*(1+G123)*(1+$H$7))</f>
        <v>79695</v>
      </c>
      <c r="I123" s="177" t="s">
        <v>361</v>
      </c>
      <c r="J123" s="185" t="s">
        <v>76</v>
      </c>
    </row>
    <row r="124" customFormat="false" ht="15" hidden="false" customHeight="true" outlineLevel="1" collapsed="false">
      <c r="A124" s="176" t="n">
        <v>7</v>
      </c>
      <c r="B124" s="1" t="s">
        <v>478</v>
      </c>
      <c r="C124" s="1" t="s">
        <v>479</v>
      </c>
      <c r="D124" s="183" t="n">
        <v>18000</v>
      </c>
      <c r="E124" s="176" t="str">
        <f aca="false">IFERROR(VLOOKUP($B124,'Unit Cost Database'!$A:$H,3,FALSE()),"LS")</f>
        <v>SF</v>
      </c>
      <c r="F124" s="184" t="n">
        <f aca="false">IFERROR(VLOOKUP($B124,'Unit Cost Database'!$A:$H,8,FALSE()),0)</f>
        <v>38</v>
      </c>
      <c r="G124" s="179" t="n">
        <f aca="false">$F$7</f>
        <v>0.1</v>
      </c>
      <c r="H124" s="180" t="n">
        <f aca="false">IF(OR(D124="",F124="",D124=0,F124=0),0,D124*F124*$H$8*(1+G124)*(1+$H$7))</f>
        <v>778734</v>
      </c>
      <c r="I124" s="177" t="s">
        <v>361</v>
      </c>
      <c r="J124" s="185" t="s">
        <v>76</v>
      </c>
    </row>
    <row r="125" customFormat="false" ht="15" hidden="false" customHeight="true" outlineLevel="1" collapsed="false">
      <c r="A125" s="176" t="n">
        <v>8</v>
      </c>
      <c r="B125" s="1" t="s">
        <v>480</v>
      </c>
      <c r="C125" s="1" t="s">
        <v>481</v>
      </c>
      <c r="D125" s="183" t="n">
        <v>24000</v>
      </c>
      <c r="E125" s="176" t="str">
        <f aca="false">IFERROR(VLOOKUP($B125,'Unit Cost Database'!$A:$H,3,FALSE()),"LS")</f>
        <v>SF</v>
      </c>
      <c r="F125" s="184" t="n">
        <f aca="false">IFERROR(VLOOKUP($B125,'Unit Cost Database'!$A:$H,8,FALSE()),0)</f>
        <v>32</v>
      </c>
      <c r="G125" s="179" t="n">
        <f aca="false">$F$7</f>
        <v>0.1</v>
      </c>
      <c r="H125" s="180" t="n">
        <f aca="false">IF(OR(D125="",F125="",D125=0,F125=0),0,D125*F125*$H$8*(1+G125)*(1+$H$7))</f>
        <v>874368</v>
      </c>
      <c r="I125" s="177" t="s">
        <v>361</v>
      </c>
      <c r="J125" s="185" t="s">
        <v>76</v>
      </c>
    </row>
    <row r="126" customFormat="false" ht="15" hidden="false" customHeight="true" outlineLevel="1" collapsed="false">
      <c r="A126" s="186"/>
      <c r="B126" s="187"/>
      <c r="C126" s="188" t="s">
        <v>482</v>
      </c>
      <c r="D126" s="189"/>
      <c r="E126" s="186"/>
      <c r="F126" s="190"/>
      <c r="G126" s="191"/>
      <c r="H126" s="192" t="n">
        <f aca="false">SUM(H115:H125)</f>
        <v>5656068</v>
      </c>
      <c r="I126" s="187"/>
      <c r="J126" s="187"/>
    </row>
    <row r="127" customFormat="false" ht="15" hidden="false" customHeight="true" outlineLevel="1" collapsed="false">
      <c r="A127" s="176"/>
      <c r="D127" s="177"/>
      <c r="E127" s="176"/>
      <c r="F127" s="178"/>
      <c r="G127" s="179"/>
      <c r="H127" s="180"/>
    </row>
    <row r="128" customFormat="false" ht="15" hidden="false" customHeight="true" outlineLevel="1" collapsed="false">
      <c r="A128" s="193" t="s">
        <v>483</v>
      </c>
      <c r="B128" s="193"/>
      <c r="C128" s="193"/>
      <c r="D128" s="193"/>
      <c r="E128" s="193"/>
      <c r="F128" s="193"/>
      <c r="G128" s="193"/>
      <c r="H128" s="193"/>
      <c r="I128" s="182"/>
      <c r="J128" s="182" t="s">
        <v>76</v>
      </c>
    </row>
    <row r="129" customFormat="false" ht="15" hidden="false" customHeight="true" outlineLevel="1" collapsed="false">
      <c r="A129" s="176" t="n">
        <v>1</v>
      </c>
      <c r="B129" s="1" t="s">
        <v>484</v>
      </c>
      <c r="C129" s="1" t="s">
        <v>485</v>
      </c>
      <c r="D129" s="183" t="n">
        <v>3200</v>
      </c>
      <c r="E129" s="176" t="str">
        <f aca="false">IFERROR(VLOOKUP($B129,'Unit Cost Database'!$A:$H,3,FALSE()),"LS")</f>
        <v>TON</v>
      </c>
      <c r="F129" s="184" t="n">
        <f aca="false">IFERROR(VLOOKUP($B129,'Unit Cost Database'!$A:$H,8,FALSE()),0)</f>
        <v>3500</v>
      </c>
      <c r="G129" s="179" t="n">
        <f aca="false">$F$7</f>
        <v>0.1</v>
      </c>
      <c r="H129" s="180" t="n">
        <f aca="false">IF(OR(D129="",F129="",D129=0,F129=0),0,D129*F129*$H$8*(1+G129)*(1+$H$7))</f>
        <v>12751200</v>
      </c>
      <c r="I129" s="177" t="s">
        <v>361</v>
      </c>
      <c r="J129" s="185" t="s">
        <v>76</v>
      </c>
    </row>
    <row r="130" customFormat="false" ht="15" hidden="false" customHeight="true" outlineLevel="1" collapsed="false">
      <c r="A130" s="176"/>
      <c r="B130" s="1" t="s">
        <v>486</v>
      </c>
      <c r="C130" s="1" t="s">
        <v>487</v>
      </c>
      <c r="D130" s="183" t="n">
        <v>0</v>
      </c>
      <c r="E130" s="176" t="str">
        <f aca="false">IFERROR(VLOOKUP($B130,'Unit Cost Database'!$A:$H,3,FALSE()),"LS")</f>
        <v>LS</v>
      </c>
      <c r="F130" s="194" t="n">
        <f aca="false">IFERROR(VLOOKUP($B130,'Unit Cost Database'!$A:$H,8,FALSE()),0)</f>
        <v>6720000</v>
      </c>
      <c r="G130" s="179" t="n">
        <f aca="false">$F$7</f>
        <v>0.1</v>
      </c>
      <c r="H130" s="180" t="n">
        <f aca="false">IF(OR(D130="",F130="",D130=0,F130=0),0,D130*F130*$H$8*(1+G130)*(1+$H$7))</f>
        <v>0</v>
      </c>
      <c r="I130" s="177" t="s">
        <v>361</v>
      </c>
      <c r="J130" s="185" t="s">
        <v>76</v>
      </c>
    </row>
    <row r="131" customFormat="false" ht="15" hidden="false" customHeight="true" outlineLevel="1" collapsed="false">
      <c r="A131" s="176"/>
      <c r="B131" s="1" t="s">
        <v>488</v>
      </c>
      <c r="C131" s="1" t="s">
        <v>489</v>
      </c>
      <c r="D131" s="183" t="n">
        <v>0</v>
      </c>
      <c r="E131" s="176" t="str">
        <f aca="false">IFERROR(VLOOKUP($B131,'Unit Cost Database'!$A:$H,3,FALSE()),"LS")</f>
        <v>LS</v>
      </c>
      <c r="F131" s="194" t="n">
        <f aca="false">IFERROR(VLOOKUP($B131,'Unit Cost Database'!$A:$H,8,FALSE()),0)</f>
        <v>2800000</v>
      </c>
      <c r="G131" s="179" t="n">
        <f aca="false">$F$7</f>
        <v>0.1</v>
      </c>
      <c r="H131" s="180" t="n">
        <f aca="false">IF(OR(D131="",F131="",D131=0,F131=0),0,D131*F131*$H$8*(1+G131)*(1+$H$7))</f>
        <v>0</v>
      </c>
      <c r="I131" s="177" t="s">
        <v>361</v>
      </c>
      <c r="J131" s="185" t="s">
        <v>76</v>
      </c>
    </row>
    <row r="132" customFormat="false" ht="15" hidden="false" customHeight="true" outlineLevel="1" collapsed="false">
      <c r="A132" s="176"/>
      <c r="B132" s="1" t="s">
        <v>490</v>
      </c>
      <c r="C132" s="1" t="s">
        <v>491</v>
      </c>
      <c r="D132" s="183" t="n">
        <v>0</v>
      </c>
      <c r="E132" s="176" t="str">
        <f aca="false">IFERROR(VLOOKUP($B132,'Unit Cost Database'!$A:$H,3,FALSE()),"LS")</f>
        <v>LS</v>
      </c>
      <c r="F132" s="194" t="n">
        <f aca="false">IFERROR(VLOOKUP($B132,'Unit Cost Database'!$A:$H,8,FALSE()),0)</f>
        <v>896000</v>
      </c>
      <c r="G132" s="179" t="n">
        <f aca="false">$F$7</f>
        <v>0.1</v>
      </c>
      <c r="H132" s="180" t="n">
        <f aca="false">IF(OR(D132="",F132="",D132=0,F132=0),0,D132*F132*$H$8*(1+G132)*(1+$H$7))</f>
        <v>0</v>
      </c>
      <c r="I132" s="177" t="s">
        <v>361</v>
      </c>
      <c r="J132" s="185" t="s">
        <v>76</v>
      </c>
    </row>
    <row r="133" customFormat="false" ht="15" hidden="false" customHeight="true" outlineLevel="1" collapsed="false">
      <c r="A133" s="176"/>
      <c r="B133" s="1" t="s">
        <v>492</v>
      </c>
      <c r="C133" s="1" t="s">
        <v>493</v>
      </c>
      <c r="D133" s="183" t="n">
        <v>0</v>
      </c>
      <c r="E133" s="176" t="str">
        <f aca="false">IFERROR(VLOOKUP($B133,'Unit Cost Database'!$A:$H,3,FALSE()),"LS")</f>
        <v>LS</v>
      </c>
      <c r="F133" s="194" t="n">
        <f aca="false">IFERROR(VLOOKUP($B133,'Unit Cost Database'!$A:$H,8,FALSE()),0)</f>
        <v>784000</v>
      </c>
      <c r="G133" s="179" t="n">
        <f aca="false">$F$7</f>
        <v>0.1</v>
      </c>
      <c r="H133" s="180" t="n">
        <f aca="false">IF(OR(D133="",F133="",D133=0,F133=0),0,D133*F133*$H$8*(1+G133)*(1+$H$7))</f>
        <v>0</v>
      </c>
      <c r="I133" s="177" t="s">
        <v>361</v>
      </c>
      <c r="J133" s="185" t="s">
        <v>76</v>
      </c>
    </row>
    <row r="134" customFormat="false" ht="15" hidden="false" customHeight="true" outlineLevel="1" collapsed="false">
      <c r="A134" s="176" t="n">
        <v>2</v>
      </c>
      <c r="B134" s="1" t="s">
        <v>494</v>
      </c>
      <c r="C134" s="1" t="s">
        <v>495</v>
      </c>
      <c r="D134" s="183" t="n">
        <f aca="false">$C$6*0.05*8/2000</f>
        <v>160</v>
      </c>
      <c r="E134" s="176" t="str">
        <f aca="false">IFERROR(VLOOKUP($B134,'Unit Cost Database'!$A:$H,3,FALSE()),"LS")</f>
        <v>TON</v>
      </c>
      <c r="F134" s="184" t="n">
        <f aca="false">IFERROR(VLOOKUP($B134,'Unit Cost Database'!$A:$H,8,FALSE()),0)</f>
        <v>3850</v>
      </c>
      <c r="G134" s="179" t="n">
        <f aca="false">$F$7</f>
        <v>0.1</v>
      </c>
      <c r="H134" s="180" t="n">
        <f aca="false">IF(OR(D134="",F134="",D134=0,F134=0),0,D134*F134*$H$8*(1+G134)*(1+$H$7))</f>
        <v>701316</v>
      </c>
      <c r="I134" s="177" t="s">
        <v>361</v>
      </c>
      <c r="J134" s="185" t="s">
        <v>76</v>
      </c>
    </row>
    <row r="135" customFormat="false" ht="15" hidden="false" customHeight="true" outlineLevel="1" collapsed="false">
      <c r="A135" s="176" t="n">
        <v>3</v>
      </c>
      <c r="B135" s="1" t="s">
        <v>496</v>
      </c>
      <c r="C135" s="1" t="s">
        <v>497</v>
      </c>
      <c r="D135" s="183" t="n">
        <v>562.5</v>
      </c>
      <c r="E135" s="176" t="str">
        <f aca="false">IFERROR(VLOOKUP($B135,'Unit Cost Database'!$A:$H,3,FALSE()),"LS")</f>
        <v>TON</v>
      </c>
      <c r="F135" s="184" t="n">
        <f aca="false">IFERROR(VLOOKUP($B135,'Unit Cost Database'!$A:$H,8,FALSE()),0)</f>
        <v>3850</v>
      </c>
      <c r="G135" s="179" t="n">
        <f aca="false">$F$7</f>
        <v>0.1</v>
      </c>
      <c r="H135" s="180" t="n">
        <f aca="false">IF(OR(D135="",F135="",D135=0,F135=0),0,D135*F135*$H$8*(1+G135)*(1+$H$7))</f>
        <v>2465564.0625</v>
      </c>
      <c r="I135" s="177" t="s">
        <v>361</v>
      </c>
      <c r="J135" s="185" t="s">
        <v>76</v>
      </c>
    </row>
    <row r="136" customFormat="false" ht="15" hidden="false" customHeight="true" outlineLevel="1" collapsed="false">
      <c r="A136" s="176"/>
      <c r="B136" s="1" t="s">
        <v>498</v>
      </c>
      <c r="C136" s="1" t="s">
        <v>499</v>
      </c>
      <c r="D136" s="183" t="n">
        <v>0</v>
      </c>
      <c r="E136" s="176" t="str">
        <f aca="false">IFERROR(VLOOKUP($B136,'Unit Cost Database'!$A:$H,3,FALSE()),"LS")</f>
        <v>LS</v>
      </c>
      <c r="F136" s="184" t="n">
        <f aca="false">IFERROR(VLOOKUP($B136,'Unit Cost Database'!$A:$H,8,FALSE()),0)</f>
        <v>1299375</v>
      </c>
      <c r="G136" s="179" t="n">
        <f aca="false">$F$7</f>
        <v>0.1</v>
      </c>
      <c r="H136" s="180" t="n">
        <f aca="false">IF(OR(D136="",F136="",D136=0,F136=0),0,D136*F136*$H$8*(1+G136)*(1+$H$7))</f>
        <v>0</v>
      </c>
      <c r="I136" s="177" t="s">
        <v>361</v>
      </c>
      <c r="J136" s="185" t="s">
        <v>76</v>
      </c>
    </row>
    <row r="137" customFormat="false" ht="15" hidden="false" customHeight="true" outlineLevel="1" collapsed="false">
      <c r="A137" s="176"/>
      <c r="B137" s="1" t="s">
        <v>500</v>
      </c>
      <c r="C137" s="1" t="s">
        <v>501</v>
      </c>
      <c r="D137" s="183" t="n">
        <v>0</v>
      </c>
      <c r="E137" s="176" t="str">
        <f aca="false">IFERROR(VLOOKUP($B137,'Unit Cost Database'!$A:$H,3,FALSE()),"LS")</f>
        <v>LS</v>
      </c>
      <c r="F137" s="184" t="n">
        <f aca="false">IFERROR(VLOOKUP($B137,'Unit Cost Database'!$A:$H,8,FALSE()),0)</f>
        <v>606375</v>
      </c>
      <c r="G137" s="179" t="n">
        <f aca="false">$F$7</f>
        <v>0.1</v>
      </c>
      <c r="H137" s="180" t="n">
        <f aca="false">IF(OR(D137="",F137="",D137=0,F137=0),0,D137*F137*$H$8*(1+G137)*(1+$H$7))</f>
        <v>0</v>
      </c>
      <c r="I137" s="177" t="s">
        <v>361</v>
      </c>
      <c r="J137" s="185" t="s">
        <v>76</v>
      </c>
    </row>
    <row r="138" customFormat="false" ht="15" hidden="false" customHeight="true" outlineLevel="1" collapsed="false">
      <c r="A138" s="176"/>
      <c r="B138" s="1" t="s">
        <v>502</v>
      </c>
      <c r="C138" s="1" t="s">
        <v>503</v>
      </c>
      <c r="D138" s="183" t="n">
        <v>0</v>
      </c>
      <c r="E138" s="176" t="str">
        <f aca="false">IFERROR(VLOOKUP($B138,'Unit Cost Database'!$A:$H,3,FALSE()),"LS")</f>
        <v>LS</v>
      </c>
      <c r="F138" s="184" t="n">
        <f aca="false">IFERROR(VLOOKUP($B138,'Unit Cost Database'!$A:$H,8,FALSE()),0)</f>
        <v>259875</v>
      </c>
      <c r="G138" s="179" t="n">
        <f aca="false">$F$7</f>
        <v>0.1</v>
      </c>
      <c r="H138" s="180" t="n">
        <f aca="false">IF(OR(D138="",F138="",D138=0,F138=0),0,D138*F138*$H$8*(1+G138)*(1+$H$7))</f>
        <v>0</v>
      </c>
      <c r="I138" s="177" t="s">
        <v>361</v>
      </c>
      <c r="J138" s="185" t="s">
        <v>76</v>
      </c>
    </row>
    <row r="139" customFormat="false" ht="15" hidden="false" customHeight="true" outlineLevel="1" collapsed="false">
      <c r="A139" s="176" t="n">
        <v>4</v>
      </c>
      <c r="B139" s="1" t="s">
        <v>504</v>
      </c>
      <c r="C139" s="1" t="s">
        <v>505</v>
      </c>
      <c r="D139" s="183" t="n">
        <v>560000</v>
      </c>
      <c r="E139" s="176" t="str">
        <f aca="false">IFERROR(VLOOKUP($B139,'Unit Cost Database'!$A:$H,3,FALSE()),"LS")</f>
        <v>SF</v>
      </c>
      <c r="F139" s="184" t="n">
        <f aca="false">IFERROR(VLOOKUP($B139,'Unit Cost Database'!$A:$H,8,FALSE()),0)</f>
        <v>4.2</v>
      </c>
      <c r="G139" s="179" t="n">
        <f aca="false">$F$7</f>
        <v>0.1</v>
      </c>
      <c r="H139" s="180" t="n">
        <f aca="false">IF(OR(D139="",F139="",D139=0,F139=0),0,D139*F139*$H$8*(1+G139)*(1+$H$7))</f>
        <v>2677752</v>
      </c>
      <c r="I139" s="177" t="s">
        <v>361</v>
      </c>
      <c r="J139" s="185" t="s">
        <v>76</v>
      </c>
    </row>
    <row r="140" customFormat="false" ht="15" hidden="false" customHeight="true" outlineLevel="1" collapsed="false">
      <c r="A140" s="176"/>
      <c r="B140" s="1" t="s">
        <v>506</v>
      </c>
      <c r="C140" s="1" t="s">
        <v>507</v>
      </c>
      <c r="D140" s="183" t="n">
        <v>0</v>
      </c>
      <c r="E140" s="176" t="str">
        <f aca="false">IFERROR(VLOOKUP($B140,'Unit Cost Database'!$A:$H,3,FALSE()),"LS")</f>
        <v>LS</v>
      </c>
      <c r="F140" s="184" t="n">
        <f aca="false">IFERROR(VLOOKUP($B140,'Unit Cost Database'!$A:$H,8,FALSE()),0)</f>
        <v>1528800</v>
      </c>
      <c r="G140" s="179" t="n">
        <f aca="false">$F$7</f>
        <v>0.1</v>
      </c>
      <c r="H140" s="180" t="n">
        <f aca="false">IF(OR(D140="",F140="",D140=0,F140=0),0,D140*F140*$H$8*(1+G140)*(1+$H$7))</f>
        <v>0</v>
      </c>
      <c r="I140" s="177" t="s">
        <v>361</v>
      </c>
      <c r="J140" s="185" t="s">
        <v>76</v>
      </c>
    </row>
    <row r="141" customFormat="false" ht="15" hidden="false" customHeight="true" outlineLevel="1" collapsed="false">
      <c r="A141" s="176"/>
      <c r="B141" s="1" t="s">
        <v>508</v>
      </c>
      <c r="C141" s="1" t="s">
        <v>509</v>
      </c>
      <c r="D141" s="183" t="n">
        <v>0</v>
      </c>
      <c r="E141" s="176" t="str">
        <f aca="false">IFERROR(VLOOKUP($B141,'Unit Cost Database'!$A:$H,3,FALSE()),"LS")</f>
        <v>LS</v>
      </c>
      <c r="F141" s="184" t="n">
        <f aca="false">IFERROR(VLOOKUP($B141,'Unit Cost Database'!$A:$H,8,FALSE()),0)</f>
        <v>588000</v>
      </c>
      <c r="G141" s="179" t="n">
        <f aca="false">$F$7</f>
        <v>0.1</v>
      </c>
      <c r="H141" s="180" t="n">
        <f aca="false">IF(OR(D141="",F141="",D141=0,F141=0),0,D141*F141*$H$8*(1+G141)*(1+$H$7))</f>
        <v>0</v>
      </c>
      <c r="I141" s="177" t="s">
        <v>361</v>
      </c>
      <c r="J141" s="185" t="s">
        <v>76</v>
      </c>
    </row>
    <row r="142" customFormat="false" ht="15" hidden="false" customHeight="true" outlineLevel="1" collapsed="false">
      <c r="A142" s="176"/>
      <c r="B142" s="1" t="s">
        <v>510</v>
      </c>
      <c r="C142" s="1" t="s">
        <v>511</v>
      </c>
      <c r="D142" s="183" t="n">
        <v>0</v>
      </c>
      <c r="E142" s="176" t="str">
        <f aca="false">IFERROR(VLOOKUP($B142,'Unit Cost Database'!$A:$H,3,FALSE()),"LS")</f>
        <v>LS</v>
      </c>
      <c r="F142" s="184" t="n">
        <f aca="false">IFERROR(VLOOKUP($B142,'Unit Cost Database'!$A:$H,8,FALSE()),0)</f>
        <v>235200</v>
      </c>
      <c r="G142" s="179" t="n">
        <f aca="false">$F$7</f>
        <v>0.1</v>
      </c>
      <c r="H142" s="180" t="n">
        <f aca="false">IF(OR(D142="",F142="",D142=0,F142=0),0,D142*F142*$H$8*(1+G142)*(1+$H$7))</f>
        <v>0</v>
      </c>
      <c r="I142" s="177" t="s">
        <v>361</v>
      </c>
      <c r="J142" s="185" t="s">
        <v>76</v>
      </c>
    </row>
    <row r="143" customFormat="false" ht="15" hidden="false" customHeight="true" outlineLevel="1" collapsed="false">
      <c r="A143" s="176" t="n">
        <v>5</v>
      </c>
      <c r="B143" s="1" t="s">
        <v>512</v>
      </c>
      <c r="C143" s="1" t="s">
        <v>513</v>
      </c>
      <c r="D143" s="183" t="n">
        <v>484438.627717417</v>
      </c>
      <c r="E143" s="176" t="str">
        <f aca="false">IFERROR(VLOOKUP($B143,'Unit Cost Database'!$A:$H,3,FALSE()),"LS")</f>
        <v>SF</v>
      </c>
      <c r="F143" s="184" t="n">
        <f aca="false">IFERROR(VLOOKUP($B143,'Unit Cost Database'!$A:$H,8,FALSE()),0)</f>
        <v>4.5</v>
      </c>
      <c r="G143" s="179" t="n">
        <f aca="false">$F$7</f>
        <v>0.1</v>
      </c>
      <c r="H143" s="180" t="n">
        <f aca="false">IF(OR(D143="",F143="",D143=0,F143=0),0,D143*F143*$H$8*(1+G143)*(1+$H$7))</f>
        <v>2481900.19945326</v>
      </c>
      <c r="I143" s="177" t="s">
        <v>361</v>
      </c>
      <c r="J143" s="185" t="s">
        <v>76</v>
      </c>
    </row>
    <row r="144" customFormat="false" ht="15" hidden="false" customHeight="true" outlineLevel="1" collapsed="false">
      <c r="A144" s="176"/>
      <c r="B144" s="1" t="s">
        <v>514</v>
      </c>
      <c r="C144" s="1" t="s">
        <v>515</v>
      </c>
      <c r="D144" s="183" t="n">
        <v>0</v>
      </c>
      <c r="E144" s="176" t="str">
        <f aca="false">IFERROR(VLOOKUP($B144,'Unit Cost Database'!$A:$H,3,FALSE()),"LS")</f>
        <v>LS</v>
      </c>
      <c r="F144" s="194" t="n">
        <f aca="false">IFERROR(VLOOKUP($B144,'Unit Cost Database'!$A:$H,8,FALSE()),0)</f>
        <v>1525981.67734984</v>
      </c>
      <c r="G144" s="179" t="n">
        <f aca="false">$F$7</f>
        <v>0.1</v>
      </c>
      <c r="H144" s="180" t="n">
        <f aca="false">IF(OR(D144="",F144="",D144=0,F144=0),0,D144*F144*$H$8*(1+G144)*(1+$H$7))</f>
        <v>0</v>
      </c>
      <c r="I144" s="177" t="s">
        <v>361</v>
      </c>
      <c r="J144" s="185" t="s">
        <v>76</v>
      </c>
    </row>
    <row r="145" customFormat="false" ht="15" hidden="false" customHeight="true" outlineLevel="1" collapsed="false">
      <c r="A145" s="176"/>
      <c r="B145" s="1" t="s">
        <v>516</v>
      </c>
      <c r="C145" s="1" t="s">
        <v>517</v>
      </c>
      <c r="D145" s="183" t="n">
        <v>0</v>
      </c>
      <c r="E145" s="176" t="str">
        <f aca="false">IFERROR(VLOOKUP($B145,'Unit Cost Database'!$A:$H,3,FALSE()),"LS")</f>
        <v>LS</v>
      </c>
      <c r="F145" s="194" t="n">
        <f aca="false">IFERROR(VLOOKUP($B145,'Unit Cost Database'!$A:$H,8,FALSE()),0)</f>
        <v>326996.073689269</v>
      </c>
      <c r="G145" s="179" t="n">
        <f aca="false">$F$7</f>
        <v>0.1</v>
      </c>
      <c r="H145" s="180" t="n">
        <f aca="false">IF(OR(D145="",F145="",D145=0,F145=0),0,D145*F145*$H$8*(1+G145)*(1+$H$7))</f>
        <v>0</v>
      </c>
      <c r="I145" s="177" t="s">
        <v>361</v>
      </c>
      <c r="J145" s="185" t="s">
        <v>76</v>
      </c>
    </row>
    <row r="146" customFormat="false" ht="15" hidden="false" customHeight="true" outlineLevel="0" collapsed="false">
      <c r="A146" s="176"/>
      <c r="B146" s="1" t="s">
        <v>518</v>
      </c>
      <c r="C146" s="1" t="s">
        <v>519</v>
      </c>
      <c r="D146" s="183" t="n">
        <v>0</v>
      </c>
      <c r="E146" s="176" t="str">
        <f aca="false">IFERROR(VLOOKUP($B146,'Unit Cost Database'!$A:$H,3,FALSE()),"LS")</f>
        <v>LS</v>
      </c>
      <c r="F146" s="194" t="n">
        <f aca="false">IFERROR(VLOOKUP($B146,'Unit Cost Database'!$A:$H,8,FALSE()),0)</f>
        <v>326996.073689269</v>
      </c>
      <c r="G146" s="179" t="n">
        <f aca="false">$F$7</f>
        <v>0.1</v>
      </c>
      <c r="H146" s="180" t="n">
        <f aca="false">IF(OR(D146="",F146="",D146=0,F146=0),0,D146*F146*$H$8*(1+G146)*(1+$H$7))</f>
        <v>0</v>
      </c>
      <c r="I146" s="177" t="s">
        <v>361</v>
      </c>
      <c r="J146" s="185" t="s">
        <v>76</v>
      </c>
    </row>
    <row r="147" customFormat="false" ht="15" hidden="false" customHeight="true" outlineLevel="0" collapsed="false">
      <c r="A147" s="176" t="n">
        <v>6</v>
      </c>
      <c r="B147" s="1" t="s">
        <v>520</v>
      </c>
      <c r="C147" s="1" t="s">
        <v>521</v>
      </c>
      <c r="D147" s="183" t="n">
        <f aca="false">$C$6*0.3</f>
        <v>240000</v>
      </c>
      <c r="E147" s="176" t="str">
        <f aca="false">IFERROR(VLOOKUP($B147,'Unit Cost Database'!$A:$H,3,FALSE()),"LS")</f>
        <v>SF</v>
      </c>
      <c r="F147" s="184" t="n">
        <f aca="false">IFERROR(VLOOKUP($B147,'Unit Cost Database'!$A:$H,8,FALSE()),0)</f>
        <v>6</v>
      </c>
      <c r="G147" s="179" t="n">
        <f aca="false">$F$7</f>
        <v>0.1</v>
      </c>
      <c r="H147" s="180" t="n">
        <f aca="false">IF(OR(D147="",F147="",D147=0,F147=0),0,D147*F147*$H$8*(1+G147)*(1+$H$7))</f>
        <v>1639440</v>
      </c>
      <c r="I147" s="177" t="s">
        <v>361</v>
      </c>
      <c r="J147" s="185" t="s">
        <v>76</v>
      </c>
    </row>
    <row r="148" customFormat="false" ht="15" hidden="false" customHeight="true" outlineLevel="0" collapsed="false">
      <c r="A148" s="176" t="n">
        <v>7</v>
      </c>
      <c r="B148" s="1" t="s">
        <v>522</v>
      </c>
      <c r="C148" s="1" t="s">
        <v>523</v>
      </c>
      <c r="D148" s="183" t="n">
        <v>320000</v>
      </c>
      <c r="E148" s="176" t="str">
        <f aca="false">IFERROR(VLOOKUP($B148,'Unit Cost Database'!$A:$H,3,FALSE()),"LS")</f>
        <v>SF</v>
      </c>
      <c r="F148" s="184" t="n">
        <f aca="false">IFERROR(VLOOKUP($B148,'Unit Cost Database'!$A:$H,8,FALSE()),0)</f>
        <v>8.4</v>
      </c>
      <c r="G148" s="179" t="n">
        <f aca="false">$F$7</f>
        <v>0.1</v>
      </c>
      <c r="H148" s="180" t="n">
        <f aca="false">IF(OR(D148="",F148="",D148=0,F148=0),0,D148*F148*$H$8*(1+G148)*(1+$H$7))</f>
        <v>3060288</v>
      </c>
      <c r="I148" s="177" t="s">
        <v>361</v>
      </c>
      <c r="J148" s="185" t="s">
        <v>76</v>
      </c>
    </row>
    <row r="149" customFormat="false" ht="15" hidden="false" customHeight="true" outlineLevel="1" collapsed="false">
      <c r="A149" s="176"/>
      <c r="B149" s="1" t="s">
        <v>524</v>
      </c>
      <c r="C149" s="1" t="s">
        <v>525</v>
      </c>
      <c r="D149" s="183" t="n">
        <v>0</v>
      </c>
      <c r="E149" s="176" t="str">
        <f aca="false">IFERROR(VLOOKUP($B149,'Unit Cost Database'!$A:$H,3,FALSE()),"LS")</f>
        <v>LS</v>
      </c>
      <c r="F149" s="184" t="n">
        <f aca="false">IFERROR(VLOOKUP($B149,'Unit Cost Database'!$A:$H,8,FALSE()),0)</f>
        <v>1612800</v>
      </c>
      <c r="G149" s="179" t="n">
        <f aca="false">$F$7</f>
        <v>0.1</v>
      </c>
      <c r="H149" s="180" t="n">
        <f aca="false">IF(OR(D149="",F149="",D149=0,F149=0),0,D149*F149*$H$8*(1+G149)*(1+$H$7))</f>
        <v>0</v>
      </c>
      <c r="I149" s="177" t="s">
        <v>361</v>
      </c>
      <c r="J149" s="185" t="s">
        <v>76</v>
      </c>
    </row>
    <row r="150" customFormat="false" ht="15" hidden="false" customHeight="true" outlineLevel="1" collapsed="false">
      <c r="A150" s="176"/>
      <c r="B150" s="1" t="s">
        <v>526</v>
      </c>
      <c r="C150" s="1" t="s">
        <v>527</v>
      </c>
      <c r="D150" s="183" t="n">
        <v>0</v>
      </c>
      <c r="E150" s="176" t="str">
        <f aca="false">IFERROR(VLOOKUP($B150,'Unit Cost Database'!$A:$H,3,FALSE()),"LS")</f>
        <v>LS</v>
      </c>
      <c r="F150" s="184" t="n">
        <f aca="false">IFERROR(VLOOKUP($B150,'Unit Cost Database'!$A:$H,8,FALSE()),0)</f>
        <v>672000</v>
      </c>
      <c r="G150" s="179" t="n">
        <f aca="false">$F$7</f>
        <v>0.1</v>
      </c>
      <c r="H150" s="180" t="n">
        <f aca="false">IF(OR(D150="",F150="",D150=0,F150=0),0,D150*F150*$H$8*(1+G150)*(1+$H$7))</f>
        <v>0</v>
      </c>
      <c r="I150" s="177" t="s">
        <v>361</v>
      </c>
      <c r="J150" s="185" t="s">
        <v>76</v>
      </c>
    </row>
    <row r="151" customFormat="false" ht="15" hidden="false" customHeight="true" outlineLevel="1" collapsed="false">
      <c r="A151" s="176"/>
      <c r="B151" s="1" t="s">
        <v>528</v>
      </c>
      <c r="C151" s="1" t="s">
        <v>529</v>
      </c>
      <c r="D151" s="183" t="n">
        <v>0</v>
      </c>
      <c r="E151" s="176" t="str">
        <f aca="false">IFERROR(VLOOKUP($B151,'Unit Cost Database'!$A:$H,3,FALSE()),"LS")</f>
        <v>LS</v>
      </c>
      <c r="F151" s="184" t="n">
        <f aca="false">IFERROR(VLOOKUP($B151,'Unit Cost Database'!$A:$H,8,FALSE()),0)</f>
        <v>403200</v>
      </c>
      <c r="G151" s="179" t="n">
        <f aca="false">$F$7</f>
        <v>0.1</v>
      </c>
      <c r="H151" s="180" t="n">
        <f aca="false">IF(OR(D151="",F151="",D151=0,F151=0),0,D151*F151*$H$8*(1+G151)*(1+$H$7))</f>
        <v>0</v>
      </c>
      <c r="I151" s="177" t="s">
        <v>361</v>
      </c>
      <c r="J151" s="185" t="s">
        <v>76</v>
      </c>
    </row>
    <row r="152" customFormat="false" ht="15" hidden="false" customHeight="true" outlineLevel="1" collapsed="false">
      <c r="A152" s="176" t="n">
        <v>8</v>
      </c>
      <c r="B152" s="1" t="s">
        <v>530</v>
      </c>
      <c r="C152" s="1" t="s">
        <v>531</v>
      </c>
      <c r="D152" s="183" t="n">
        <f aca="false">$C$6</f>
        <v>800000</v>
      </c>
      <c r="E152" s="176" t="str">
        <f aca="false">IFERROR(VLOOKUP($B152,'Unit Cost Database'!$A:$H,3,FALSE()),"LS")</f>
        <v>SF</v>
      </c>
      <c r="F152" s="184" t="n">
        <f aca="false">IFERROR(VLOOKUP($B152,'Unit Cost Database'!$A:$H,8,FALSE()),0)</f>
        <v>1.4</v>
      </c>
      <c r="G152" s="179" t="n">
        <f aca="false">$F$7</f>
        <v>0.1</v>
      </c>
      <c r="H152" s="180" t="n">
        <f aca="false">IF(OR(D152="",F152="",D152=0,F152=0),0,D152*F152*$H$8*(1+G152)*(1+$H$7))</f>
        <v>1275120</v>
      </c>
      <c r="I152" s="177" t="s">
        <v>361</v>
      </c>
      <c r="J152" s="185" t="s">
        <v>76</v>
      </c>
    </row>
    <row r="153" customFormat="false" ht="15" hidden="false" customHeight="true" outlineLevel="1" collapsed="false">
      <c r="A153" s="176" t="n">
        <v>9</v>
      </c>
      <c r="B153" s="1" t="s">
        <v>532</v>
      </c>
      <c r="C153" s="1" t="s">
        <v>533</v>
      </c>
      <c r="D153" s="183" t="n">
        <f aca="false">20</f>
        <v>20</v>
      </c>
      <c r="E153" s="176" t="str">
        <f aca="false">IFERROR(VLOOKUP($B153,'Unit Cost Database'!$A:$H,3,FALSE()),"LS")</f>
        <v>EA</v>
      </c>
      <c r="F153" s="184" t="n">
        <f aca="false">IFERROR(VLOOKUP($B153,'Unit Cost Database'!$A:$H,8,FALSE()),0)</f>
        <v>52500</v>
      </c>
      <c r="G153" s="179" t="n">
        <f aca="false">$F$7</f>
        <v>0.1</v>
      </c>
      <c r="H153" s="180" t="n">
        <f aca="false">IF(OR(D153="",F153="",D153=0,F153=0),0,D153*F153*$H$8*(1+G153)*(1+$H$7))</f>
        <v>1195425</v>
      </c>
      <c r="I153" s="177" t="s">
        <v>361</v>
      </c>
      <c r="J153" s="185" t="s">
        <v>76</v>
      </c>
    </row>
    <row r="154" customFormat="false" ht="15" hidden="false" customHeight="true" outlineLevel="1" collapsed="false">
      <c r="A154" s="176" t="n">
        <v>10</v>
      </c>
      <c r="B154" s="1" t="s">
        <v>534</v>
      </c>
      <c r="C154" s="1" t="s">
        <v>535</v>
      </c>
      <c r="D154" s="183" t="n">
        <v>1125</v>
      </c>
      <c r="E154" s="176" t="str">
        <f aca="false">IFERROR(VLOOKUP($B154,'Unit Cost Database'!$A:$H,3,FALSE()),"LS")</f>
        <v>EA</v>
      </c>
      <c r="F154" s="184" t="n">
        <f aca="false">IFERROR(VLOOKUP($B154,'Unit Cost Database'!$A:$H,8,FALSE()),0)</f>
        <v>5600</v>
      </c>
      <c r="G154" s="179" t="n">
        <f aca="false">$F$7</f>
        <v>0.1</v>
      </c>
      <c r="H154" s="180" t="n">
        <f aca="false">IF(OR(D154="",F154="",D154=0,F154=0),0,D154*F154*$H$8*(1+G154)*(1+$H$7))</f>
        <v>7172550</v>
      </c>
      <c r="I154" s="177" t="s">
        <v>361</v>
      </c>
      <c r="J154" s="185" t="s">
        <v>76</v>
      </c>
    </row>
    <row r="155" customFormat="false" ht="15" hidden="false" customHeight="true" outlineLevel="1" collapsed="false">
      <c r="A155" s="176"/>
      <c r="B155" s="1" t="s">
        <v>536</v>
      </c>
      <c r="C155" s="1" t="s">
        <v>537</v>
      </c>
      <c r="D155" s="183" t="n">
        <v>0</v>
      </c>
      <c r="E155" s="176" t="str">
        <f aca="false">IFERROR(VLOOKUP($B155,'Unit Cost Database'!$A:$H,3,FALSE()),"LS")</f>
        <v>LS</v>
      </c>
      <c r="F155" s="184" t="n">
        <f aca="false">IFERROR(VLOOKUP($B155,'Unit Cost Database'!$A:$H,8,FALSE()),0)</f>
        <v>3780000</v>
      </c>
      <c r="G155" s="179" t="n">
        <f aca="false">$F$7</f>
        <v>0.1</v>
      </c>
      <c r="H155" s="180" t="n">
        <f aca="false">IF(OR(D155="",F155="",D155=0,F155=0),0,D155*F155*$H$8*(1+G155)*(1+$H$7))</f>
        <v>0</v>
      </c>
      <c r="I155" s="177" t="s">
        <v>361</v>
      </c>
      <c r="J155" s="185" t="s">
        <v>76</v>
      </c>
    </row>
    <row r="156" customFormat="false" ht="15" hidden="false" customHeight="true" outlineLevel="1" collapsed="false">
      <c r="A156" s="176"/>
      <c r="B156" s="1" t="s">
        <v>538</v>
      </c>
      <c r="C156" s="1" t="s">
        <v>539</v>
      </c>
      <c r="D156" s="183" t="n">
        <v>0</v>
      </c>
      <c r="E156" s="176" t="str">
        <f aca="false">IFERROR(VLOOKUP($B156,'Unit Cost Database'!$A:$H,3,FALSE()),"LS")</f>
        <v>LS</v>
      </c>
      <c r="F156" s="184" t="n">
        <f aca="false">IFERROR(VLOOKUP($B156,'Unit Cost Database'!$A:$H,8,FALSE()),0)</f>
        <v>1575000</v>
      </c>
      <c r="G156" s="179" t="n">
        <f aca="false">$F$7</f>
        <v>0.1</v>
      </c>
      <c r="H156" s="180" t="n">
        <f aca="false">IF(OR(D156="",F156="",D156=0,F156=0),0,D156*F156*$H$8*(1+G156)*(1+$H$7))</f>
        <v>0</v>
      </c>
      <c r="I156" s="177" t="s">
        <v>361</v>
      </c>
      <c r="J156" s="185" t="s">
        <v>76</v>
      </c>
    </row>
    <row r="157" customFormat="false" ht="15" hidden="false" customHeight="true" outlineLevel="1" collapsed="false">
      <c r="A157" s="176"/>
      <c r="B157" s="1" t="s">
        <v>540</v>
      </c>
      <c r="C157" s="1" t="s">
        <v>541</v>
      </c>
      <c r="D157" s="183" t="n">
        <v>0</v>
      </c>
      <c r="E157" s="176" t="str">
        <f aca="false">IFERROR(VLOOKUP($B157,'Unit Cost Database'!$A:$H,3,FALSE()),"LS")</f>
        <v>LS</v>
      </c>
      <c r="F157" s="184" t="n">
        <f aca="false">IFERROR(VLOOKUP($B157,'Unit Cost Database'!$A:$H,8,FALSE()),0)</f>
        <v>945000</v>
      </c>
      <c r="G157" s="179" t="n">
        <f aca="false">$F$7</f>
        <v>0.1</v>
      </c>
      <c r="H157" s="180" t="n">
        <f aca="false">IF(OR(D157="",F157="",D157=0,F157=0),0,D157*F157*$H$8*(1+G157)*(1+$H$7))</f>
        <v>0</v>
      </c>
      <c r="I157" s="177" t="s">
        <v>361</v>
      </c>
      <c r="J157" s="185" t="s">
        <v>76</v>
      </c>
    </row>
    <row r="158" customFormat="false" ht="15" hidden="false" customHeight="true" outlineLevel="1" collapsed="false">
      <c r="A158" s="176" t="n">
        <v>11</v>
      </c>
      <c r="B158" s="1" t="s">
        <v>542</v>
      </c>
      <c r="C158" s="1" t="s">
        <v>543</v>
      </c>
      <c r="D158" s="183" t="n">
        <f aca="false">$C$9*1000</f>
        <v>90000</v>
      </c>
      <c r="E158" s="176" t="str">
        <f aca="false">IFERROR(VLOOKUP($B158,'Unit Cost Database'!$A:$H,3,FALSE()),"LS")</f>
        <v>LF</v>
      </c>
      <c r="F158" s="184" t="n">
        <f aca="false">IFERROR(VLOOKUP($B158,'Unit Cost Database'!$A:$H,8,FALSE()),0)</f>
        <v>17.5</v>
      </c>
      <c r="G158" s="179" t="n">
        <f aca="false">$F$7</f>
        <v>0.1</v>
      </c>
      <c r="H158" s="180" t="n">
        <f aca="false">IF(OR(D158="",F158="",D158=0,F158=0),0,D158*F158*$H$8*(1+G158)*(1+$H$7))</f>
        <v>1793137.5</v>
      </c>
      <c r="I158" s="177" t="s">
        <v>361</v>
      </c>
      <c r="J158" s="185" t="s">
        <v>76</v>
      </c>
    </row>
    <row r="159" customFormat="false" ht="15" hidden="false" customHeight="true" outlineLevel="1" collapsed="false">
      <c r="A159" s="176" t="n">
        <v>12</v>
      </c>
      <c r="B159" s="1" t="s">
        <v>544</v>
      </c>
      <c r="C159" s="1" t="s">
        <v>545</v>
      </c>
      <c r="D159" s="183" t="n">
        <v>1</v>
      </c>
      <c r="E159" s="176" t="str">
        <f aca="false">IFERROR(VLOOKUP($B159,'Unit Cost Database'!$A:$H,3,FALSE()),"LS")</f>
        <v>LS</v>
      </c>
      <c r="F159" s="184" t="n">
        <f aca="false">IFERROR(VLOOKUP($B159,'Unit Cost Database'!$A:$H,8,FALSE()),0)</f>
        <v>220000</v>
      </c>
      <c r="G159" s="179" t="n">
        <f aca="false">$F$7</f>
        <v>0.1</v>
      </c>
      <c r="H159" s="180" t="n">
        <f aca="false">IF(OR(D159="",F159="",D159=0,F159=0),0,D159*F159*$H$8*(1+G159)*(1+$H$7))</f>
        <v>250470</v>
      </c>
      <c r="I159" s="177" t="s">
        <v>361</v>
      </c>
      <c r="J159" s="185" t="s">
        <v>76</v>
      </c>
    </row>
    <row r="160" customFormat="false" ht="15" hidden="false" customHeight="true" outlineLevel="1" collapsed="false">
      <c r="A160" s="176" t="n">
        <v>13</v>
      </c>
      <c r="B160" s="1" t="s">
        <v>546</v>
      </c>
      <c r="C160" s="1" t="s">
        <v>547</v>
      </c>
      <c r="D160" s="183" t="n">
        <v>180000</v>
      </c>
      <c r="E160" s="176" t="str">
        <f aca="false">IFERROR(VLOOKUP($B160,'Unit Cost Database'!$A:$H,3,FALSE()),"LS")</f>
        <v>LB</v>
      </c>
      <c r="F160" s="184" t="n">
        <f aca="false">IFERROR(VLOOKUP($B160,'Unit Cost Database'!$A:$H,8,FALSE()),0)</f>
        <v>4.5</v>
      </c>
      <c r="G160" s="179" t="n">
        <f aca="false">$F$7</f>
        <v>0.1</v>
      </c>
      <c r="H160" s="180" t="n">
        <f aca="false">IF(OR(D160="",F160="",D160=0,F160=0),0,D160*F160*$H$8*(1+G160)*(1+$H$7))</f>
        <v>922185</v>
      </c>
      <c r="I160" s="177" t="s">
        <v>361</v>
      </c>
      <c r="J160" s="185" t="s">
        <v>76</v>
      </c>
    </row>
    <row r="161" customFormat="false" ht="15" hidden="false" customHeight="true" outlineLevel="1" collapsed="false">
      <c r="A161" s="176" t="n">
        <v>14</v>
      </c>
      <c r="B161" s="1" t="s">
        <v>548</v>
      </c>
      <c r="C161" s="1" t="s">
        <v>549</v>
      </c>
      <c r="D161" s="183" t="n">
        <v>12000</v>
      </c>
      <c r="E161" s="176" t="str">
        <f aca="false">IFERROR(VLOOKUP($B161,'Unit Cost Database'!$A:$H,3,FALSE()),"LS")</f>
        <v>SF</v>
      </c>
      <c r="F161" s="184" t="n">
        <f aca="false">IFERROR(VLOOKUP($B161,'Unit Cost Database'!$A:$H,8,FALSE()),0)</f>
        <v>95</v>
      </c>
      <c r="G161" s="179" t="n">
        <f aca="false">$F$7</f>
        <v>0.1</v>
      </c>
      <c r="H161" s="180" t="n">
        <f aca="false">IF(OR(D161="",F161="",D161=0,F161=0),0,D161*F161*$H$8*(1+G161)*(1+$H$7))</f>
        <v>1297890</v>
      </c>
      <c r="I161" s="177" t="s">
        <v>361</v>
      </c>
      <c r="J161" s="185" t="s">
        <v>76</v>
      </c>
    </row>
    <row r="162" customFormat="false" ht="15" hidden="false" customHeight="true" outlineLevel="1" collapsed="false">
      <c r="A162" s="176" t="n">
        <v>15</v>
      </c>
      <c r="B162" s="1" t="s">
        <v>550</v>
      </c>
      <c r="C162" s="1" t="s">
        <v>551</v>
      </c>
      <c r="D162" s="183" t="n">
        <v>120000</v>
      </c>
      <c r="E162" s="176" t="str">
        <f aca="false">IFERROR(VLOOKUP($B162,'Unit Cost Database'!$A:$H,3,FALSE()),"LS")</f>
        <v>LB</v>
      </c>
      <c r="F162" s="184" t="n">
        <f aca="false">IFERROR(VLOOKUP($B162,'Unit Cost Database'!$A:$H,8,FALSE()),0)</f>
        <v>4</v>
      </c>
      <c r="G162" s="179" t="n">
        <f aca="false">$F$7</f>
        <v>0.1</v>
      </c>
      <c r="H162" s="180" t="n">
        <f aca="false">IF(OR(D162="",F162="",D162=0,F162=0),0,D162*F162*$H$8*(1+G162)*(1+$H$7))</f>
        <v>546480</v>
      </c>
      <c r="I162" s="177" t="s">
        <v>361</v>
      </c>
      <c r="J162" s="185" t="s">
        <v>76</v>
      </c>
    </row>
    <row r="163" customFormat="false" ht="15" hidden="false" customHeight="true" outlineLevel="1" collapsed="false">
      <c r="A163" s="176" t="n">
        <v>16</v>
      </c>
      <c r="B163" s="1" t="s">
        <v>552</v>
      </c>
      <c r="C163" s="1" t="s">
        <v>553</v>
      </c>
      <c r="D163" s="183" t="n">
        <v>14000</v>
      </c>
      <c r="E163" s="176" t="str">
        <f aca="false">IFERROR(VLOOKUP($B163,'Unit Cost Database'!$A:$H,3,FALSE()),"LS")</f>
        <v>SF</v>
      </c>
      <c r="F163" s="184" t="n">
        <f aca="false">IFERROR(VLOOKUP($B163,'Unit Cost Database'!$A:$H,8,FALSE()),0)</f>
        <v>38</v>
      </c>
      <c r="G163" s="179" t="n">
        <f aca="false">$F$7</f>
        <v>0.1</v>
      </c>
      <c r="H163" s="180" t="n">
        <f aca="false">IF(OR(D163="",F163="",D163=0,F163=0),0,D163*F163*$H$8*(1+G163)*(1+$H$7))</f>
        <v>605682</v>
      </c>
      <c r="I163" s="177" t="s">
        <v>361</v>
      </c>
      <c r="J163" s="185" t="s">
        <v>76</v>
      </c>
    </row>
    <row r="164" customFormat="false" ht="15" hidden="false" customHeight="true" outlineLevel="1" collapsed="false">
      <c r="A164" s="186"/>
      <c r="B164" s="187"/>
      <c r="C164" s="188" t="s">
        <v>554</v>
      </c>
      <c r="D164" s="189"/>
      <c r="E164" s="186"/>
      <c r="F164" s="190"/>
      <c r="G164" s="191"/>
      <c r="H164" s="192" t="n">
        <f aca="false">SUM(H129:H163)</f>
        <v>40836399.7619533</v>
      </c>
      <c r="I164" s="187"/>
      <c r="J164" s="187"/>
    </row>
    <row r="165" customFormat="false" ht="15" hidden="false" customHeight="true" outlineLevel="1" collapsed="false">
      <c r="A165" s="176"/>
      <c r="D165" s="177"/>
      <c r="E165" s="176"/>
      <c r="F165" s="178"/>
      <c r="G165" s="179"/>
      <c r="H165" s="180"/>
    </row>
    <row r="166" customFormat="false" ht="15" hidden="false" customHeight="true" outlineLevel="1" collapsed="false">
      <c r="A166" s="193" t="s">
        <v>555</v>
      </c>
      <c r="B166" s="193"/>
      <c r="C166" s="193"/>
      <c r="D166" s="193"/>
      <c r="E166" s="193"/>
      <c r="F166" s="193"/>
      <c r="G166" s="193"/>
      <c r="H166" s="193"/>
      <c r="I166" s="182"/>
      <c r="J166" s="182" t="s">
        <v>76</v>
      </c>
    </row>
    <row r="167" customFormat="false" ht="15" hidden="false" customHeight="true" outlineLevel="1" collapsed="false">
      <c r="A167" s="176" t="n">
        <v>1</v>
      </c>
      <c r="B167" s="1" t="s">
        <v>556</v>
      </c>
      <c r="C167" s="1" t="s">
        <v>557</v>
      </c>
      <c r="D167" s="183" t="n">
        <f aca="false">$C$6*0.05</f>
        <v>40000</v>
      </c>
      <c r="E167" s="176" t="str">
        <f aca="false">IFERROR(VLOOKUP($B167,'Unit Cost Database'!$A:$H,3,FALSE()),"LS")</f>
        <v>SF</v>
      </c>
      <c r="F167" s="184" t="n">
        <f aca="false">IFERROR(VLOOKUP($B167,'Unit Cost Database'!$A:$H,8,FALSE()),0)</f>
        <v>2.5</v>
      </c>
      <c r="G167" s="179" t="n">
        <f aca="false">$F$7</f>
        <v>0.1</v>
      </c>
      <c r="H167" s="180" t="n">
        <f aca="false">IF(OR(D167="",F167="",D167=0,F167=0),0,D167*F167*$H$8*(1+G167)*(1+$H$7))</f>
        <v>113850</v>
      </c>
      <c r="I167" s="177" t="s">
        <v>361</v>
      </c>
      <c r="J167" s="185" t="s">
        <v>76</v>
      </c>
    </row>
    <row r="168" customFormat="false" ht="15" hidden="false" customHeight="true" outlineLevel="1" collapsed="false">
      <c r="A168" s="176" t="n">
        <v>2</v>
      </c>
      <c r="B168" s="1" t="s">
        <v>558</v>
      </c>
      <c r="C168" s="1" t="s">
        <v>559</v>
      </c>
      <c r="D168" s="183" t="n">
        <f aca="false">$C$6*0.08</f>
        <v>64000</v>
      </c>
      <c r="E168" s="176" t="str">
        <f aca="false">IFERROR(VLOOKUP($B168,'Unit Cost Database'!$A:$H,3,FALSE()),"LS")</f>
        <v>SF</v>
      </c>
      <c r="F168" s="184" t="n">
        <f aca="false">IFERROR(VLOOKUP($B168,'Unit Cost Database'!$A:$H,8,FALSE()),0)</f>
        <v>3</v>
      </c>
      <c r="G168" s="179" t="n">
        <f aca="false">$F$7</f>
        <v>0.1</v>
      </c>
      <c r="H168" s="180" t="n">
        <f aca="false">IF(OR(D168="",F168="",D168=0,F168=0),0,D168*F168*$H$8*(1+G168)*(1+$H$7))</f>
        <v>218592</v>
      </c>
      <c r="I168" s="177" t="s">
        <v>361</v>
      </c>
      <c r="J168" s="185" t="s">
        <v>76</v>
      </c>
    </row>
    <row r="169" customFormat="false" ht="15" hidden="false" customHeight="true" outlineLevel="1" collapsed="false">
      <c r="A169" s="176" t="n">
        <v>3</v>
      </c>
      <c r="B169" s="1" t="s">
        <v>560</v>
      </c>
      <c r="C169" s="1" t="s">
        <v>561</v>
      </c>
      <c r="D169" s="183" t="n">
        <v>18000</v>
      </c>
      <c r="E169" s="176" t="str">
        <f aca="false">IFERROR(VLOOKUP($B169,'Unit Cost Database'!$A:$H,3,FALSE()),"LS")</f>
        <v>SF</v>
      </c>
      <c r="F169" s="184" t="n">
        <f aca="false">IFERROR(VLOOKUP($B169,'Unit Cost Database'!$A:$H,8,FALSE()),0)</f>
        <v>6</v>
      </c>
      <c r="G169" s="179" t="n">
        <f aca="false">$F$7</f>
        <v>0.1</v>
      </c>
      <c r="H169" s="180" t="n">
        <f aca="false">IF(OR(D169="",F169="",D169=0,F169=0),0,D169*F169*$H$8*(1+G169)*(1+$H$7))</f>
        <v>122958</v>
      </c>
      <c r="I169" s="177" t="s">
        <v>361</v>
      </c>
      <c r="J169" s="185" t="s">
        <v>76</v>
      </c>
    </row>
    <row r="170" customFormat="false" ht="15" hidden="false" customHeight="true" outlineLevel="1" collapsed="false">
      <c r="A170" s="176" t="n">
        <v>4</v>
      </c>
      <c r="B170" s="1" t="s">
        <v>562</v>
      </c>
      <c r="C170" s="1" t="s">
        <v>563</v>
      </c>
      <c r="D170" s="183" t="n">
        <v>6000</v>
      </c>
      <c r="E170" s="176" t="str">
        <f aca="false">IFERROR(VLOOKUP($B170,'Unit Cost Database'!$A:$H,3,FALSE()),"LS")</f>
        <v>SF</v>
      </c>
      <c r="F170" s="184" t="n">
        <f aca="false">IFERROR(VLOOKUP($B170,'Unit Cost Database'!$A:$H,8,FALSE()),0)</f>
        <v>22</v>
      </c>
      <c r="G170" s="179" t="n">
        <f aca="false">$F$7</f>
        <v>0.1</v>
      </c>
      <c r="H170" s="180" t="n">
        <f aca="false">IF(OR(D170="",F170="",D170=0,F170=0),0,D170*F170*$H$8*(1+G170)*(1+$H$7))</f>
        <v>150282</v>
      </c>
      <c r="I170" s="177" t="s">
        <v>361</v>
      </c>
      <c r="J170" s="185" t="s">
        <v>76</v>
      </c>
    </row>
    <row r="171" customFormat="false" ht="15" hidden="false" customHeight="true" outlineLevel="1" collapsed="false">
      <c r="A171" s="176" t="n">
        <v>5</v>
      </c>
      <c r="B171" s="1" t="s">
        <v>564</v>
      </c>
      <c r="C171" s="1" t="s">
        <v>565</v>
      </c>
      <c r="D171" s="183" t="n">
        <v>120</v>
      </c>
      <c r="E171" s="176" t="str">
        <f aca="false">IFERROR(VLOOKUP($B171,'Unit Cost Database'!$A:$H,3,FALSE()),"LS")</f>
        <v>EA</v>
      </c>
      <c r="F171" s="184" t="n">
        <f aca="false">IFERROR(VLOOKUP($B171,'Unit Cost Database'!$A:$H,8,FALSE()),0)</f>
        <v>180</v>
      </c>
      <c r="G171" s="179" t="n">
        <f aca="false">$F$7</f>
        <v>0.1</v>
      </c>
      <c r="H171" s="180" t="n">
        <f aca="false">IF(OR(D171="",F171="",D171=0,F171=0),0,D171*F171*$H$8*(1+G171)*(1+$H$7))</f>
        <v>24591.6</v>
      </c>
      <c r="I171" s="177" t="s">
        <v>361</v>
      </c>
      <c r="J171" s="185" t="s">
        <v>76</v>
      </c>
    </row>
    <row r="172" customFormat="false" ht="15" hidden="false" customHeight="true" outlineLevel="1" collapsed="false">
      <c r="A172" s="176" t="n">
        <v>6</v>
      </c>
      <c r="B172" s="1" t="s">
        <v>566</v>
      </c>
      <c r="C172" s="1" t="s">
        <v>567</v>
      </c>
      <c r="D172" s="183" t="n">
        <v>1</v>
      </c>
      <c r="E172" s="176" t="str">
        <f aca="false">IFERROR(VLOOKUP($B172,'Unit Cost Database'!$A:$H,3,FALSE()),"LS")</f>
        <v>LS</v>
      </c>
      <c r="F172" s="184" t="n">
        <f aca="false">IFERROR(VLOOKUP($B172,'Unit Cost Database'!$A:$H,8,FALSE()),0)</f>
        <v>350000</v>
      </c>
      <c r="G172" s="179" t="n">
        <f aca="false">$F$7</f>
        <v>0.1</v>
      </c>
      <c r="H172" s="180" t="n">
        <f aca="false">IF(OR(D172="",F172="",D172=0,F172=0),0,D172*F172*$H$8*(1+G172)*(1+$H$7))</f>
        <v>398475</v>
      </c>
      <c r="I172" s="177" t="s">
        <v>361</v>
      </c>
      <c r="J172" s="185" t="s">
        <v>76</v>
      </c>
    </row>
    <row r="173" customFormat="false" ht="15" hidden="false" customHeight="true" outlineLevel="1" collapsed="false">
      <c r="A173" s="176" t="n">
        <v>7</v>
      </c>
      <c r="B173" s="1" t="s">
        <v>568</v>
      </c>
      <c r="C173" s="1" t="s">
        <v>569</v>
      </c>
      <c r="D173" s="183" t="n">
        <v>1</v>
      </c>
      <c r="E173" s="176" t="str">
        <f aca="false">IFERROR(VLOOKUP($B173,'Unit Cost Database'!$A:$H,3,FALSE()),"LS")</f>
        <v>LS</v>
      </c>
      <c r="F173" s="184" t="n">
        <f aca="false">IFERROR(VLOOKUP($B173,'Unit Cost Database'!$A:$H,8,FALSE()),0)</f>
        <v>180000</v>
      </c>
      <c r="G173" s="179" t="n">
        <f aca="false">$F$7</f>
        <v>0.1</v>
      </c>
      <c r="H173" s="180" t="n">
        <f aca="false">IF(OR(D173="",F173="",D173=0,F173=0),0,D173*F173*$H$8*(1+G173)*(1+$H$7))</f>
        <v>204930</v>
      </c>
      <c r="I173" s="177" t="s">
        <v>361</v>
      </c>
      <c r="J173" s="185" t="s">
        <v>76</v>
      </c>
    </row>
    <row r="174" customFormat="false" ht="15" hidden="false" customHeight="true" outlineLevel="1" collapsed="false">
      <c r="A174" s="186"/>
      <c r="B174" s="187"/>
      <c r="C174" s="188" t="s">
        <v>570</v>
      </c>
      <c r="D174" s="189"/>
      <c r="E174" s="186"/>
      <c r="F174" s="190"/>
      <c r="G174" s="191"/>
      <c r="H174" s="192" t="n">
        <f aca="false">SUM(H167:H173)</f>
        <v>1233678.6</v>
      </c>
      <c r="I174" s="187"/>
      <c r="J174" s="187"/>
    </row>
    <row r="175" customFormat="false" ht="15" hidden="false" customHeight="true" outlineLevel="1" collapsed="false">
      <c r="A175" s="176"/>
      <c r="D175" s="177"/>
      <c r="E175" s="176"/>
      <c r="F175" s="178"/>
      <c r="G175" s="179"/>
      <c r="H175" s="180"/>
    </row>
    <row r="176" customFormat="false" ht="15" hidden="false" customHeight="true" outlineLevel="1" collapsed="false">
      <c r="A176" s="193" t="s">
        <v>571</v>
      </c>
      <c r="B176" s="193"/>
      <c r="C176" s="193"/>
      <c r="D176" s="193"/>
      <c r="E176" s="193"/>
      <c r="F176" s="193"/>
      <c r="G176" s="193"/>
      <c r="H176" s="193"/>
      <c r="I176" s="182"/>
      <c r="J176" s="182" t="s">
        <v>76</v>
      </c>
    </row>
    <row r="177" customFormat="false" ht="15" hidden="false" customHeight="true" outlineLevel="1" collapsed="false">
      <c r="A177" s="176" t="n">
        <v>1</v>
      </c>
      <c r="B177" s="1" t="s">
        <v>572</v>
      </c>
      <c r="C177" s="1" t="s">
        <v>573</v>
      </c>
      <c r="D177" s="183" t="n">
        <f aca="false">$C$6*0.05</f>
        <v>40000</v>
      </c>
      <c r="E177" s="176" t="str">
        <f aca="false">IFERROR(VLOOKUP($B177,'Unit Cost Database'!$A:$H,3,FALSE()),"LS")</f>
        <v>SF</v>
      </c>
      <c r="F177" s="184" t="n">
        <f aca="false">IFERROR(VLOOKUP($B177,'Unit Cost Database'!$A:$H,8,FALSE()),0)</f>
        <v>2.8</v>
      </c>
      <c r="G177" s="179" t="n">
        <f aca="false">$F$7</f>
        <v>0.1</v>
      </c>
      <c r="H177" s="180" t="n">
        <f aca="false">IF(OR(D177="",F177="",D177=0,F177=0),0,D177*F177*$H$8*(1+G177)*(1+$H$7))</f>
        <v>127512</v>
      </c>
      <c r="I177" s="177" t="s">
        <v>361</v>
      </c>
      <c r="J177" s="185" t="s">
        <v>76</v>
      </c>
    </row>
    <row r="178" customFormat="false" ht="15" hidden="false" customHeight="true" outlineLevel="1" collapsed="false">
      <c r="A178" s="176" t="n">
        <v>2</v>
      </c>
      <c r="B178" s="1" t="s">
        <v>574</v>
      </c>
      <c r="C178" s="1" t="s">
        <v>575</v>
      </c>
      <c r="D178" s="183" t="n">
        <f aca="false">$C$6*0.1</f>
        <v>80000</v>
      </c>
      <c r="E178" s="176" t="str">
        <f aca="false">IFERROR(VLOOKUP($B178,'Unit Cost Database'!$A:$H,3,FALSE()),"LS")</f>
        <v>SF</v>
      </c>
      <c r="F178" s="184" t="n">
        <f aca="false">IFERROR(VLOOKUP($B178,'Unit Cost Database'!$A:$H,8,FALSE()),0)</f>
        <v>8.4</v>
      </c>
      <c r="G178" s="179" t="n">
        <f aca="false">$F$7</f>
        <v>0.1</v>
      </c>
      <c r="H178" s="180" t="n">
        <f aca="false">IF(OR(D178="",F178="",D178=0,F178=0),0,D178*F178*$H$8*(1+G178)*(1+$H$7))</f>
        <v>765072</v>
      </c>
      <c r="I178" s="177" t="s">
        <v>361</v>
      </c>
      <c r="J178" s="185" t="s">
        <v>76</v>
      </c>
    </row>
    <row r="179" customFormat="false" ht="15" hidden="false" customHeight="true" outlineLevel="1" collapsed="false">
      <c r="A179" s="176" t="n">
        <v>3</v>
      </c>
      <c r="B179" s="1" t="s">
        <v>576</v>
      </c>
      <c r="C179" s="1" t="s">
        <v>577</v>
      </c>
      <c r="D179" s="183" t="n">
        <v>480000</v>
      </c>
      <c r="E179" s="176" t="str">
        <f aca="false">IFERROR(VLOOKUP($B179,'Unit Cost Database'!$A:$H,3,FALSE()),"LS")</f>
        <v>SF</v>
      </c>
      <c r="F179" s="184" t="n">
        <f aca="false">IFERROR(VLOOKUP($B179,'Unit Cost Database'!$A:$H,8,FALSE()),0)</f>
        <v>4.2</v>
      </c>
      <c r="G179" s="179" t="n">
        <f aca="false">$F$7</f>
        <v>0.1</v>
      </c>
      <c r="H179" s="180" t="n">
        <f aca="false">IF(OR(D179="",F179="",D179=0,F179=0),0,D179*F179*$H$8*(1+G179)*(1+$H$7))</f>
        <v>2295216</v>
      </c>
      <c r="I179" s="177" t="s">
        <v>361</v>
      </c>
      <c r="J179" s="185" t="s">
        <v>76</v>
      </c>
    </row>
    <row r="180" customFormat="false" ht="15" hidden="false" customHeight="true" outlineLevel="1" collapsed="false">
      <c r="A180" s="176"/>
      <c r="B180" s="1" t="s">
        <v>578</v>
      </c>
      <c r="C180" s="1" t="s">
        <v>579</v>
      </c>
      <c r="D180" s="183" t="n">
        <v>0</v>
      </c>
      <c r="E180" s="176" t="str">
        <f aca="false">IFERROR(VLOOKUP($B180,'Unit Cost Database'!$A:$H,3,FALSE()),"LS")</f>
        <v>LS</v>
      </c>
      <c r="F180" s="184" t="n">
        <f aca="false">IFERROR(VLOOKUP($B180,'Unit Cost Database'!$A:$H,8,FALSE()),0)</f>
        <v>1310400</v>
      </c>
      <c r="G180" s="179" t="n">
        <f aca="false">$F$7</f>
        <v>0.1</v>
      </c>
      <c r="H180" s="180" t="n">
        <f aca="false">IF(OR(D180="",F180="",D180=0,F180=0),0,D180*F180*$H$8*(1+G180)*(1+$H$7))</f>
        <v>0</v>
      </c>
      <c r="I180" s="177" t="s">
        <v>361</v>
      </c>
      <c r="J180" s="185" t="s">
        <v>76</v>
      </c>
    </row>
    <row r="181" customFormat="false" ht="15" hidden="false" customHeight="true" outlineLevel="1" collapsed="false">
      <c r="A181" s="176"/>
      <c r="B181" s="1" t="s">
        <v>580</v>
      </c>
      <c r="C181" s="1" t="s">
        <v>581</v>
      </c>
      <c r="D181" s="183" t="n">
        <v>0</v>
      </c>
      <c r="E181" s="176" t="str">
        <f aca="false">IFERROR(VLOOKUP($B181,'Unit Cost Database'!$A:$H,3,FALSE()),"LS")</f>
        <v>LS</v>
      </c>
      <c r="F181" s="184" t="n">
        <f aca="false">IFERROR(VLOOKUP($B181,'Unit Cost Database'!$A:$H,8,FALSE()),0)</f>
        <v>403200</v>
      </c>
      <c r="G181" s="179" t="n">
        <f aca="false">$F$7</f>
        <v>0.1</v>
      </c>
      <c r="H181" s="180" t="n">
        <f aca="false">IF(OR(D181="",F181="",D181=0,F181=0),0,D181*F181*$H$8*(1+G181)*(1+$H$7))</f>
        <v>0</v>
      </c>
      <c r="I181" s="177" t="s">
        <v>361</v>
      </c>
      <c r="J181" s="185" t="s">
        <v>76</v>
      </c>
    </row>
    <row r="182" customFormat="false" ht="15" hidden="false" customHeight="true" outlineLevel="1" collapsed="false">
      <c r="A182" s="176"/>
      <c r="B182" s="1" t="s">
        <v>582</v>
      </c>
      <c r="C182" s="1" t="s">
        <v>583</v>
      </c>
      <c r="D182" s="183" t="n">
        <v>0</v>
      </c>
      <c r="E182" s="176" t="str">
        <f aca="false">IFERROR(VLOOKUP($B182,'Unit Cost Database'!$A:$H,3,FALSE()),"LS")</f>
        <v>LS</v>
      </c>
      <c r="F182" s="184" t="n">
        <f aca="false">IFERROR(VLOOKUP($B182,'Unit Cost Database'!$A:$H,8,FALSE()),0)</f>
        <v>302400</v>
      </c>
      <c r="G182" s="179" t="n">
        <f aca="false">$F$7</f>
        <v>0.1</v>
      </c>
      <c r="H182" s="180" t="n">
        <f aca="false">IF(OR(D182="",F182="",D182=0,F182=0),0,D182*F182*$H$8*(1+G182)*(1+$H$7))</f>
        <v>0</v>
      </c>
      <c r="I182" s="177" t="s">
        <v>361</v>
      </c>
      <c r="J182" s="185" t="s">
        <v>76</v>
      </c>
    </row>
    <row r="183" customFormat="false" ht="15" hidden="false" customHeight="true" outlineLevel="1" collapsed="false">
      <c r="A183" s="176" t="n">
        <v>4</v>
      </c>
      <c r="B183" s="1" t="s">
        <v>584</v>
      </c>
      <c r="C183" s="1" t="s">
        <v>585</v>
      </c>
      <c r="D183" s="183" t="n">
        <v>800000</v>
      </c>
      <c r="E183" s="176" t="str">
        <f aca="false">IFERROR(VLOOKUP($B183,'Unit Cost Database'!$A:$H,3,FALSE()),"LS")</f>
        <v>SF</v>
      </c>
      <c r="F183" s="184" t="n">
        <f aca="false">IFERROR(VLOOKUP($B183,'Unit Cost Database'!$A:$H,8,FALSE()),0)</f>
        <v>2.8</v>
      </c>
      <c r="G183" s="179" t="n">
        <f aca="false">$F$7</f>
        <v>0.1</v>
      </c>
      <c r="H183" s="180" t="n">
        <f aca="false">IF(OR(D183="",F183="",D183=0,F183=0),0,D183*F183*$H$8*(1+G183)*(1+$H$7))</f>
        <v>2550240</v>
      </c>
      <c r="I183" s="177" t="s">
        <v>361</v>
      </c>
      <c r="J183" s="185" t="s">
        <v>76</v>
      </c>
    </row>
    <row r="184" customFormat="false" ht="15" hidden="false" customHeight="true" outlineLevel="0" collapsed="false">
      <c r="A184" s="176"/>
      <c r="B184" s="1" t="s">
        <v>586</v>
      </c>
      <c r="C184" s="1" t="s">
        <v>587</v>
      </c>
      <c r="D184" s="183" t="n">
        <v>0</v>
      </c>
      <c r="E184" s="176" t="str">
        <f aca="false">IFERROR(VLOOKUP($B184,'Unit Cost Database'!$A:$H,3,FALSE()),"LS")</f>
        <v>LS</v>
      </c>
      <c r="F184" s="184" t="n">
        <f aca="false">IFERROR(VLOOKUP($B184,'Unit Cost Database'!$A:$H,8,FALSE()),0)</f>
        <v>1568000</v>
      </c>
      <c r="G184" s="179" t="n">
        <f aca="false">$F$7</f>
        <v>0.1</v>
      </c>
      <c r="H184" s="180" t="n">
        <f aca="false">IF(OR(D184="",F184="",D184=0,F184=0),0,D184*F184*$H$8*(1+G184)*(1+$H$7))</f>
        <v>0</v>
      </c>
      <c r="I184" s="177" t="s">
        <v>361</v>
      </c>
      <c r="J184" s="185" t="s">
        <v>76</v>
      </c>
    </row>
    <row r="185" customFormat="false" ht="15" hidden="false" customHeight="true" outlineLevel="0" collapsed="false">
      <c r="A185" s="176"/>
      <c r="B185" s="1" t="s">
        <v>588</v>
      </c>
      <c r="C185" s="1" t="s">
        <v>589</v>
      </c>
      <c r="D185" s="183" t="n">
        <v>0</v>
      </c>
      <c r="E185" s="176" t="str">
        <f aca="false">IFERROR(VLOOKUP($B185,'Unit Cost Database'!$A:$H,3,FALSE()),"LS")</f>
        <v>LS</v>
      </c>
      <c r="F185" s="184" t="n">
        <f aca="false">IFERROR(VLOOKUP($B185,'Unit Cost Database'!$A:$H,8,FALSE()),0)</f>
        <v>403200</v>
      </c>
      <c r="G185" s="179" t="n">
        <f aca="false">$F$7</f>
        <v>0.1</v>
      </c>
      <c r="H185" s="180" t="n">
        <f aca="false">IF(OR(D185="",F185="",D185=0,F185=0),0,D185*F185*$H$8*(1+G185)*(1+$H$7))</f>
        <v>0</v>
      </c>
      <c r="I185" s="177" t="s">
        <v>361</v>
      </c>
      <c r="J185" s="185" t="s">
        <v>76</v>
      </c>
    </row>
    <row r="186" customFormat="false" ht="15" hidden="false" customHeight="true" outlineLevel="0" collapsed="false">
      <c r="A186" s="176"/>
      <c r="B186" s="1" t="s">
        <v>590</v>
      </c>
      <c r="C186" s="1" t="s">
        <v>591</v>
      </c>
      <c r="D186" s="183" t="n">
        <v>0</v>
      </c>
      <c r="E186" s="176" t="str">
        <f aca="false">IFERROR(VLOOKUP($B186,'Unit Cost Database'!$A:$H,3,FALSE()),"LS")</f>
        <v>LS</v>
      </c>
      <c r="F186" s="184" t="n">
        <f aca="false">IFERROR(VLOOKUP($B186,'Unit Cost Database'!$A:$H,8,FALSE()),0)</f>
        <v>268800</v>
      </c>
      <c r="G186" s="179" t="n">
        <f aca="false">$F$7</f>
        <v>0.1</v>
      </c>
      <c r="H186" s="180" t="n">
        <f aca="false">IF(OR(D186="",F186="",D186=0,F186=0),0,D186*F186*$H$8*(1+G186)*(1+$H$7))</f>
        <v>0</v>
      </c>
      <c r="I186" s="177" t="s">
        <v>361</v>
      </c>
      <c r="J186" s="185" t="s">
        <v>76</v>
      </c>
    </row>
    <row r="187" customFormat="false" ht="15" hidden="false" customHeight="true" outlineLevel="1" collapsed="false">
      <c r="A187" s="176" t="n">
        <v>5</v>
      </c>
      <c r="B187" s="1" t="s">
        <v>592</v>
      </c>
      <c r="C187" s="1" t="s">
        <v>593</v>
      </c>
      <c r="D187" s="183" t="n">
        <v>480000</v>
      </c>
      <c r="E187" s="176" t="str">
        <f aca="false">IFERROR(VLOOKUP($B187,'Unit Cost Database'!$A:$H,3,FALSE()),"LS")</f>
        <v>SF</v>
      </c>
      <c r="F187" s="184" t="n">
        <f aca="false">IFERROR(VLOOKUP($B187,'Unit Cost Database'!$A:$H,8,FALSE()),0)</f>
        <v>18</v>
      </c>
      <c r="G187" s="179" t="n">
        <f aca="false">$F$7</f>
        <v>0.1</v>
      </c>
      <c r="H187" s="180" t="n">
        <f aca="false">IF(OR(D187="",F187="",D187=0,F187=0),0,D187*F187*$H$8*(1+G187)*(1+$H$7))</f>
        <v>9836640</v>
      </c>
      <c r="I187" s="177" t="s">
        <v>361</v>
      </c>
      <c r="J187" s="185" t="s">
        <v>76</v>
      </c>
    </row>
    <row r="188" customFormat="false" ht="15" hidden="false" customHeight="true" outlineLevel="1" collapsed="false">
      <c r="A188" s="176"/>
      <c r="B188" s="1" t="s">
        <v>594</v>
      </c>
      <c r="C188" s="1" t="s">
        <v>595</v>
      </c>
      <c r="D188" s="183" t="n">
        <v>0</v>
      </c>
      <c r="E188" s="176" t="str">
        <f aca="false">IFERROR(VLOOKUP($B188,'Unit Cost Database'!$A:$H,3,FALSE()),"LS")</f>
        <v>LS</v>
      </c>
      <c r="F188" s="194" t="n">
        <f aca="false">IFERROR(VLOOKUP($B188,'Unit Cost Database'!$A:$H,8,FALSE()),0)</f>
        <v>5616000</v>
      </c>
      <c r="G188" s="179" t="n">
        <f aca="false">$F$7</f>
        <v>0.1</v>
      </c>
      <c r="H188" s="180" t="n">
        <f aca="false">IF(OR(D188="",F188="",D188=0,F188=0),0,D188*F188*$H$8*(1+G188)*(1+$H$7))</f>
        <v>0</v>
      </c>
      <c r="I188" s="177" t="s">
        <v>361</v>
      </c>
      <c r="J188" s="185" t="s">
        <v>76</v>
      </c>
    </row>
    <row r="189" customFormat="false" ht="15" hidden="false" customHeight="true" outlineLevel="1" collapsed="false">
      <c r="A189" s="176"/>
      <c r="B189" s="1" t="s">
        <v>596</v>
      </c>
      <c r="C189" s="1" t="s">
        <v>597</v>
      </c>
      <c r="D189" s="183" t="n">
        <v>0</v>
      </c>
      <c r="E189" s="176" t="str">
        <f aca="false">IFERROR(VLOOKUP($B189,'Unit Cost Database'!$A:$H,3,FALSE()),"LS")</f>
        <v>LS</v>
      </c>
      <c r="F189" s="194" t="n">
        <f aca="false">IFERROR(VLOOKUP($B189,'Unit Cost Database'!$A:$H,8,FALSE()),0)</f>
        <v>1728000</v>
      </c>
      <c r="G189" s="179" t="n">
        <f aca="false">$F$7</f>
        <v>0.1</v>
      </c>
      <c r="H189" s="180" t="n">
        <f aca="false">IF(OR(D189="",F189="",D189=0,F189=0),0,D189*F189*$H$8*(1+G189)*(1+$H$7))</f>
        <v>0</v>
      </c>
      <c r="I189" s="177" t="s">
        <v>361</v>
      </c>
      <c r="J189" s="185" t="s">
        <v>76</v>
      </c>
    </row>
    <row r="190" customFormat="false" ht="15" hidden="false" customHeight="true" outlineLevel="1" collapsed="false">
      <c r="A190" s="176"/>
      <c r="B190" s="1" t="s">
        <v>598</v>
      </c>
      <c r="C190" s="1" t="s">
        <v>599</v>
      </c>
      <c r="D190" s="183" t="n">
        <v>0</v>
      </c>
      <c r="E190" s="176" t="str">
        <f aca="false">IFERROR(VLOOKUP($B190,'Unit Cost Database'!$A:$H,3,FALSE()),"LS")</f>
        <v>LS</v>
      </c>
      <c r="F190" s="194" t="n">
        <f aca="false">IFERROR(VLOOKUP($B190,'Unit Cost Database'!$A:$H,8,FALSE()),0)</f>
        <v>1296000</v>
      </c>
      <c r="G190" s="179" t="n">
        <f aca="false">$F$7</f>
        <v>0.1</v>
      </c>
      <c r="H190" s="180" t="n">
        <f aca="false">IF(OR(D190="",F190="",D190=0,F190=0),0,D190*F190*$H$8*(1+G190)*(1+$H$7))</f>
        <v>0</v>
      </c>
      <c r="I190" s="177" t="s">
        <v>361</v>
      </c>
      <c r="J190" s="185" t="s">
        <v>76</v>
      </c>
    </row>
    <row r="191" customFormat="false" ht="15" hidden="false" customHeight="true" outlineLevel="1" collapsed="false">
      <c r="A191" s="176" t="n">
        <v>6</v>
      </c>
      <c r="B191" s="1" t="s">
        <v>600</v>
      </c>
      <c r="C191" s="1" t="s">
        <v>601</v>
      </c>
      <c r="D191" s="183" t="n">
        <f aca="false">$C$6*0.05</f>
        <v>40000</v>
      </c>
      <c r="E191" s="176" t="str">
        <f aca="false">IFERROR(VLOOKUP($B191,'Unit Cost Database'!$A:$H,3,FALSE()),"LS")</f>
        <v>SF</v>
      </c>
      <c r="F191" s="184" t="n">
        <f aca="false">IFERROR(VLOOKUP($B191,'Unit Cost Database'!$A:$H,8,FALSE()),0)</f>
        <v>17.5</v>
      </c>
      <c r="G191" s="179" t="n">
        <f aca="false">$F$7</f>
        <v>0.1</v>
      </c>
      <c r="H191" s="180" t="n">
        <f aca="false">IF(OR(D191="",F191="",D191=0,F191=0),0,D191*F191*$H$8*(1+G191)*(1+$H$7))</f>
        <v>796950</v>
      </c>
      <c r="I191" s="177" t="s">
        <v>361</v>
      </c>
      <c r="J191" s="185" t="s">
        <v>76</v>
      </c>
    </row>
    <row r="192" customFormat="false" ht="15" hidden="false" customHeight="true" outlineLevel="1" collapsed="false">
      <c r="A192" s="176" t="n">
        <v>7</v>
      </c>
      <c r="B192" s="1" t="s">
        <v>602</v>
      </c>
      <c r="C192" s="1" t="s">
        <v>603</v>
      </c>
      <c r="D192" s="183" t="n">
        <f aca="false">$C$6*0.1</f>
        <v>80000</v>
      </c>
      <c r="E192" s="176" t="str">
        <f aca="false">IFERROR(VLOOKUP($B192,'Unit Cost Database'!$A:$H,3,FALSE()),"LS")</f>
        <v>SF</v>
      </c>
      <c r="F192" s="184" t="n">
        <f aca="false">IFERROR(VLOOKUP($B192,'Unit Cost Database'!$A:$H,8,FALSE()),0)</f>
        <v>9.8</v>
      </c>
      <c r="G192" s="179" t="n">
        <f aca="false">$F$7</f>
        <v>0.1</v>
      </c>
      <c r="H192" s="180" t="n">
        <f aca="false">IF(OR(D192="",F192="",D192=0,F192=0),0,D192*F192*$H$8*(1+G192)*(1+$H$7))</f>
        <v>892584</v>
      </c>
      <c r="I192" s="177" t="s">
        <v>361</v>
      </c>
      <c r="J192" s="185" t="s">
        <v>76</v>
      </c>
    </row>
    <row r="193" customFormat="false" ht="15" hidden="false" customHeight="true" outlineLevel="1" collapsed="false">
      <c r="A193" s="176" t="n">
        <v>8</v>
      </c>
      <c r="B193" s="1" t="s">
        <v>604</v>
      </c>
      <c r="C193" s="1" t="s">
        <v>605</v>
      </c>
      <c r="D193" s="183" t="n">
        <v>800000</v>
      </c>
      <c r="E193" s="176" t="str">
        <f aca="false">IFERROR(VLOOKUP($B193,'Unit Cost Database'!$A:$H,3,FALSE()),"LS")</f>
        <v>SF</v>
      </c>
      <c r="F193" s="184" t="n">
        <f aca="false">IFERROR(VLOOKUP($B193,'Unit Cost Database'!$A:$H,8,FALSE()),0)</f>
        <v>8</v>
      </c>
      <c r="G193" s="179" t="n">
        <f aca="false">$F$7</f>
        <v>0.1</v>
      </c>
      <c r="H193" s="180" t="n">
        <f aca="false">IF(OR(D193="",F193="",D193=0,F193=0),0,D193*F193*$H$8*(1+G193)*(1+$H$7))</f>
        <v>7286400</v>
      </c>
      <c r="I193" s="177" t="s">
        <v>361</v>
      </c>
      <c r="J193" s="185" t="s">
        <v>76</v>
      </c>
    </row>
    <row r="194" customFormat="false" ht="15" hidden="false" customHeight="true" outlineLevel="1" collapsed="false">
      <c r="A194" s="176"/>
      <c r="B194" s="1" t="s">
        <v>606</v>
      </c>
      <c r="C194" s="1" t="s">
        <v>607</v>
      </c>
      <c r="D194" s="183" t="n">
        <v>0</v>
      </c>
      <c r="E194" s="176" t="str">
        <f aca="false">IFERROR(VLOOKUP($B194,'Unit Cost Database'!$A:$H,3,FALSE()),"LS")</f>
        <v>LS</v>
      </c>
      <c r="F194" s="194" t="n">
        <f aca="false">IFERROR(VLOOKUP($B194,'Unit Cost Database'!$A:$H,8,FALSE()),0)</f>
        <v>3968000</v>
      </c>
      <c r="G194" s="179" t="n">
        <f aca="false">$F$7</f>
        <v>0.1</v>
      </c>
      <c r="H194" s="180" t="n">
        <f aca="false">IF(OR(D194="",F194="",D194=0,F194=0),0,D194*F194*$H$8*(1+G194)*(1+$H$7))</f>
        <v>0</v>
      </c>
      <c r="I194" s="177" t="s">
        <v>361</v>
      </c>
      <c r="J194" s="185" t="s">
        <v>76</v>
      </c>
    </row>
    <row r="195" customFormat="false" ht="15" hidden="false" customHeight="true" outlineLevel="1" collapsed="false">
      <c r="A195" s="176"/>
      <c r="B195" s="1" t="s">
        <v>608</v>
      </c>
      <c r="C195" s="1" t="s">
        <v>609</v>
      </c>
      <c r="D195" s="183" t="n">
        <v>0</v>
      </c>
      <c r="E195" s="176" t="str">
        <f aca="false">IFERROR(VLOOKUP($B195,'Unit Cost Database'!$A:$H,3,FALSE()),"LS")</f>
        <v>LS</v>
      </c>
      <c r="F195" s="194" t="n">
        <f aca="false">IFERROR(VLOOKUP($B195,'Unit Cost Database'!$A:$H,8,FALSE()),0)</f>
        <v>1152000</v>
      </c>
      <c r="G195" s="179" t="n">
        <f aca="false">$F$7</f>
        <v>0.1</v>
      </c>
      <c r="H195" s="180" t="n">
        <f aca="false">IF(OR(D195="",F195="",D195=0,F195=0),0,D195*F195*$H$8*(1+G195)*(1+$H$7))</f>
        <v>0</v>
      </c>
      <c r="I195" s="177" t="s">
        <v>361</v>
      </c>
      <c r="J195" s="185" t="s">
        <v>76</v>
      </c>
    </row>
    <row r="196" customFormat="false" ht="15" hidden="false" customHeight="true" outlineLevel="1" collapsed="false">
      <c r="A196" s="176"/>
      <c r="B196" s="1" t="s">
        <v>610</v>
      </c>
      <c r="C196" s="1" t="s">
        <v>611</v>
      </c>
      <c r="D196" s="183" t="n">
        <v>0</v>
      </c>
      <c r="E196" s="176" t="str">
        <f aca="false">IFERROR(VLOOKUP($B196,'Unit Cost Database'!$A:$H,3,FALSE()),"LS")</f>
        <v>LS</v>
      </c>
      <c r="F196" s="194" t="n">
        <f aca="false">IFERROR(VLOOKUP($B196,'Unit Cost Database'!$A:$H,8,FALSE()),0)</f>
        <v>1280000</v>
      </c>
      <c r="G196" s="179" t="n">
        <f aca="false">$F$7</f>
        <v>0.1</v>
      </c>
      <c r="H196" s="180" t="n">
        <f aca="false">IF(OR(D196="",F196="",D196=0,F196=0),0,D196*F196*$H$8*(1+G196)*(1+$H$7))</f>
        <v>0</v>
      </c>
      <c r="I196" s="177" t="s">
        <v>361</v>
      </c>
      <c r="J196" s="185" t="s">
        <v>76</v>
      </c>
    </row>
    <row r="197" customFormat="false" ht="15" hidden="false" customHeight="true" outlineLevel="1" collapsed="false">
      <c r="A197" s="176" t="n">
        <v>9</v>
      </c>
      <c r="B197" s="1" t="s">
        <v>612</v>
      </c>
      <c r="C197" s="1" t="s">
        <v>613</v>
      </c>
      <c r="D197" s="183" t="n">
        <f aca="false">$C$6</f>
        <v>800000</v>
      </c>
      <c r="E197" s="176" t="str">
        <f aca="false">IFERROR(VLOOKUP($B197,'Unit Cost Database'!$A:$H,3,FALSE()),"LS")</f>
        <v>SF</v>
      </c>
      <c r="F197" s="184" t="n">
        <f aca="false">IFERROR(VLOOKUP($B197,'Unit Cost Database'!$A:$H,8,FALSE()),0)</f>
        <v>1.05</v>
      </c>
      <c r="G197" s="179" t="n">
        <f aca="false">$F$7</f>
        <v>0.1</v>
      </c>
      <c r="H197" s="180" t="n">
        <f aca="false">IF(OR(D197="",F197="",D197=0,F197=0),0,D197*F197*$H$8*(1+G197)*(1+$H$7))</f>
        <v>956340</v>
      </c>
      <c r="I197" s="177" t="s">
        <v>361</v>
      </c>
      <c r="J197" s="185" t="s">
        <v>76</v>
      </c>
    </row>
    <row r="198" customFormat="false" ht="15" hidden="false" customHeight="true" outlineLevel="1" collapsed="false">
      <c r="A198" s="176" t="n">
        <v>10</v>
      </c>
      <c r="B198" s="1" t="s">
        <v>614</v>
      </c>
      <c r="C198" s="1" t="s">
        <v>615</v>
      </c>
      <c r="D198" s="183" t="n">
        <f aca="false">50</f>
        <v>50</v>
      </c>
      <c r="E198" s="176" t="str">
        <f aca="false">IFERROR(VLOOKUP($B198,'Unit Cost Database'!$A:$H,3,FALSE()),"LS")</f>
        <v>EA</v>
      </c>
      <c r="F198" s="184" t="n">
        <f aca="false">IFERROR(VLOOKUP($B198,'Unit Cost Database'!$A:$H,8,FALSE()),0)</f>
        <v>2800</v>
      </c>
      <c r="G198" s="179" t="n">
        <f aca="false">$F$7</f>
        <v>0.1</v>
      </c>
      <c r="H198" s="180" t="n">
        <f aca="false">IF(OR(D198="",F198="",D198=0,F198=0),0,D198*F198*$H$8*(1+G198)*(1+$H$7))</f>
        <v>159390</v>
      </c>
      <c r="I198" s="177" t="s">
        <v>361</v>
      </c>
      <c r="J198" s="185" t="s">
        <v>76</v>
      </c>
    </row>
    <row r="199" customFormat="false" ht="15" hidden="false" customHeight="true" outlineLevel="1" collapsed="false">
      <c r="A199" s="176" t="n">
        <v>11</v>
      </c>
      <c r="B199" s="1" t="s">
        <v>616</v>
      </c>
      <c r="C199" s="1" t="s">
        <v>617</v>
      </c>
      <c r="D199" s="183" t="n">
        <f aca="false">$C$6</f>
        <v>800000</v>
      </c>
      <c r="E199" s="176" t="str">
        <f aca="false">IFERROR(VLOOKUP($B199,'Unit Cost Database'!$A:$H,3,FALSE()),"LS")</f>
        <v>SF</v>
      </c>
      <c r="F199" s="184" t="n">
        <f aca="false">IFERROR(VLOOKUP($B199,'Unit Cost Database'!$A:$H,8,FALSE()),0)</f>
        <v>0.35</v>
      </c>
      <c r="G199" s="179" t="n">
        <f aca="false">$F$7</f>
        <v>0.1</v>
      </c>
      <c r="H199" s="180" t="n">
        <f aca="false">IF(OR(D199="",F199="",D199=0,F199=0),0,D199*F199*$H$8*(1+G199)*(1+$H$7))</f>
        <v>318780</v>
      </c>
      <c r="I199" s="177" t="s">
        <v>361</v>
      </c>
      <c r="J199" s="185" t="s">
        <v>76</v>
      </c>
    </row>
    <row r="200" customFormat="false" ht="15" hidden="false" customHeight="true" outlineLevel="1" collapsed="false">
      <c r="A200" s="176" t="n">
        <v>12</v>
      </c>
      <c r="B200" s="1" t="s">
        <v>618</v>
      </c>
      <c r="C200" s="1" t="s">
        <v>619</v>
      </c>
      <c r="D200" s="183" t="n">
        <v>3200</v>
      </c>
      <c r="E200" s="176" t="str">
        <f aca="false">IFERROR(VLOOKUP($B200,'Unit Cost Database'!$A:$H,3,FALSE()),"LS")</f>
        <v>TON</v>
      </c>
      <c r="F200" s="184" t="n">
        <f aca="false">IFERROR(VLOOKUP($B200,'Unit Cost Database'!$A:$H,8,FALSE()),0)</f>
        <v>2450</v>
      </c>
      <c r="G200" s="179" t="n">
        <f aca="false">$F$7</f>
        <v>0.1</v>
      </c>
      <c r="H200" s="180" t="n">
        <f aca="false">IF(OR(D200="",F200="",D200=0,F200=0),0,D200*F200*$H$8*(1+G200)*(1+$H$7))</f>
        <v>8925840</v>
      </c>
      <c r="I200" s="177" t="s">
        <v>361</v>
      </c>
      <c r="J200" s="185" t="s">
        <v>76</v>
      </c>
    </row>
    <row r="201" customFormat="false" ht="15" hidden="false" customHeight="true" outlineLevel="1" collapsed="false">
      <c r="A201" s="176"/>
      <c r="B201" s="1" t="s">
        <v>620</v>
      </c>
      <c r="C201" s="1" t="s">
        <v>621</v>
      </c>
      <c r="D201" s="183" t="n">
        <v>0</v>
      </c>
      <c r="E201" s="176" t="str">
        <f aca="false">IFERROR(VLOOKUP($B201,'Unit Cost Database'!$A:$H,3,FALSE()),"LS")</f>
        <v>LS</v>
      </c>
      <c r="F201" s="194" t="n">
        <f aca="false">IFERROR(VLOOKUP($B201,'Unit Cost Database'!$A:$H,8,FALSE()),0)</f>
        <v>5880000</v>
      </c>
      <c r="G201" s="179" t="n">
        <f aca="false">$F$7</f>
        <v>0.1</v>
      </c>
      <c r="H201" s="180" t="n">
        <f aca="false">IF(OR(D201="",F201="",D201=0,F201=0),0,D201*F201*$H$8*(1+G201)*(1+$H$7))</f>
        <v>0</v>
      </c>
      <c r="I201" s="177" t="s">
        <v>361</v>
      </c>
      <c r="J201" s="185" t="s">
        <v>76</v>
      </c>
    </row>
    <row r="202" customFormat="false" ht="15" hidden="false" customHeight="true" outlineLevel="1" collapsed="false">
      <c r="A202" s="176"/>
      <c r="B202" s="1" t="s">
        <v>622</v>
      </c>
      <c r="C202" s="1" t="s">
        <v>623</v>
      </c>
      <c r="D202" s="183" t="n">
        <v>0</v>
      </c>
      <c r="E202" s="176" t="str">
        <f aca="false">IFERROR(VLOOKUP($B202,'Unit Cost Database'!$A:$H,3,FALSE()),"LS")</f>
        <v>LS</v>
      </c>
      <c r="F202" s="194" t="n">
        <f aca="false">IFERROR(VLOOKUP($B202,'Unit Cost Database'!$A:$H,8,FALSE()),0)</f>
        <v>1176000</v>
      </c>
      <c r="G202" s="179" t="n">
        <f aca="false">$F$7</f>
        <v>0.1</v>
      </c>
      <c r="H202" s="180" t="n">
        <f aca="false">IF(OR(D202="",F202="",D202=0,F202=0),0,D202*F202*$H$8*(1+G202)*(1+$H$7))</f>
        <v>0</v>
      </c>
      <c r="I202" s="177" t="s">
        <v>361</v>
      </c>
      <c r="J202" s="185" t="s">
        <v>76</v>
      </c>
    </row>
    <row r="203" customFormat="false" ht="15" hidden="false" customHeight="true" outlineLevel="1" collapsed="false">
      <c r="A203" s="176"/>
      <c r="B203" s="1" t="s">
        <v>624</v>
      </c>
      <c r="C203" s="1" t="s">
        <v>625</v>
      </c>
      <c r="D203" s="183" t="n">
        <v>0</v>
      </c>
      <c r="E203" s="176" t="str">
        <f aca="false">IFERROR(VLOOKUP($B203,'Unit Cost Database'!$A:$H,3,FALSE()),"LS")</f>
        <v>LS</v>
      </c>
      <c r="F203" s="194" t="n">
        <f aca="false">IFERROR(VLOOKUP($B203,'Unit Cost Database'!$A:$H,8,FALSE()),0)</f>
        <v>784000</v>
      </c>
      <c r="G203" s="179" t="n">
        <f aca="false">$F$7</f>
        <v>0.1</v>
      </c>
      <c r="H203" s="180" t="n">
        <f aca="false">IF(OR(D203="",F203="",D203=0,F203=0),0,D203*F203*$H$8*(1+G203)*(1+$H$7))</f>
        <v>0</v>
      </c>
      <c r="I203" s="177" t="s">
        <v>361</v>
      </c>
      <c r="J203" s="185" t="s">
        <v>76</v>
      </c>
    </row>
    <row r="204" customFormat="false" ht="15" hidden="false" customHeight="true" outlineLevel="1" collapsed="false">
      <c r="A204" s="176" t="n">
        <v>13</v>
      </c>
      <c r="B204" s="1" t="s">
        <v>626</v>
      </c>
      <c r="C204" s="1" t="s">
        <v>627</v>
      </c>
      <c r="D204" s="183" t="n">
        <f aca="false">$C$11*100</f>
        <v>11250</v>
      </c>
      <c r="E204" s="176" t="str">
        <f aca="false">IFERROR(VLOOKUP($B204,'Unit Cost Database'!$A:$H,3,FALSE()),"LS")</f>
        <v>EA</v>
      </c>
      <c r="F204" s="184" t="n">
        <f aca="false">IFERROR(VLOOKUP($B204,'Unit Cost Database'!$A:$H,8,FALSE()),0)</f>
        <v>35</v>
      </c>
      <c r="G204" s="179" t="n">
        <f aca="false">$F$7</f>
        <v>0.1</v>
      </c>
      <c r="H204" s="180" t="n">
        <f aca="false">IF(OR(D204="",F204="",D204=0,F204=0),0,D204*F204*$H$8*(1+G204)*(1+$H$7))</f>
        <v>448284.375</v>
      </c>
      <c r="I204" s="177" t="s">
        <v>361</v>
      </c>
      <c r="J204" s="185" t="s">
        <v>76</v>
      </c>
    </row>
    <row r="205" customFormat="false" ht="15" hidden="false" customHeight="true" outlineLevel="1" collapsed="false">
      <c r="A205" s="176" t="n">
        <v>14</v>
      </c>
      <c r="B205" s="1" t="s">
        <v>628</v>
      </c>
      <c r="C205" s="1" t="s">
        <v>629</v>
      </c>
      <c r="D205" s="183" t="n">
        <f aca="false">$C$6</f>
        <v>800000</v>
      </c>
      <c r="E205" s="176" t="str">
        <f aca="false">IFERROR(VLOOKUP($B205,'Unit Cost Database'!$A:$H,3,FALSE()),"LS")</f>
        <v>SF</v>
      </c>
      <c r="F205" s="184" t="n">
        <f aca="false">IFERROR(VLOOKUP($B205,'Unit Cost Database'!$A:$H,8,FALSE()),0)</f>
        <v>0.35</v>
      </c>
      <c r="G205" s="179" t="n">
        <f aca="false">$F$7</f>
        <v>0.1</v>
      </c>
      <c r="H205" s="180" t="n">
        <f aca="false">IF(OR(D205="",F205="",D205=0,F205=0),0,D205*F205*$H$8*(1+G205)*(1+$H$7))</f>
        <v>318780</v>
      </c>
      <c r="I205" s="177" t="s">
        <v>361</v>
      </c>
      <c r="J205" s="185" t="s">
        <v>76</v>
      </c>
    </row>
    <row r="206" customFormat="false" ht="15" hidden="false" customHeight="true" outlineLevel="1" collapsed="false">
      <c r="A206" s="176" t="n">
        <v>15</v>
      </c>
      <c r="B206" s="1" t="s">
        <v>630</v>
      </c>
      <c r="C206" s="1" t="s">
        <v>631</v>
      </c>
      <c r="D206" s="183" t="n">
        <v>280000</v>
      </c>
      <c r="E206" s="176" t="str">
        <f aca="false">IFERROR(VLOOKUP($B206,'Unit Cost Database'!$A:$H,3,FALSE()),"LS")</f>
        <v>SF</v>
      </c>
      <c r="F206" s="184" t="n">
        <f aca="false">IFERROR(VLOOKUP($B206,'Unit Cost Database'!$A:$H,8,FALSE()),0)</f>
        <v>2.2</v>
      </c>
      <c r="G206" s="179" t="n">
        <f aca="false">$F$7</f>
        <v>0.1</v>
      </c>
      <c r="H206" s="180" t="n">
        <f aca="false">IF(OR(D206="",F206="",D206=0,F206=0),0,D206*F206*$H$8*(1+G206)*(1+$H$7))</f>
        <v>701316</v>
      </c>
      <c r="I206" s="177" t="s">
        <v>361</v>
      </c>
      <c r="J206" s="185" t="s">
        <v>76</v>
      </c>
    </row>
    <row r="207" customFormat="false" ht="15" hidden="false" customHeight="true" outlineLevel="1" collapsed="false">
      <c r="A207" s="176" t="n">
        <v>16</v>
      </c>
      <c r="B207" s="1" t="s">
        <v>632</v>
      </c>
      <c r="C207" s="1" t="s">
        <v>633</v>
      </c>
      <c r="D207" s="183" t="n">
        <v>4200</v>
      </c>
      <c r="E207" s="176" t="str">
        <f aca="false">IFERROR(VLOOKUP($B207,'Unit Cost Database'!$A:$H,3,FALSE()),"LS")</f>
        <v>LF</v>
      </c>
      <c r="F207" s="184" t="n">
        <f aca="false">IFERROR(VLOOKUP($B207,'Unit Cost Database'!$A:$H,8,FALSE()),0)</f>
        <v>65</v>
      </c>
      <c r="G207" s="179" t="n">
        <f aca="false">$F$7</f>
        <v>0.1</v>
      </c>
      <c r="H207" s="180" t="n">
        <f aca="false">IF(OR(D207="",F207="",D207=0,F207=0),0,D207*F207*$H$8*(1+G207)*(1+$H$7))</f>
        <v>310810.5</v>
      </c>
      <c r="I207" s="177" t="s">
        <v>361</v>
      </c>
      <c r="J207" s="185" t="s">
        <v>76</v>
      </c>
    </row>
    <row r="208" customFormat="false" ht="15" hidden="false" customHeight="true" outlineLevel="1" collapsed="false">
      <c r="A208" s="176" t="n">
        <v>17</v>
      </c>
      <c r="B208" s="1" t="s">
        <v>634</v>
      </c>
      <c r="C208" s="1" t="s">
        <v>635</v>
      </c>
      <c r="D208" s="183" t="n">
        <v>40000</v>
      </c>
      <c r="E208" s="176" t="str">
        <f aca="false">IFERROR(VLOOKUP($B208,'Unit Cost Database'!$A:$H,3,FALSE()),"LS")</f>
        <v>SF</v>
      </c>
      <c r="F208" s="184" t="n">
        <f aca="false">IFERROR(VLOOKUP($B208,'Unit Cost Database'!$A:$H,8,FALSE()),0)</f>
        <v>7</v>
      </c>
      <c r="G208" s="179" t="n">
        <f aca="false">$F$7</f>
        <v>0.1</v>
      </c>
      <c r="H208" s="180" t="n">
        <f aca="false">IF(OR(D208="",F208="",D208=0,F208=0),0,D208*F208*$H$8*(1+G208)*(1+$H$7))</f>
        <v>318780</v>
      </c>
      <c r="I208" s="177" t="s">
        <v>361</v>
      </c>
      <c r="J208" s="185" t="s">
        <v>76</v>
      </c>
    </row>
    <row r="209" customFormat="false" ht="15" hidden="false" customHeight="true" outlineLevel="1" collapsed="false">
      <c r="A209" s="176" t="n">
        <v>18</v>
      </c>
      <c r="B209" s="1" t="s">
        <v>636</v>
      </c>
      <c r="C209" s="1" t="s">
        <v>637</v>
      </c>
      <c r="D209" s="183" t="n">
        <v>36000</v>
      </c>
      <c r="E209" s="176" t="str">
        <f aca="false">IFERROR(VLOOKUP($B209,'Unit Cost Database'!$A:$H,3,FALSE()),"LS")</f>
        <v>SF</v>
      </c>
      <c r="F209" s="184" t="n">
        <f aca="false">IFERROR(VLOOKUP($B209,'Unit Cost Database'!$A:$H,8,FALSE()),0)</f>
        <v>12</v>
      </c>
      <c r="G209" s="179" t="n">
        <f aca="false">$F$7</f>
        <v>0.1</v>
      </c>
      <c r="H209" s="180" t="n">
        <f aca="false">IF(OR(D209="",F209="",D209=0,F209=0),0,D209*F209*$H$8*(1+G209)*(1+$H$7))</f>
        <v>491832</v>
      </c>
      <c r="I209" s="177" t="s">
        <v>361</v>
      </c>
      <c r="J209" s="185" t="s">
        <v>76</v>
      </c>
    </row>
    <row r="210" customFormat="false" ht="15" hidden="false" customHeight="true" outlineLevel="1" collapsed="false">
      <c r="A210" s="176" t="n">
        <v>19</v>
      </c>
      <c r="B210" s="1" t="s">
        <v>638</v>
      </c>
      <c r="C210" s="1" t="s">
        <v>639</v>
      </c>
      <c r="D210" s="183" t="n">
        <v>8000</v>
      </c>
      <c r="E210" s="176" t="str">
        <f aca="false">IFERROR(VLOOKUP($B210,'Unit Cost Database'!$A:$H,3,FALSE()),"LS")</f>
        <v>LF</v>
      </c>
      <c r="F210" s="184" t="n">
        <f aca="false">IFERROR(VLOOKUP($B210,'Unit Cost Database'!$A:$H,8,FALSE()),0)</f>
        <v>28</v>
      </c>
      <c r="G210" s="179" t="n">
        <f aca="false">$F$7</f>
        <v>0.1</v>
      </c>
      <c r="H210" s="180" t="n">
        <f aca="false">IF(OR(D210="",F210="",D210=0,F210=0),0,D210*F210*$H$8*(1+G210)*(1+$H$7))</f>
        <v>255024</v>
      </c>
      <c r="I210" s="177" t="s">
        <v>361</v>
      </c>
      <c r="J210" s="185" t="s">
        <v>76</v>
      </c>
    </row>
    <row r="211" customFormat="false" ht="15" hidden="false" customHeight="true" outlineLevel="1" collapsed="false">
      <c r="A211" s="176" t="n">
        <v>20</v>
      </c>
      <c r="B211" s="1" t="s">
        <v>640</v>
      </c>
      <c r="C211" s="1" t="s">
        <v>641</v>
      </c>
      <c r="D211" s="183" t="n">
        <v>40000</v>
      </c>
      <c r="E211" s="176" t="str">
        <f aca="false">IFERROR(VLOOKUP($B211,'Unit Cost Database'!$A:$H,3,FALSE()),"LS")</f>
        <v>SF</v>
      </c>
      <c r="F211" s="184" t="n">
        <f aca="false">IFERROR(VLOOKUP($B211,'Unit Cost Database'!$A:$H,8,FALSE()),0)</f>
        <v>9</v>
      </c>
      <c r="G211" s="179" t="n">
        <f aca="false">$F$7</f>
        <v>0.1</v>
      </c>
      <c r="H211" s="180" t="n">
        <f aca="false">IF(OR(D211="",F211="",D211=0,F211=0),0,D211*F211*$H$8*(1+G211)*(1+$H$7))</f>
        <v>409860</v>
      </c>
      <c r="I211" s="177" t="s">
        <v>361</v>
      </c>
      <c r="J211" s="185" t="s">
        <v>76</v>
      </c>
    </row>
    <row r="212" customFormat="false" ht="15" hidden="false" customHeight="true" outlineLevel="1" collapsed="false">
      <c r="A212" s="186"/>
      <c r="B212" s="187"/>
      <c r="C212" s="188" t="s">
        <v>642</v>
      </c>
      <c r="D212" s="189"/>
      <c r="E212" s="186"/>
      <c r="F212" s="190"/>
      <c r="G212" s="191"/>
      <c r="H212" s="192" t="n">
        <f aca="false">SUM(H177:H211)</f>
        <v>38165650.875</v>
      </c>
      <c r="I212" s="187"/>
      <c r="J212" s="187"/>
    </row>
    <row r="213" customFormat="false" ht="15" hidden="false" customHeight="true" outlineLevel="1" collapsed="false">
      <c r="A213" s="176"/>
      <c r="D213" s="177"/>
      <c r="E213" s="176"/>
      <c r="F213" s="178"/>
      <c r="G213" s="179"/>
      <c r="H213" s="180"/>
    </row>
    <row r="214" customFormat="false" ht="15" hidden="false" customHeight="true" outlineLevel="1" collapsed="false">
      <c r="A214" s="193" t="s">
        <v>643</v>
      </c>
      <c r="B214" s="193"/>
      <c r="C214" s="193"/>
      <c r="D214" s="193"/>
      <c r="E214" s="193"/>
      <c r="F214" s="193"/>
      <c r="G214" s="193"/>
      <c r="H214" s="193"/>
      <c r="I214" s="182"/>
      <c r="J214" s="182" t="s">
        <v>76</v>
      </c>
    </row>
    <row r="215" customFormat="false" ht="15" hidden="false" customHeight="true" outlineLevel="1" collapsed="false">
      <c r="A215" s="176" t="n">
        <v>1</v>
      </c>
      <c r="B215" s="1" t="s">
        <v>644</v>
      </c>
      <c r="C215" s="1" t="s">
        <v>645</v>
      </c>
      <c r="D215" s="183" t="n">
        <f aca="false">$C$6/2500</f>
        <v>320</v>
      </c>
      <c r="E215" s="176" t="str">
        <f aca="false">IFERROR(VLOOKUP($B215,'Unit Cost Database'!$A:$H,3,FALSE()),"LS")</f>
        <v>EA</v>
      </c>
      <c r="F215" s="184" t="n">
        <f aca="false">IFERROR(VLOOKUP($B215,'Unit Cost Database'!$A:$H,8,FALSE()),0)</f>
        <v>1200</v>
      </c>
      <c r="G215" s="179" t="n">
        <f aca="false">$F$7</f>
        <v>0.1</v>
      </c>
      <c r="H215" s="180" t="n">
        <f aca="false">IF(OR(D215="",F215="",D215=0,F215=0),0,D215*F215*$H$8*(1+G215)*(1+$H$7))</f>
        <v>437184</v>
      </c>
      <c r="I215" s="177" t="s">
        <v>361</v>
      </c>
      <c r="J215" s="185" t="s">
        <v>76</v>
      </c>
    </row>
    <row r="216" customFormat="false" ht="15" hidden="false" customHeight="true" outlineLevel="1" collapsed="false">
      <c r="A216" s="176" t="n">
        <v>2</v>
      </c>
      <c r="B216" s="1" t="s">
        <v>646</v>
      </c>
      <c r="C216" s="1" t="s">
        <v>647</v>
      </c>
      <c r="D216" s="183" t="n">
        <f aca="false">50</f>
        <v>50</v>
      </c>
      <c r="E216" s="176" t="str">
        <f aca="false">IFERROR(VLOOKUP($B216,'Unit Cost Database'!$A:$H,3,FALSE()),"LS")</f>
        <v>EA</v>
      </c>
      <c r="F216" s="184" t="n">
        <f aca="false">IFERROR(VLOOKUP($B216,'Unit Cost Database'!$A:$H,8,FALSE()),0)</f>
        <v>2450</v>
      </c>
      <c r="G216" s="179" t="n">
        <f aca="false">$F$7</f>
        <v>0.1</v>
      </c>
      <c r="H216" s="180" t="n">
        <f aca="false">IF(OR(D216="",F216="",D216=0,F216=0),0,D216*F216*$H$8*(1+G216)*(1+$H$7))</f>
        <v>139466.25</v>
      </c>
      <c r="I216" s="177" t="s">
        <v>361</v>
      </c>
      <c r="J216" s="185" t="s">
        <v>76</v>
      </c>
    </row>
    <row r="217" customFormat="false" ht="15" hidden="false" customHeight="true" outlineLevel="1" collapsed="false">
      <c r="A217" s="176" t="n">
        <v>3</v>
      </c>
      <c r="B217" s="1" t="s">
        <v>648</v>
      </c>
      <c r="C217" s="1" t="s">
        <v>649</v>
      </c>
      <c r="D217" s="183" t="n">
        <f aca="false">20</f>
        <v>20</v>
      </c>
      <c r="E217" s="176" t="str">
        <f aca="false">IFERROR(VLOOKUP($B217,'Unit Cost Database'!$A:$H,3,FALSE()),"LS")</f>
        <v>EA</v>
      </c>
      <c r="F217" s="184" t="n">
        <f aca="false">IFERROR(VLOOKUP($B217,'Unit Cost Database'!$A:$H,8,FALSE()),0)</f>
        <v>5950</v>
      </c>
      <c r="G217" s="179" t="n">
        <f aca="false">$F$7</f>
        <v>0.1</v>
      </c>
      <c r="H217" s="180" t="n">
        <f aca="false">IF(OR(D217="",F217="",D217=0,F217=0),0,D217*F217*$H$8*(1+G217)*(1+$H$7))</f>
        <v>135481.5</v>
      </c>
      <c r="I217" s="177" t="s">
        <v>361</v>
      </c>
      <c r="J217" s="185" t="s">
        <v>76</v>
      </c>
    </row>
    <row r="218" customFormat="false" ht="15" hidden="false" customHeight="true" outlineLevel="1" collapsed="false">
      <c r="A218" s="176" t="n">
        <v>4</v>
      </c>
      <c r="B218" s="1" t="s">
        <v>650</v>
      </c>
      <c r="C218" s="1" t="s">
        <v>651</v>
      </c>
      <c r="D218" s="183" t="n">
        <f aca="false">$C$6/3000</f>
        <v>266.666666666667</v>
      </c>
      <c r="E218" s="176" t="str">
        <f aca="false">IFERROR(VLOOKUP($B218,'Unit Cost Database'!$A:$H,3,FALSE()),"LS")</f>
        <v>EA</v>
      </c>
      <c r="F218" s="184" t="n">
        <f aca="false">IFERROR(VLOOKUP($B218,'Unit Cost Database'!$A:$H,8,FALSE()),0)</f>
        <v>560</v>
      </c>
      <c r="G218" s="179" t="n">
        <f aca="false">$F$7</f>
        <v>0.1</v>
      </c>
      <c r="H218" s="180" t="n">
        <f aca="false">IF(OR(D218="",F218="",D218=0,F218=0),0,D218*F218*$H$8*(1+G218)*(1+$H$7))</f>
        <v>170016</v>
      </c>
      <c r="I218" s="177" t="s">
        <v>361</v>
      </c>
      <c r="J218" s="185" t="s">
        <v>76</v>
      </c>
    </row>
    <row r="219" customFormat="false" ht="15" hidden="false" customHeight="true" outlineLevel="1" collapsed="false">
      <c r="A219" s="176" t="n">
        <v>5</v>
      </c>
      <c r="B219" s="1" t="s">
        <v>652</v>
      </c>
      <c r="C219" s="1" t="s">
        <v>653</v>
      </c>
      <c r="D219" s="183" t="n">
        <f aca="false">8</f>
        <v>8</v>
      </c>
      <c r="E219" s="176" t="str">
        <f aca="false">IFERROR(VLOOKUP($B219,'Unit Cost Database'!$A:$H,3,FALSE()),"LS")</f>
        <v>EA</v>
      </c>
      <c r="F219" s="184" t="n">
        <f aca="false">IFERROR(VLOOKUP($B219,'Unit Cost Database'!$A:$H,8,FALSE()),0)</f>
        <v>8000</v>
      </c>
      <c r="G219" s="179" t="n">
        <f aca="false">$F$7</f>
        <v>0.1</v>
      </c>
      <c r="H219" s="180" t="n">
        <f aca="false">IF(OR(D219="",F219="",D219=0,F219=0),0,D219*F219*$H$8*(1+G219)*(1+$H$7))</f>
        <v>72864</v>
      </c>
      <c r="I219" s="177" t="s">
        <v>361</v>
      </c>
      <c r="J219" s="185" t="s">
        <v>76</v>
      </c>
    </row>
    <row r="220" customFormat="false" ht="15" hidden="false" customHeight="true" outlineLevel="1" collapsed="false">
      <c r="A220" s="176" t="n">
        <v>6</v>
      </c>
      <c r="B220" s="1" t="s">
        <v>654</v>
      </c>
      <c r="C220" s="1" t="s">
        <v>655</v>
      </c>
      <c r="D220" s="183" t="n">
        <f aca="false">4</f>
        <v>4</v>
      </c>
      <c r="E220" s="176" t="str">
        <f aca="false">IFERROR(VLOOKUP($B220,'Unit Cost Database'!$A:$H,3,FALSE()),"LS")</f>
        <v>EA</v>
      </c>
      <c r="F220" s="184" t="n">
        <f aca="false">IFERROR(VLOOKUP($B220,'Unit Cost Database'!$A:$H,8,FALSE()),0)</f>
        <v>17500</v>
      </c>
      <c r="G220" s="179" t="n">
        <f aca="false">$F$7</f>
        <v>0.1</v>
      </c>
      <c r="H220" s="180" t="n">
        <f aca="false">IF(OR(D220="",F220="",D220=0,F220=0),0,D220*F220*$H$8*(1+G220)*(1+$H$7))</f>
        <v>79695</v>
      </c>
      <c r="I220" s="177" t="s">
        <v>361</v>
      </c>
      <c r="J220" s="185" t="s">
        <v>76</v>
      </c>
    </row>
    <row r="221" customFormat="false" ht="15" hidden="false" customHeight="true" outlineLevel="1" collapsed="false">
      <c r="A221" s="176" t="n">
        <v>7</v>
      </c>
      <c r="B221" s="1" t="s">
        <v>656</v>
      </c>
      <c r="C221" s="1" t="s">
        <v>657</v>
      </c>
      <c r="D221" s="183" t="n">
        <f aca="false">8</f>
        <v>8</v>
      </c>
      <c r="E221" s="176" t="str">
        <f aca="false">IFERROR(VLOOKUP($B221,'Unit Cost Database'!$A:$H,3,FALSE()),"LS")</f>
        <v>EA</v>
      </c>
      <c r="F221" s="184" t="n">
        <f aca="false">IFERROR(VLOOKUP($B221,'Unit Cost Database'!$A:$H,8,FALSE()),0)</f>
        <v>8400</v>
      </c>
      <c r="G221" s="179" t="n">
        <f aca="false">$F$7</f>
        <v>0.1</v>
      </c>
      <c r="H221" s="180" t="n">
        <f aca="false">IF(OR(D221="",F221="",D221=0,F221=0),0,D221*F221*$H$8*(1+G221)*(1+$H$7))</f>
        <v>76507.2</v>
      </c>
      <c r="I221" s="177" t="s">
        <v>361</v>
      </c>
      <c r="J221" s="185" t="s">
        <v>76</v>
      </c>
    </row>
    <row r="222" customFormat="false" ht="15" hidden="false" customHeight="true" outlineLevel="0" collapsed="false">
      <c r="A222" s="176" t="n">
        <v>8</v>
      </c>
      <c r="B222" s="1" t="s">
        <v>658</v>
      </c>
      <c r="C222" s="1" t="s">
        <v>659</v>
      </c>
      <c r="D222" s="183" t="n">
        <f aca="false">$C$6*0.02</f>
        <v>16000</v>
      </c>
      <c r="E222" s="176" t="str">
        <f aca="false">IFERROR(VLOOKUP($B222,'Unit Cost Database'!$A:$H,3,FALSE()),"LS")</f>
        <v>SF</v>
      </c>
      <c r="F222" s="184" t="n">
        <f aca="false">IFERROR(VLOOKUP($B222,'Unit Cost Database'!$A:$H,8,FALSE()),0)</f>
        <v>59.5</v>
      </c>
      <c r="G222" s="179" t="n">
        <f aca="false">$F$7</f>
        <v>0.1</v>
      </c>
      <c r="H222" s="180" t="n">
        <f aca="false">IF(OR(D222="",F222="",D222=0,F222=0),0,D222*F222*$H$8*(1+G222)*(1+$H$7))</f>
        <v>1083852</v>
      </c>
      <c r="I222" s="177" t="s">
        <v>361</v>
      </c>
      <c r="J222" s="185" t="s">
        <v>76</v>
      </c>
    </row>
    <row r="223" customFormat="false" ht="15" hidden="false" customHeight="true" outlineLevel="0" collapsed="false">
      <c r="A223" s="176" t="n">
        <v>9</v>
      </c>
      <c r="B223" s="1" t="s">
        <v>660</v>
      </c>
      <c r="C223" s="1" t="s">
        <v>661</v>
      </c>
      <c r="D223" s="183" t="n">
        <v>24221.93138714</v>
      </c>
      <c r="E223" s="176" t="str">
        <f aca="false">IFERROR(VLOOKUP($B223,'Unit Cost Database'!$A:$H,3,FALSE()),"LS")</f>
        <v>SF</v>
      </c>
      <c r="F223" s="184" t="n">
        <f aca="false">IFERROR(VLOOKUP($B223,'Unit Cost Database'!$A:$H,8,FALSE()),0)</f>
        <v>87.5</v>
      </c>
      <c r="G223" s="179" t="n">
        <f aca="false">$F$7</f>
        <v>0.1</v>
      </c>
      <c r="H223" s="180" t="n">
        <f aca="false">IF(OR(D223="",F223="",D223=0,F223=0),0,D223*F223*$H$8*(1+G223)*(1+$H$7))</f>
        <v>2412958.52737265</v>
      </c>
      <c r="I223" s="177" t="s">
        <v>361</v>
      </c>
      <c r="J223" s="185" t="s">
        <v>76</v>
      </c>
    </row>
    <row r="224" customFormat="false" ht="15" hidden="false" customHeight="true" outlineLevel="0" collapsed="false">
      <c r="A224" s="176"/>
      <c r="B224" s="1" t="s">
        <v>662</v>
      </c>
      <c r="C224" s="1" t="s">
        <v>663</v>
      </c>
      <c r="D224" s="183" t="n">
        <v>0</v>
      </c>
      <c r="E224" s="176" t="str">
        <f aca="false">IFERROR(VLOOKUP($B224,'Unit Cost Database'!$A:$H,3,FALSE()),"LS")</f>
        <v>LS</v>
      </c>
      <c r="F224" s="184" t="n">
        <f aca="false">IFERROR(VLOOKUP($B224,'Unit Cost Database'!$A:$H,8,FALSE()),0)</f>
        <v>1377622.3476186</v>
      </c>
      <c r="G224" s="179" t="n">
        <f aca="false">$F$7</f>
        <v>0.1</v>
      </c>
      <c r="H224" s="180" t="n">
        <f aca="false">IF(OR(D224="",F224="",D224=0,F224=0),0,D224*F224*$H$8*(1+G224)*(1+$H$7))</f>
        <v>0</v>
      </c>
      <c r="I224" s="177" t="s">
        <v>361</v>
      </c>
      <c r="J224" s="185" t="s">
        <v>76</v>
      </c>
    </row>
    <row r="225" customFormat="false" ht="15" hidden="false" customHeight="true" outlineLevel="1" collapsed="false">
      <c r="A225" s="176"/>
      <c r="B225" s="1" t="s">
        <v>664</v>
      </c>
      <c r="C225" s="1" t="s">
        <v>665</v>
      </c>
      <c r="D225" s="183" t="n">
        <v>0</v>
      </c>
      <c r="E225" s="176" t="str">
        <f aca="false">IFERROR(VLOOKUP($B225,'Unit Cost Database'!$A:$H,3,FALSE()),"LS")</f>
        <v>LS</v>
      </c>
      <c r="F225" s="184" t="n">
        <f aca="false">IFERROR(VLOOKUP($B225,'Unit Cost Database'!$A:$H,8,FALSE()),0)</f>
        <v>423883.79927495</v>
      </c>
      <c r="G225" s="179" t="n">
        <f aca="false">$F$7</f>
        <v>0.1</v>
      </c>
      <c r="H225" s="180" t="n">
        <f aca="false">IF(OR(D225="",F225="",D225=0,F225=0),0,D225*F225*$H$8*(1+G225)*(1+$H$7))</f>
        <v>0</v>
      </c>
      <c r="I225" s="177" t="s">
        <v>361</v>
      </c>
      <c r="J225" s="185" t="s">
        <v>76</v>
      </c>
    </row>
    <row r="226" customFormat="false" ht="15" hidden="false" customHeight="true" outlineLevel="1" collapsed="false">
      <c r="A226" s="176"/>
      <c r="B226" s="1" t="s">
        <v>666</v>
      </c>
      <c r="C226" s="1" t="s">
        <v>667</v>
      </c>
      <c r="D226" s="183" t="n">
        <v>0</v>
      </c>
      <c r="E226" s="176" t="str">
        <f aca="false">IFERROR(VLOOKUP($B226,'Unit Cost Database'!$A:$H,3,FALSE()),"LS")</f>
        <v>LS</v>
      </c>
      <c r="F226" s="184" t="n">
        <f aca="false">IFERROR(VLOOKUP($B226,'Unit Cost Database'!$A:$H,8,FALSE()),0)</f>
        <v>317912.849481198</v>
      </c>
      <c r="G226" s="179" t="n">
        <f aca="false">$F$7</f>
        <v>0.1</v>
      </c>
      <c r="H226" s="180" t="n">
        <f aca="false">IF(OR(D226="",F226="",D226=0,F226=0),0,D226*F226*$H$8*(1+G226)*(1+$H$7))</f>
        <v>0</v>
      </c>
      <c r="I226" s="177" t="s">
        <v>361</v>
      </c>
      <c r="J226" s="185" t="s">
        <v>76</v>
      </c>
    </row>
    <row r="227" customFormat="false" ht="15" hidden="false" customHeight="true" outlineLevel="1" collapsed="false">
      <c r="A227" s="176" t="n">
        <v>10</v>
      </c>
      <c r="B227" s="1" t="s">
        <v>668</v>
      </c>
      <c r="C227" s="1" t="s">
        <v>669</v>
      </c>
      <c r="D227" s="183" t="n">
        <f aca="false">$C$6*0.03</f>
        <v>24000</v>
      </c>
      <c r="E227" s="176" t="str">
        <f aca="false">IFERROR(VLOOKUP($B227,'Unit Cost Database'!$A:$H,3,FALSE()),"LS")</f>
        <v>SF</v>
      </c>
      <c r="F227" s="184" t="n">
        <f aca="false">IFERROR(VLOOKUP($B227,'Unit Cost Database'!$A:$H,8,FALSE()),0)</f>
        <v>45.5</v>
      </c>
      <c r="G227" s="179" t="n">
        <f aca="false">$F$7</f>
        <v>0.1</v>
      </c>
      <c r="H227" s="180" t="n">
        <f aca="false">IF(OR(D227="",F227="",D227=0,F227=0),0,D227*F227*$H$8*(1+G227)*(1+$H$7))</f>
        <v>1243242</v>
      </c>
      <c r="I227" s="177" t="s">
        <v>361</v>
      </c>
      <c r="J227" s="185" t="s">
        <v>76</v>
      </c>
    </row>
    <row r="228" customFormat="false" ht="15" hidden="false" customHeight="true" outlineLevel="1" collapsed="false">
      <c r="A228" s="176" t="n">
        <v>11</v>
      </c>
      <c r="B228" s="1" t="s">
        <v>670</v>
      </c>
      <c r="C228" s="1" t="s">
        <v>671</v>
      </c>
      <c r="D228" s="183" t="n">
        <f aca="false">$C$6/2500</f>
        <v>320</v>
      </c>
      <c r="E228" s="176" t="str">
        <f aca="false">IFERROR(VLOOKUP($B228,'Unit Cost Database'!$A:$H,3,FALSE()),"LS")</f>
        <v>EA</v>
      </c>
      <c r="F228" s="184" t="n">
        <f aca="false">IFERROR(VLOOKUP($B228,'Unit Cost Database'!$A:$H,8,FALSE()),0)</f>
        <v>1050</v>
      </c>
      <c r="G228" s="179" t="n">
        <f aca="false">$F$7</f>
        <v>0.1</v>
      </c>
      <c r="H228" s="180" t="n">
        <f aca="false">IF(OR(D228="",F228="",D228=0,F228=0),0,D228*F228*$H$8*(1+G228)*(1+$H$7))</f>
        <v>382536</v>
      </c>
      <c r="I228" s="177" t="s">
        <v>361</v>
      </c>
      <c r="J228" s="185" t="s">
        <v>76</v>
      </c>
    </row>
    <row r="229" customFormat="false" ht="15" hidden="false" customHeight="true" outlineLevel="1" collapsed="false">
      <c r="A229" s="176" t="n">
        <v>12</v>
      </c>
      <c r="B229" s="1" t="s">
        <v>672</v>
      </c>
      <c r="C229" s="1" t="s">
        <v>673</v>
      </c>
      <c r="D229" s="183" t="n">
        <f aca="false">$C$6/2000</f>
        <v>400</v>
      </c>
      <c r="E229" s="176" t="str">
        <f aca="false">IFERROR(VLOOKUP($B229,'Unit Cost Database'!$A:$H,3,FALSE()),"LS")</f>
        <v>EA</v>
      </c>
      <c r="F229" s="184" t="n">
        <f aca="false">IFERROR(VLOOKUP($B229,'Unit Cost Database'!$A:$H,8,FALSE()),0)</f>
        <v>2450</v>
      </c>
      <c r="G229" s="179" t="n">
        <f aca="false">$F$7</f>
        <v>0.1</v>
      </c>
      <c r="H229" s="180" t="n">
        <f aca="false">IF(OR(D229="",F229="",D229=0,F229=0),0,D229*F229*$H$8*(1+G229)*(1+$H$7))</f>
        <v>1115730</v>
      </c>
      <c r="I229" s="177" t="s">
        <v>361</v>
      </c>
      <c r="J229" s="185" t="s">
        <v>76</v>
      </c>
    </row>
    <row r="230" customFormat="false" ht="15" hidden="false" customHeight="true" outlineLevel="1" collapsed="false">
      <c r="A230" s="176" t="n">
        <v>13</v>
      </c>
      <c r="B230" s="1" t="s">
        <v>674</v>
      </c>
      <c r="C230" s="1" t="s">
        <v>675</v>
      </c>
      <c r="D230" s="183" t="n">
        <f aca="false">$C$6*0.08</f>
        <v>64000</v>
      </c>
      <c r="E230" s="176" t="str">
        <f aca="false">IFERROR(VLOOKUP($B230,'Unit Cost Database'!$A:$H,3,FALSE()),"LS")</f>
        <v>SF</v>
      </c>
      <c r="F230" s="184" t="n">
        <f aca="false">IFERROR(VLOOKUP($B230,'Unit Cost Database'!$A:$H,8,FALSE()),0)</f>
        <v>24.5</v>
      </c>
      <c r="G230" s="179" t="n">
        <f aca="false">$F$7</f>
        <v>0.1</v>
      </c>
      <c r="H230" s="180" t="n">
        <f aca="false">IF(OR(D230="",F230="",D230=0,F230=0),0,D230*F230*$H$8*(1+G230)*(1+$H$7))</f>
        <v>1785168</v>
      </c>
      <c r="I230" s="177" t="s">
        <v>361</v>
      </c>
      <c r="J230" s="185" t="s">
        <v>76</v>
      </c>
    </row>
    <row r="231" customFormat="false" ht="15" hidden="false" customHeight="true" outlineLevel="1" collapsed="false">
      <c r="A231" s="176" t="n">
        <v>14</v>
      </c>
      <c r="B231" s="1" t="s">
        <v>676</v>
      </c>
      <c r="C231" s="1" t="s">
        <v>677</v>
      </c>
      <c r="D231" s="183" t="n">
        <f aca="false">$C$6*0.01</f>
        <v>8000</v>
      </c>
      <c r="E231" s="176" t="str">
        <f aca="false">IFERROR(VLOOKUP($B231,'Unit Cost Database'!$A:$H,3,FALSE()),"LS")</f>
        <v>SF</v>
      </c>
      <c r="F231" s="184" t="n">
        <f aca="false">IFERROR(VLOOKUP($B231,'Unit Cost Database'!$A:$H,8,FALSE()),0)</f>
        <v>122.5</v>
      </c>
      <c r="G231" s="179" t="n">
        <f aca="false">$F$7</f>
        <v>0.1</v>
      </c>
      <c r="H231" s="180" t="n">
        <f aca="false">IF(OR(D231="",F231="",D231=0,F231=0),0,D231*F231*$H$8*(1+G231)*(1+$H$7))</f>
        <v>1115730</v>
      </c>
      <c r="I231" s="177" t="s">
        <v>361</v>
      </c>
      <c r="J231" s="185" t="s">
        <v>76</v>
      </c>
    </row>
    <row r="232" customFormat="false" ht="15" hidden="false" customHeight="true" outlineLevel="1" collapsed="false">
      <c r="A232" s="176" t="n">
        <v>15</v>
      </c>
      <c r="B232" s="1" t="s">
        <v>678</v>
      </c>
      <c r="C232" s="1" t="s">
        <v>679</v>
      </c>
      <c r="D232" s="183" t="n">
        <v>24000</v>
      </c>
      <c r="E232" s="176" t="str">
        <f aca="false">IFERROR(VLOOKUP($B232,'Unit Cost Database'!$A:$H,3,FALSE()),"LS")</f>
        <v>SF</v>
      </c>
      <c r="F232" s="184" t="n">
        <f aca="false">IFERROR(VLOOKUP($B232,'Unit Cost Database'!$A:$H,8,FALSE()),0)</f>
        <v>38</v>
      </c>
      <c r="G232" s="179" t="n">
        <f aca="false">$F$7</f>
        <v>0.1</v>
      </c>
      <c r="H232" s="180" t="n">
        <f aca="false">IF(OR(D232="",F232="",D232=0,F232=0),0,D232*F232*$H$8*(1+G232)*(1+$H$7))</f>
        <v>1038312</v>
      </c>
      <c r="I232" s="177" t="s">
        <v>361</v>
      </c>
      <c r="J232" s="185" t="s">
        <v>76</v>
      </c>
    </row>
    <row r="233" customFormat="false" ht="15" hidden="false" customHeight="true" outlineLevel="1" collapsed="false">
      <c r="A233" s="176" t="n">
        <v>16</v>
      </c>
      <c r="B233" s="1" t="s">
        <v>680</v>
      </c>
      <c r="C233" s="1" t="s">
        <v>681</v>
      </c>
      <c r="D233" s="183" t="n">
        <v>240</v>
      </c>
      <c r="E233" s="176" t="str">
        <f aca="false">IFERROR(VLOOKUP($B233,'Unit Cost Database'!$A:$H,3,FALSE()),"LS")</f>
        <v>EA</v>
      </c>
      <c r="F233" s="184" t="n">
        <f aca="false">IFERROR(VLOOKUP($B233,'Unit Cost Database'!$A:$H,8,FALSE()),0)</f>
        <v>2400</v>
      </c>
      <c r="G233" s="179" t="n">
        <f aca="false">$F$7</f>
        <v>0.1</v>
      </c>
      <c r="H233" s="180" t="n">
        <f aca="false">IF(OR(D233="",F233="",D233=0,F233=0),0,D233*F233*$H$8*(1+G233)*(1+$H$7))</f>
        <v>655776</v>
      </c>
      <c r="I233" s="177" t="s">
        <v>361</v>
      </c>
      <c r="J233" s="185" t="s">
        <v>76</v>
      </c>
    </row>
    <row r="234" customFormat="false" ht="15" hidden="false" customHeight="true" outlineLevel="1" collapsed="false">
      <c r="A234" s="176" t="n">
        <v>17</v>
      </c>
      <c r="B234" s="1" t="s">
        <v>682</v>
      </c>
      <c r="C234" s="1" t="s">
        <v>683</v>
      </c>
      <c r="D234" s="183" t="n">
        <v>36</v>
      </c>
      <c r="E234" s="176" t="str">
        <f aca="false">IFERROR(VLOOKUP($B234,'Unit Cost Database'!$A:$H,3,FALSE()),"LS")</f>
        <v>EA</v>
      </c>
      <c r="F234" s="184" t="n">
        <f aca="false">IFERROR(VLOOKUP($B234,'Unit Cost Database'!$A:$H,8,FALSE()),0)</f>
        <v>6500</v>
      </c>
      <c r="G234" s="179" t="n">
        <f aca="false">$F$7</f>
        <v>0.1</v>
      </c>
      <c r="H234" s="180" t="n">
        <f aca="false">IF(OR(D234="",F234="",D234=0,F234=0),0,D234*F234*$H$8*(1+G234)*(1+$H$7))</f>
        <v>266409</v>
      </c>
      <c r="I234" s="177" t="s">
        <v>361</v>
      </c>
      <c r="J234" s="185" t="s">
        <v>76</v>
      </c>
    </row>
    <row r="235" customFormat="false" ht="15" hidden="false" customHeight="true" outlineLevel="1" collapsed="false">
      <c r="A235" s="176" t="n">
        <v>18</v>
      </c>
      <c r="B235" s="1" t="s">
        <v>684</v>
      </c>
      <c r="C235" s="1" t="s">
        <v>685</v>
      </c>
      <c r="D235" s="183" t="n">
        <v>48</v>
      </c>
      <c r="E235" s="176" t="str">
        <f aca="false">IFERROR(VLOOKUP($B235,'Unit Cost Database'!$A:$H,3,FALSE()),"LS")</f>
        <v>EA</v>
      </c>
      <c r="F235" s="184" t="n">
        <f aca="false">IFERROR(VLOOKUP($B235,'Unit Cost Database'!$A:$H,8,FALSE()),0)</f>
        <v>6500</v>
      </c>
      <c r="G235" s="179" t="n">
        <f aca="false">$F$7</f>
        <v>0.1</v>
      </c>
      <c r="H235" s="180" t="n">
        <f aca="false">IF(OR(D235="",F235="",D235=0,F235=0),0,D235*F235*$H$8*(1+G235)*(1+$H$7))</f>
        <v>355212</v>
      </c>
      <c r="I235" s="177" t="s">
        <v>361</v>
      </c>
      <c r="J235" s="185" t="s">
        <v>76</v>
      </c>
    </row>
    <row r="236" customFormat="false" ht="15" hidden="false" customHeight="true" outlineLevel="1" collapsed="false">
      <c r="A236" s="176" t="n">
        <v>19</v>
      </c>
      <c r="B236" s="1" t="s">
        <v>686</v>
      </c>
      <c r="C236" s="1" t="s">
        <v>687</v>
      </c>
      <c r="D236" s="183" t="n">
        <v>320</v>
      </c>
      <c r="E236" s="176" t="str">
        <f aca="false">IFERROR(VLOOKUP($B236,'Unit Cost Database'!$A:$H,3,FALSE()),"LS")</f>
        <v>EA</v>
      </c>
      <c r="F236" s="184" t="n">
        <f aca="false">IFERROR(VLOOKUP($B236,'Unit Cost Database'!$A:$H,8,FALSE()),0)</f>
        <v>850</v>
      </c>
      <c r="G236" s="179" t="n">
        <f aca="false">$F$7</f>
        <v>0.1</v>
      </c>
      <c r="H236" s="180" t="n">
        <f aca="false">IF(OR(D236="",F236="",D236=0,F236=0),0,D236*F236*$H$8*(1+G236)*(1+$H$7))</f>
        <v>309672</v>
      </c>
      <c r="I236" s="177" t="s">
        <v>361</v>
      </c>
      <c r="J236" s="185" t="s">
        <v>76</v>
      </c>
    </row>
    <row r="237" customFormat="false" ht="15" hidden="false" customHeight="true" outlineLevel="1" collapsed="false">
      <c r="A237" s="176" t="n">
        <v>20</v>
      </c>
      <c r="B237" s="1" t="s">
        <v>688</v>
      </c>
      <c r="C237" s="1" t="s">
        <v>689</v>
      </c>
      <c r="D237" s="183" t="n">
        <v>36</v>
      </c>
      <c r="E237" s="176" t="str">
        <f aca="false">IFERROR(VLOOKUP($B237,'Unit Cost Database'!$A:$H,3,FALSE()),"LS")</f>
        <v>EA</v>
      </c>
      <c r="F237" s="184" t="n">
        <f aca="false">IFERROR(VLOOKUP($B237,'Unit Cost Database'!$A:$H,8,FALSE()),0)</f>
        <v>6500</v>
      </c>
      <c r="G237" s="179" t="n">
        <f aca="false">$F$7</f>
        <v>0.1</v>
      </c>
      <c r="H237" s="180" t="n">
        <f aca="false">IF(OR(D237="",F237="",D237=0,F237=0),0,D237*F237*$H$8*(1+G237)*(1+$H$7))</f>
        <v>266409</v>
      </c>
      <c r="I237" s="177" t="s">
        <v>361</v>
      </c>
      <c r="J237" s="185" t="s">
        <v>76</v>
      </c>
    </row>
    <row r="238" customFormat="false" ht="15" hidden="false" customHeight="true" outlineLevel="1" collapsed="false">
      <c r="A238" s="176" t="n">
        <v>21</v>
      </c>
      <c r="B238" s="1" t="s">
        <v>690</v>
      </c>
      <c r="C238" s="1" t="s">
        <v>691</v>
      </c>
      <c r="D238" s="183" t="n">
        <v>620</v>
      </c>
      <c r="E238" s="176" t="str">
        <f aca="false">IFERROR(VLOOKUP($B238,'Unit Cost Database'!$A:$H,3,FALSE()),"LS")</f>
        <v>EA</v>
      </c>
      <c r="F238" s="184" t="n">
        <f aca="false">IFERROR(VLOOKUP($B238,'Unit Cost Database'!$A:$H,8,FALSE()),0)</f>
        <v>850</v>
      </c>
      <c r="G238" s="179" t="n">
        <f aca="false">$F$7</f>
        <v>0.1</v>
      </c>
      <c r="H238" s="180" t="n">
        <f aca="false">IF(OR(D238="",F238="",D238=0,F238=0),0,D238*F238*$H$8*(1+G238)*(1+$H$7))</f>
        <v>599989.5</v>
      </c>
      <c r="I238" s="177" t="s">
        <v>361</v>
      </c>
      <c r="J238" s="185" t="s">
        <v>76</v>
      </c>
    </row>
    <row r="239" customFormat="false" ht="15" hidden="false" customHeight="true" outlineLevel="1" collapsed="false">
      <c r="A239" s="186"/>
      <c r="B239" s="187"/>
      <c r="C239" s="188" t="s">
        <v>692</v>
      </c>
      <c r="D239" s="189"/>
      <c r="E239" s="186"/>
      <c r="F239" s="190"/>
      <c r="G239" s="191"/>
      <c r="H239" s="192" t="n">
        <f aca="false">SUM(H215:H238)</f>
        <v>13742209.9773727</v>
      </c>
      <c r="I239" s="187"/>
      <c r="J239" s="187"/>
    </row>
    <row r="240" customFormat="false" ht="15" hidden="false" customHeight="true" outlineLevel="1" collapsed="false">
      <c r="A240" s="176"/>
      <c r="D240" s="177"/>
      <c r="E240" s="176"/>
      <c r="F240" s="178"/>
      <c r="G240" s="179"/>
      <c r="H240" s="180"/>
    </row>
    <row r="241" customFormat="false" ht="15" hidden="false" customHeight="true" outlineLevel="1" collapsed="false">
      <c r="A241" s="193" t="s">
        <v>693</v>
      </c>
      <c r="B241" s="193"/>
      <c r="C241" s="193"/>
      <c r="D241" s="193"/>
      <c r="E241" s="193"/>
      <c r="F241" s="193"/>
      <c r="G241" s="193"/>
      <c r="H241" s="193"/>
      <c r="I241" s="182"/>
      <c r="J241" s="182" t="s">
        <v>76</v>
      </c>
    </row>
    <row r="242" customFormat="false" ht="15" hidden="false" customHeight="true" outlineLevel="1" collapsed="false">
      <c r="A242" s="176" t="n">
        <v>1</v>
      </c>
      <c r="B242" s="1" t="s">
        <v>694</v>
      </c>
      <c r="C242" s="1" t="s">
        <v>695</v>
      </c>
      <c r="D242" s="183" t="n">
        <v>960000</v>
      </c>
      <c r="E242" s="176" t="str">
        <f aca="false">IFERROR(VLOOKUP($B242,'Unit Cost Database'!$A:$H,3,FALSE()),"LS")</f>
        <v>SF</v>
      </c>
      <c r="F242" s="184" t="n">
        <f aca="false">IFERROR(VLOOKUP($B242,'Unit Cost Database'!$A:$H,8,FALSE()),0)</f>
        <v>6</v>
      </c>
      <c r="G242" s="179" t="n">
        <f aca="false">$F$7</f>
        <v>0.1</v>
      </c>
      <c r="H242" s="180" t="n">
        <f aca="false">IF(OR(D242="",F242="",D242=0,F242=0),0,D242*F242*$H$8*(1+G242)*(1+$H$7))</f>
        <v>6557760</v>
      </c>
      <c r="I242" s="177" t="s">
        <v>361</v>
      </c>
      <c r="J242" s="185" t="s">
        <v>76</v>
      </c>
    </row>
    <row r="243" customFormat="false" ht="15" hidden="false" customHeight="true" outlineLevel="1" collapsed="false">
      <c r="A243" s="176"/>
      <c r="B243" s="1" t="s">
        <v>696</v>
      </c>
      <c r="C243" s="1" t="s">
        <v>697</v>
      </c>
      <c r="D243" s="183" t="n">
        <v>0</v>
      </c>
      <c r="E243" s="176" t="str">
        <f aca="false">IFERROR(VLOOKUP($B243,'Unit Cost Database'!$A:$H,3,FALSE()),"LS")</f>
        <v>LS</v>
      </c>
      <c r="F243" s="184" t="n">
        <f aca="false">IFERROR(VLOOKUP($B243,'Unit Cost Database'!$A:$H,8,FALSE()),0)</f>
        <v>2304000</v>
      </c>
      <c r="G243" s="179" t="n">
        <f aca="false">$F$7</f>
        <v>0.1</v>
      </c>
      <c r="H243" s="180" t="n">
        <f aca="false">IF(OR(D243="",F243="",D243=0,F243=0),0,D243*F243*$H$8*(1+G243)*(1+$H$7))</f>
        <v>0</v>
      </c>
      <c r="I243" s="177" t="s">
        <v>361</v>
      </c>
      <c r="J243" s="185" t="s">
        <v>76</v>
      </c>
    </row>
    <row r="244" customFormat="false" ht="15" hidden="false" customHeight="true" outlineLevel="1" collapsed="false">
      <c r="A244" s="176"/>
      <c r="B244" s="1" t="s">
        <v>698</v>
      </c>
      <c r="C244" s="1" t="s">
        <v>699</v>
      </c>
      <c r="D244" s="183" t="n">
        <v>0</v>
      </c>
      <c r="E244" s="176" t="str">
        <f aca="false">IFERROR(VLOOKUP($B244,'Unit Cost Database'!$A:$H,3,FALSE()),"LS")</f>
        <v>LS</v>
      </c>
      <c r="F244" s="184" t="n">
        <f aca="false">IFERROR(VLOOKUP($B244,'Unit Cost Database'!$A:$H,8,FALSE()),0)</f>
        <v>2304000</v>
      </c>
      <c r="G244" s="179" t="n">
        <f aca="false">$F$7</f>
        <v>0.1</v>
      </c>
      <c r="H244" s="180" t="n">
        <f aca="false">IF(OR(D244="",F244="",D244=0,F244=0),0,D244*F244*$H$8*(1+G244)*(1+$H$7))</f>
        <v>0</v>
      </c>
      <c r="I244" s="177" t="s">
        <v>361</v>
      </c>
      <c r="J244" s="185" t="s">
        <v>76</v>
      </c>
    </row>
    <row r="245" customFormat="false" ht="15" hidden="false" customHeight="true" outlineLevel="1" collapsed="false">
      <c r="A245" s="176"/>
      <c r="B245" s="1" t="s">
        <v>700</v>
      </c>
      <c r="C245" s="1" t="s">
        <v>701</v>
      </c>
      <c r="D245" s="183" t="n">
        <v>0</v>
      </c>
      <c r="E245" s="176" t="str">
        <f aca="false">IFERROR(VLOOKUP($B245,'Unit Cost Database'!$A:$H,3,FALSE()),"LS")</f>
        <v>LS</v>
      </c>
      <c r="F245" s="184" t="n">
        <f aca="false">IFERROR(VLOOKUP($B245,'Unit Cost Database'!$A:$H,8,FALSE()),0)</f>
        <v>1152000</v>
      </c>
      <c r="G245" s="179" t="n">
        <f aca="false">$F$7</f>
        <v>0.1</v>
      </c>
      <c r="H245" s="180" t="n">
        <f aca="false">IF(OR(D245="",F245="",D245=0,F245=0),0,D245*F245*$H$8*(1+G245)*(1+$H$7))</f>
        <v>0</v>
      </c>
      <c r="I245" s="177" t="s">
        <v>361</v>
      </c>
      <c r="J245" s="185" t="s">
        <v>76</v>
      </c>
    </row>
    <row r="246" customFormat="false" ht="15" hidden="false" customHeight="true" outlineLevel="1" collapsed="false">
      <c r="A246" s="176" t="n">
        <v>2</v>
      </c>
      <c r="B246" s="1" t="s">
        <v>702</v>
      </c>
      <c r="C246" s="1" t="s">
        <v>703</v>
      </c>
      <c r="D246" s="183" t="n">
        <f aca="false">$C$6*0.6</f>
        <v>480000</v>
      </c>
      <c r="E246" s="176" t="str">
        <f aca="false">IFERROR(VLOOKUP($B246,'Unit Cost Database'!$A:$H,3,FALSE()),"LS")</f>
        <v>SF</v>
      </c>
      <c r="F246" s="184" t="n">
        <f aca="false">IFERROR(VLOOKUP($B246,'Unit Cost Database'!$A:$H,8,FALSE()),0)</f>
        <v>2.8</v>
      </c>
      <c r="G246" s="179" t="n">
        <f aca="false">$F$7</f>
        <v>0.1</v>
      </c>
      <c r="H246" s="180" t="n">
        <f aca="false">IF(OR(D246="",F246="",D246=0,F246=0),0,D246*F246*$H$8*(1+G246)*(1+$H$7))</f>
        <v>1530144</v>
      </c>
      <c r="I246" s="177" t="s">
        <v>361</v>
      </c>
      <c r="J246" s="185" t="s">
        <v>76</v>
      </c>
    </row>
    <row r="247" customFormat="false" ht="15" hidden="false" customHeight="true" outlineLevel="1" collapsed="false">
      <c r="A247" s="176" t="n">
        <v>3</v>
      </c>
      <c r="B247" s="1" t="s">
        <v>704</v>
      </c>
      <c r="C247" s="1" t="s">
        <v>705</v>
      </c>
      <c r="D247" s="183" t="n">
        <f aca="false">$C$6*0.15</f>
        <v>120000</v>
      </c>
      <c r="E247" s="176" t="str">
        <f aca="false">IFERROR(VLOOKUP($B247,'Unit Cost Database'!$A:$H,3,FALSE()),"LS")</f>
        <v>SF</v>
      </c>
      <c r="F247" s="184" t="n">
        <f aca="false">IFERROR(VLOOKUP($B247,'Unit Cost Database'!$A:$H,8,FALSE()),0)</f>
        <v>4.2</v>
      </c>
      <c r="G247" s="179" t="n">
        <f aca="false">$F$7</f>
        <v>0.1</v>
      </c>
      <c r="H247" s="180" t="n">
        <f aca="false">IF(OR(D247="",F247="",D247=0,F247=0),0,D247*F247*$H$8*(1+G247)*(1+$H$7))</f>
        <v>573804</v>
      </c>
      <c r="I247" s="177" t="s">
        <v>361</v>
      </c>
      <c r="J247" s="185" t="s">
        <v>76</v>
      </c>
    </row>
    <row r="248" customFormat="false" ht="15" hidden="false" customHeight="true" outlineLevel="1" collapsed="false">
      <c r="A248" s="176" t="n">
        <v>4</v>
      </c>
      <c r="B248" s="1" t="s">
        <v>706</v>
      </c>
      <c r="C248" s="1" t="s">
        <v>707</v>
      </c>
      <c r="D248" s="183" t="n">
        <f aca="false">$C$6*0.1</f>
        <v>80000</v>
      </c>
      <c r="E248" s="176" t="str">
        <f aca="false">IFERROR(VLOOKUP($B248,'Unit Cost Database'!$A:$H,3,FALSE()),"LS")</f>
        <v>SF</v>
      </c>
      <c r="F248" s="184" t="n">
        <f aca="false">IFERROR(VLOOKUP($B248,'Unit Cost Database'!$A:$H,8,FALSE()),0)</f>
        <v>3.5</v>
      </c>
      <c r="G248" s="179" t="n">
        <f aca="false">$F$7</f>
        <v>0.1</v>
      </c>
      <c r="H248" s="180" t="n">
        <f aca="false">IF(OR(D248="",F248="",D248=0,F248=0),0,D248*F248*$H$8*(1+G248)*(1+$H$7))</f>
        <v>318780</v>
      </c>
      <c r="I248" s="177" t="s">
        <v>361</v>
      </c>
      <c r="J248" s="185" t="s">
        <v>76</v>
      </c>
    </row>
    <row r="249" customFormat="false" ht="15" hidden="false" customHeight="true" outlineLevel="1" collapsed="false">
      <c r="A249" s="176" t="n">
        <v>5</v>
      </c>
      <c r="B249" s="1" t="s">
        <v>708</v>
      </c>
      <c r="C249" s="1" t="s">
        <v>709</v>
      </c>
      <c r="D249" s="183" t="n">
        <f aca="false">$C$6*0.05</f>
        <v>40000</v>
      </c>
      <c r="E249" s="176" t="str">
        <f aca="false">IFERROR(VLOOKUP($B249,'Unit Cost Database'!$A:$H,3,FALSE()),"LS")</f>
        <v>SF</v>
      </c>
      <c r="F249" s="184" t="n">
        <f aca="false">IFERROR(VLOOKUP($B249,'Unit Cost Database'!$A:$H,8,FALSE()),0)</f>
        <v>5.6</v>
      </c>
      <c r="G249" s="179" t="n">
        <f aca="false">$F$7</f>
        <v>0.1</v>
      </c>
      <c r="H249" s="180" t="n">
        <f aca="false">IF(OR(D249="",F249="",D249=0,F249=0),0,D249*F249*$H$8*(1+G249)*(1+$H$7))</f>
        <v>255024</v>
      </c>
      <c r="I249" s="177" t="s">
        <v>361</v>
      </c>
      <c r="J249" s="185" t="s">
        <v>76</v>
      </c>
    </row>
    <row r="250" customFormat="false" ht="15" hidden="false" customHeight="true" outlineLevel="0" collapsed="false">
      <c r="A250" s="176" t="n">
        <v>6</v>
      </c>
      <c r="B250" s="1" t="s">
        <v>710</v>
      </c>
      <c r="C250" s="1" t="s">
        <v>711</v>
      </c>
      <c r="D250" s="183" t="n">
        <v>440000</v>
      </c>
      <c r="E250" s="176" t="str">
        <f aca="false">IFERROR(VLOOKUP($B250,'Unit Cost Database'!$A:$H,3,FALSE()),"LS")</f>
        <v>SF</v>
      </c>
      <c r="F250" s="184" t="n">
        <f aca="false">IFERROR(VLOOKUP($B250,'Unit Cost Database'!$A:$H,8,FALSE()),0)</f>
        <v>22</v>
      </c>
      <c r="G250" s="179" t="n">
        <f aca="false">$F$7</f>
        <v>0.1</v>
      </c>
      <c r="H250" s="180" t="n">
        <f aca="false">IF(OR(D250="",F250="",D250=0,F250=0),0,D250*F250*$H$8*(1+G250)*(1+$H$7))</f>
        <v>11020680</v>
      </c>
      <c r="I250" s="177" t="s">
        <v>361</v>
      </c>
      <c r="J250" s="185" t="s">
        <v>76</v>
      </c>
    </row>
    <row r="251" customFormat="false" ht="15" hidden="false" customHeight="true" outlineLevel="0" collapsed="false">
      <c r="A251" s="176"/>
      <c r="B251" s="1" t="s">
        <v>712</v>
      </c>
      <c r="C251" s="1" t="s">
        <v>713</v>
      </c>
      <c r="D251" s="183" t="n">
        <v>0</v>
      </c>
      <c r="E251" s="176" t="str">
        <f aca="false">IFERROR(VLOOKUP($B251,'Unit Cost Database'!$A:$H,3,FALSE()),"LS")</f>
        <v>LS</v>
      </c>
      <c r="F251" s="194" t="n">
        <f aca="false">IFERROR(VLOOKUP($B251,'Unit Cost Database'!$A:$H,8,FALSE()),0)</f>
        <v>6776000</v>
      </c>
      <c r="G251" s="179" t="n">
        <f aca="false">$F$7</f>
        <v>0.1</v>
      </c>
      <c r="H251" s="180" t="n">
        <f aca="false">IF(OR(D251="",F251="",D251=0,F251=0),0,D251*F251*$H$8*(1+G251)*(1+$H$7))</f>
        <v>0</v>
      </c>
      <c r="I251" s="177" t="s">
        <v>361</v>
      </c>
      <c r="J251" s="185" t="s">
        <v>76</v>
      </c>
    </row>
    <row r="252" customFormat="false" ht="15" hidden="false" customHeight="true" outlineLevel="0" collapsed="false">
      <c r="A252" s="176"/>
      <c r="B252" s="1" t="s">
        <v>714</v>
      </c>
      <c r="C252" s="1" t="s">
        <v>715</v>
      </c>
      <c r="D252" s="183" t="n">
        <v>0</v>
      </c>
      <c r="E252" s="176" t="str">
        <f aca="false">IFERROR(VLOOKUP($B252,'Unit Cost Database'!$A:$H,3,FALSE()),"LS")</f>
        <v>LS</v>
      </c>
      <c r="F252" s="194" t="n">
        <f aca="false">IFERROR(VLOOKUP($B252,'Unit Cost Database'!$A:$H,8,FALSE()),0)</f>
        <v>1161600</v>
      </c>
      <c r="G252" s="179" t="n">
        <f aca="false">$F$7</f>
        <v>0.1</v>
      </c>
      <c r="H252" s="180" t="n">
        <f aca="false">IF(OR(D252="",F252="",D252=0,F252=0),0,D252*F252*$H$8*(1+G252)*(1+$H$7))</f>
        <v>0</v>
      </c>
      <c r="I252" s="177" t="s">
        <v>361</v>
      </c>
      <c r="J252" s="185" t="s">
        <v>76</v>
      </c>
    </row>
    <row r="253" customFormat="false" ht="15" hidden="false" customHeight="true" outlineLevel="0" collapsed="false">
      <c r="A253" s="176"/>
      <c r="B253" s="1" t="s">
        <v>716</v>
      </c>
      <c r="C253" s="1" t="s">
        <v>717</v>
      </c>
      <c r="D253" s="183" t="n">
        <v>0</v>
      </c>
      <c r="E253" s="176" t="str">
        <f aca="false">IFERROR(VLOOKUP($B253,'Unit Cost Database'!$A:$H,3,FALSE()),"LS")</f>
        <v>LS</v>
      </c>
      <c r="F253" s="194" t="n">
        <f aca="false">IFERROR(VLOOKUP($B253,'Unit Cost Database'!$A:$H,8,FALSE()),0)</f>
        <v>968000</v>
      </c>
      <c r="G253" s="179" t="n">
        <f aca="false">$F$7</f>
        <v>0.1</v>
      </c>
      <c r="H253" s="180" t="n">
        <f aca="false">IF(OR(D253="",F253="",D253=0,F253=0),0,D253*F253*$H$8*(1+G253)*(1+$H$7))</f>
        <v>0</v>
      </c>
      <c r="I253" s="177" t="s">
        <v>361</v>
      </c>
      <c r="J253" s="185" t="s">
        <v>76</v>
      </c>
    </row>
    <row r="254" customFormat="false" ht="15" hidden="false" customHeight="true" outlineLevel="1" collapsed="false">
      <c r="A254" s="176"/>
      <c r="B254" s="1" t="s">
        <v>718</v>
      </c>
      <c r="C254" s="1" t="s">
        <v>719</v>
      </c>
      <c r="D254" s="183" t="n">
        <v>0</v>
      </c>
      <c r="E254" s="176" t="str">
        <f aca="false">IFERROR(VLOOKUP($B254,'Unit Cost Database'!$A:$H,3,FALSE()),"LS")</f>
        <v>LS</v>
      </c>
      <c r="F254" s="194" t="n">
        <f aca="false">IFERROR(VLOOKUP($B254,'Unit Cost Database'!$A:$H,8,FALSE()),0)</f>
        <v>774400</v>
      </c>
      <c r="G254" s="179" t="n">
        <f aca="false">$F$7</f>
        <v>0.1</v>
      </c>
      <c r="H254" s="180" t="n">
        <f aca="false">IF(OR(D254="",F254="",D254=0,F254=0),0,D254*F254*$H$8*(1+G254)*(1+$H$7))</f>
        <v>0</v>
      </c>
      <c r="I254" s="177" t="s">
        <v>361</v>
      </c>
      <c r="J254" s="185" t="s">
        <v>76</v>
      </c>
    </row>
    <row r="255" customFormat="false" ht="15" hidden="false" customHeight="true" outlineLevel="1" collapsed="false">
      <c r="A255" s="176" t="n">
        <v>7</v>
      </c>
      <c r="B255" s="1" t="s">
        <v>720</v>
      </c>
      <c r="C255" s="1" t="s">
        <v>721</v>
      </c>
      <c r="D255" s="183" t="n">
        <f aca="false">$C$6*0.05</f>
        <v>40000</v>
      </c>
      <c r="E255" s="176" t="str">
        <f aca="false">IFERROR(VLOOKUP($B255,'Unit Cost Database'!$A:$H,3,FALSE()),"LS")</f>
        <v>SF</v>
      </c>
      <c r="F255" s="184" t="n">
        <f aca="false">IFERROR(VLOOKUP($B255,'Unit Cost Database'!$A:$H,8,FALSE()),0)</f>
        <v>28</v>
      </c>
      <c r="G255" s="179" t="n">
        <f aca="false">$F$7</f>
        <v>0.1</v>
      </c>
      <c r="H255" s="180" t="n">
        <f aca="false">IF(OR(D255="",F255="",D255=0,F255=0),0,D255*F255*$H$8*(1+G255)*(1+$H$7))</f>
        <v>1275120</v>
      </c>
      <c r="I255" s="177" t="s">
        <v>361</v>
      </c>
      <c r="J255" s="185" t="s">
        <v>76</v>
      </c>
    </row>
    <row r="256" customFormat="false" ht="15" hidden="false" customHeight="true" outlineLevel="1" collapsed="false">
      <c r="A256" s="176" t="n">
        <v>8</v>
      </c>
      <c r="B256" s="1" t="s">
        <v>722</v>
      </c>
      <c r="C256" s="1" t="s">
        <v>723</v>
      </c>
      <c r="D256" s="183" t="n">
        <f aca="false">$C$13</f>
        <v>440000</v>
      </c>
      <c r="E256" s="176" t="str">
        <f aca="false">IFERROR(VLOOKUP($B256,'Unit Cost Database'!$A:$H,3,FALSE()),"LS")</f>
        <v>SF</v>
      </c>
      <c r="F256" s="184" t="n">
        <f aca="false">IFERROR(VLOOKUP($B256,'Unit Cost Database'!$A:$H,8,FALSE()),0)</f>
        <v>1.4</v>
      </c>
      <c r="G256" s="179" t="n">
        <f aca="false">$F$7</f>
        <v>0.1</v>
      </c>
      <c r="H256" s="180" t="n">
        <f aca="false">IF(OR(D256="",F256="",D256=0,F256=0),0,D256*F256*$H$8*(1+G256)*(1+$H$7))</f>
        <v>701316</v>
      </c>
      <c r="I256" s="177" t="s">
        <v>361</v>
      </c>
      <c r="J256" s="185" t="s">
        <v>76</v>
      </c>
    </row>
    <row r="257" customFormat="false" ht="15" hidden="false" customHeight="true" outlineLevel="1" collapsed="false">
      <c r="A257" s="176" t="n">
        <v>9</v>
      </c>
      <c r="B257" s="1" t="s">
        <v>724</v>
      </c>
      <c r="C257" s="1" t="s">
        <v>725</v>
      </c>
      <c r="D257" s="183" t="n">
        <f aca="false">$C$13*1.5</f>
        <v>660000</v>
      </c>
      <c r="E257" s="176" t="str">
        <f aca="false">IFERROR(VLOOKUP($B257,'Unit Cost Database'!$A:$H,3,FALSE()),"LS")</f>
        <v>SF</v>
      </c>
      <c r="F257" s="184" t="n">
        <f aca="false">IFERROR(VLOOKUP($B257,'Unit Cost Database'!$A:$H,8,FALSE()),0)</f>
        <v>2.8</v>
      </c>
      <c r="G257" s="179" t="n">
        <f aca="false">$F$7</f>
        <v>0.1</v>
      </c>
      <c r="H257" s="180" t="n">
        <f aca="false">IF(OR(D257="",F257="",D257=0,F257=0),0,D257*F257*$H$8*(1+G257)*(1+$H$7))</f>
        <v>2103948</v>
      </c>
      <c r="I257" s="177" t="s">
        <v>361</v>
      </c>
      <c r="J257" s="185" t="s">
        <v>76</v>
      </c>
    </row>
    <row r="258" customFormat="false" ht="15" hidden="false" customHeight="true" outlineLevel="1" collapsed="false">
      <c r="A258" s="176" t="n">
        <v>10</v>
      </c>
      <c r="B258" s="1" t="s">
        <v>726</v>
      </c>
      <c r="C258" s="1" t="s">
        <v>727</v>
      </c>
      <c r="D258" s="183" t="n">
        <f aca="false">$C$6*0.6</f>
        <v>480000</v>
      </c>
      <c r="E258" s="176" t="str">
        <f aca="false">IFERROR(VLOOKUP($B258,'Unit Cost Database'!$A:$H,3,FALSE()),"LS")</f>
        <v>SF</v>
      </c>
      <c r="F258" s="184" t="n">
        <f aca="false">IFERROR(VLOOKUP($B258,'Unit Cost Database'!$A:$H,8,FALSE()),0)</f>
        <v>1.4</v>
      </c>
      <c r="G258" s="179" t="n">
        <f aca="false">$F$7</f>
        <v>0.1</v>
      </c>
      <c r="H258" s="180" t="n">
        <f aca="false">IF(OR(D258="",F258="",D258=0,F258=0),0,D258*F258*$H$8*(1+G258)*(1+$H$7))</f>
        <v>765072</v>
      </c>
      <c r="I258" s="177" t="s">
        <v>361</v>
      </c>
      <c r="J258" s="185" t="s">
        <v>76</v>
      </c>
    </row>
    <row r="259" customFormat="false" ht="15" hidden="false" customHeight="true" outlineLevel="1" collapsed="false">
      <c r="A259" s="176" t="n">
        <v>11</v>
      </c>
      <c r="B259" s="1" t="s">
        <v>728</v>
      </c>
      <c r="C259" s="1" t="s">
        <v>729</v>
      </c>
      <c r="D259" s="183" t="n">
        <f aca="false">$C$6*0.1</f>
        <v>80000</v>
      </c>
      <c r="E259" s="176" t="str">
        <f aca="false">IFERROR(VLOOKUP($B259,'Unit Cost Database'!$A:$H,3,FALSE()),"LS")</f>
        <v>SF</v>
      </c>
      <c r="F259" s="184" t="n">
        <f aca="false">IFERROR(VLOOKUP($B259,'Unit Cost Database'!$A:$H,8,FALSE()),0)</f>
        <v>6</v>
      </c>
      <c r="G259" s="179" t="n">
        <f aca="false">$F$7</f>
        <v>0.1</v>
      </c>
      <c r="H259" s="180" t="n">
        <f aca="false">IF(OR(D259="",F259="",D259=0,F259=0),0,D259*F259*$H$8*(1+G259)*(1+$H$7))</f>
        <v>546480</v>
      </c>
      <c r="I259" s="177" t="s">
        <v>361</v>
      </c>
      <c r="J259" s="185" t="s">
        <v>76</v>
      </c>
    </row>
    <row r="260" customFormat="false" ht="15" hidden="false" customHeight="true" outlineLevel="1" collapsed="false">
      <c r="A260" s="176" t="n">
        <v>12</v>
      </c>
      <c r="B260" s="1" t="s">
        <v>730</v>
      </c>
      <c r="C260" s="1" t="s">
        <v>731</v>
      </c>
      <c r="D260" s="183" t="n">
        <v>440000</v>
      </c>
      <c r="E260" s="176" t="str">
        <f aca="false">IFERROR(VLOOKUP($B260,'Unit Cost Database'!$A:$H,3,FALSE()),"LS")</f>
        <v>SF</v>
      </c>
      <c r="F260" s="184" t="n">
        <f aca="false">IFERROR(VLOOKUP($B260,'Unit Cost Database'!$A:$H,8,FALSE()),0)</f>
        <v>5.6</v>
      </c>
      <c r="G260" s="179" t="n">
        <f aca="false">$F$7</f>
        <v>0.1</v>
      </c>
      <c r="H260" s="180" t="n">
        <f aca="false">IF(OR(D260="",F260="",D260=0,F260=0),0,D260*F260*$H$8*(1+G260)*(1+$H$7))</f>
        <v>2805264</v>
      </c>
      <c r="I260" s="177" t="s">
        <v>361</v>
      </c>
      <c r="J260" s="185" t="s">
        <v>76</v>
      </c>
    </row>
    <row r="261" customFormat="false" ht="15" hidden="false" customHeight="true" outlineLevel="1" collapsed="false">
      <c r="A261" s="176"/>
      <c r="B261" s="1" t="s">
        <v>732</v>
      </c>
      <c r="C261" s="1" t="s">
        <v>733</v>
      </c>
      <c r="D261" s="183" t="n">
        <v>0</v>
      </c>
      <c r="E261" s="176" t="str">
        <f aca="false">IFERROR(VLOOKUP($B261,'Unit Cost Database'!$A:$H,3,FALSE()),"LS")</f>
        <v>LS</v>
      </c>
      <c r="F261" s="184" t="n">
        <f aca="false">IFERROR(VLOOKUP($B261,'Unit Cost Database'!$A:$H,8,FALSE()),0)</f>
        <v>1601600</v>
      </c>
      <c r="G261" s="179" t="n">
        <f aca="false">$F$7</f>
        <v>0.1</v>
      </c>
      <c r="H261" s="180" t="n">
        <f aca="false">IF(OR(D261="",F261="",D261=0,F261=0),0,D261*F261*$H$8*(1+G261)*(1+$H$7))</f>
        <v>0</v>
      </c>
      <c r="I261" s="177" t="s">
        <v>361</v>
      </c>
      <c r="J261" s="185" t="s">
        <v>76</v>
      </c>
    </row>
    <row r="262" customFormat="false" ht="15" hidden="false" customHeight="true" outlineLevel="1" collapsed="false">
      <c r="A262" s="176"/>
      <c r="B262" s="1" t="s">
        <v>734</v>
      </c>
      <c r="C262" s="1" t="s">
        <v>735</v>
      </c>
      <c r="D262" s="183" t="n">
        <v>0</v>
      </c>
      <c r="E262" s="176" t="str">
        <f aca="false">IFERROR(VLOOKUP($B262,'Unit Cost Database'!$A:$H,3,FALSE()),"LS")</f>
        <v>LS</v>
      </c>
      <c r="F262" s="184" t="n">
        <f aca="false">IFERROR(VLOOKUP($B262,'Unit Cost Database'!$A:$H,8,FALSE()),0)</f>
        <v>616000</v>
      </c>
      <c r="G262" s="179" t="n">
        <f aca="false">$F$7</f>
        <v>0.1</v>
      </c>
      <c r="H262" s="180" t="n">
        <f aca="false">IF(OR(D262="",F262="",D262=0,F262=0),0,D262*F262*$H$8*(1+G262)*(1+$H$7))</f>
        <v>0</v>
      </c>
      <c r="I262" s="177" t="s">
        <v>361</v>
      </c>
      <c r="J262" s="185" t="s">
        <v>76</v>
      </c>
    </row>
    <row r="263" customFormat="false" ht="15" hidden="false" customHeight="true" outlineLevel="1" collapsed="false">
      <c r="A263" s="176"/>
      <c r="B263" s="1" t="s">
        <v>736</v>
      </c>
      <c r="C263" s="1" t="s">
        <v>737</v>
      </c>
      <c r="D263" s="183" t="n">
        <v>0</v>
      </c>
      <c r="E263" s="176" t="str">
        <f aca="false">IFERROR(VLOOKUP($B263,'Unit Cost Database'!$A:$H,3,FALSE()),"LS")</f>
        <v>LS</v>
      </c>
      <c r="F263" s="184" t="n">
        <f aca="false">IFERROR(VLOOKUP($B263,'Unit Cost Database'!$A:$H,8,FALSE()),0)</f>
        <v>246400</v>
      </c>
      <c r="G263" s="179" t="n">
        <f aca="false">$F$7</f>
        <v>0.1</v>
      </c>
      <c r="H263" s="180" t="n">
        <f aca="false">IF(OR(D263="",F263="",D263=0,F263=0),0,D263*F263*$H$8*(1+G263)*(1+$H$7))</f>
        <v>0</v>
      </c>
      <c r="I263" s="177" t="s">
        <v>361</v>
      </c>
      <c r="J263" s="185" t="s">
        <v>76</v>
      </c>
    </row>
    <row r="264" customFormat="false" ht="15" hidden="false" customHeight="true" outlineLevel="1" collapsed="false">
      <c r="A264" s="176" t="n">
        <v>13</v>
      </c>
      <c r="B264" s="1" t="s">
        <v>738</v>
      </c>
      <c r="C264" s="1" t="s">
        <v>739</v>
      </c>
      <c r="D264" s="183" t="n">
        <v>18000</v>
      </c>
      <c r="E264" s="176" t="str">
        <f aca="false">IFERROR(VLOOKUP($B264,'Unit Cost Database'!$A:$H,3,FALSE()),"LS")</f>
        <v>SF</v>
      </c>
      <c r="F264" s="184" t="n">
        <f aca="false">IFERROR(VLOOKUP($B264,'Unit Cost Database'!$A:$H,8,FALSE()),0)</f>
        <v>12</v>
      </c>
      <c r="G264" s="179" t="n">
        <f aca="false">$F$7</f>
        <v>0.1</v>
      </c>
      <c r="H264" s="180" t="n">
        <f aca="false">IF(OR(D264="",F264="",D264=0,F264=0),0,D264*F264*$H$8*(1+G264)*(1+$H$7))</f>
        <v>245916</v>
      </c>
      <c r="I264" s="177" t="s">
        <v>361</v>
      </c>
      <c r="J264" s="185" t="s">
        <v>76</v>
      </c>
    </row>
    <row r="265" customFormat="false" ht="15" hidden="false" customHeight="true" outlineLevel="1" collapsed="false">
      <c r="A265" s="176" t="n">
        <v>14</v>
      </c>
      <c r="B265" s="1" t="s">
        <v>740</v>
      </c>
      <c r="C265" s="1" t="s">
        <v>741</v>
      </c>
      <c r="D265" s="183" t="n">
        <v>24000</v>
      </c>
      <c r="E265" s="176" t="str">
        <f aca="false">IFERROR(VLOOKUP($B265,'Unit Cost Database'!$A:$H,3,FALSE()),"LS")</f>
        <v>SF</v>
      </c>
      <c r="F265" s="184" t="n">
        <f aca="false">IFERROR(VLOOKUP($B265,'Unit Cost Database'!$A:$H,8,FALSE()),0)</f>
        <v>14</v>
      </c>
      <c r="G265" s="179" t="n">
        <f aca="false">$F$7</f>
        <v>0.1</v>
      </c>
      <c r="H265" s="180" t="n">
        <f aca="false">IF(OR(D265="",F265="",D265=0,F265=0),0,D265*F265*$H$8*(1+G265)*(1+$H$7))</f>
        <v>382536</v>
      </c>
      <c r="I265" s="177" t="s">
        <v>361</v>
      </c>
      <c r="J265" s="185" t="s">
        <v>76</v>
      </c>
    </row>
    <row r="266" customFormat="false" ht="15" hidden="false" customHeight="true" outlineLevel="1" collapsed="false">
      <c r="A266" s="176" t="n">
        <v>15</v>
      </c>
      <c r="B266" s="1" t="s">
        <v>742</v>
      </c>
      <c r="C266" s="1" t="s">
        <v>743</v>
      </c>
      <c r="D266" s="183" t="n">
        <v>80000</v>
      </c>
      <c r="E266" s="176" t="str">
        <f aca="false">IFERROR(VLOOKUP($B266,'Unit Cost Database'!$A:$H,3,FALSE()),"LS")</f>
        <v>SF</v>
      </c>
      <c r="F266" s="184" t="n">
        <f aca="false">IFERROR(VLOOKUP($B266,'Unit Cost Database'!$A:$H,8,FALSE()),0)</f>
        <v>9</v>
      </c>
      <c r="G266" s="179" t="n">
        <f aca="false">$F$7</f>
        <v>0.1</v>
      </c>
      <c r="H266" s="180" t="n">
        <f aca="false">IF(OR(D266="",F266="",D266=0,F266=0),0,D266*F266*$H$8*(1+G266)*(1+$H$7))</f>
        <v>819720</v>
      </c>
      <c r="I266" s="177" t="s">
        <v>361</v>
      </c>
      <c r="J266" s="185" t="s">
        <v>76</v>
      </c>
    </row>
    <row r="267" customFormat="false" ht="15" hidden="false" customHeight="true" outlineLevel="1" collapsed="false">
      <c r="A267" s="176" t="n">
        <v>16</v>
      </c>
      <c r="B267" s="1" t="s">
        <v>744</v>
      </c>
      <c r="C267" s="1" t="s">
        <v>745</v>
      </c>
      <c r="D267" s="183" t="n">
        <v>60000</v>
      </c>
      <c r="E267" s="176" t="str">
        <f aca="false">IFERROR(VLOOKUP($B267,'Unit Cost Database'!$A:$H,3,FALSE()),"LS")</f>
        <v>SF</v>
      </c>
      <c r="F267" s="184" t="n">
        <f aca="false">IFERROR(VLOOKUP($B267,'Unit Cost Database'!$A:$H,8,FALSE()),0)</f>
        <v>9</v>
      </c>
      <c r="G267" s="179" t="n">
        <f aca="false">$F$7</f>
        <v>0.1</v>
      </c>
      <c r="H267" s="180" t="n">
        <f aca="false">IF(OR(D267="",F267="",D267=0,F267=0),0,D267*F267*$H$8*(1+G267)*(1+$H$7))</f>
        <v>614790</v>
      </c>
      <c r="I267" s="177" t="s">
        <v>361</v>
      </c>
      <c r="J267" s="185" t="s">
        <v>76</v>
      </c>
    </row>
    <row r="268" customFormat="false" ht="15" hidden="false" customHeight="true" outlineLevel="1" collapsed="false">
      <c r="A268" s="176" t="n">
        <v>17</v>
      </c>
      <c r="B268" s="1" t="s">
        <v>746</v>
      </c>
      <c r="C268" s="1" t="s">
        <v>747</v>
      </c>
      <c r="D268" s="183" t="n">
        <v>38000</v>
      </c>
      <c r="E268" s="176" t="str">
        <f aca="false">IFERROR(VLOOKUP($B268,'Unit Cost Database'!$A:$H,3,FALSE()),"LS")</f>
        <v>LF</v>
      </c>
      <c r="F268" s="184" t="n">
        <f aca="false">IFERROR(VLOOKUP($B268,'Unit Cost Database'!$A:$H,8,FALSE()),0)</f>
        <v>6</v>
      </c>
      <c r="G268" s="179" t="n">
        <f aca="false">$F$7</f>
        <v>0.1</v>
      </c>
      <c r="H268" s="180" t="n">
        <f aca="false">IF(OR(D268="",F268="",D268=0,F268=0),0,D268*F268*$H$8*(1+G268)*(1+$H$7))</f>
        <v>259578</v>
      </c>
      <c r="I268" s="177" t="s">
        <v>361</v>
      </c>
      <c r="J268" s="185" t="s">
        <v>76</v>
      </c>
    </row>
    <row r="269" customFormat="false" ht="15" hidden="false" customHeight="true" outlineLevel="1" collapsed="false">
      <c r="A269" s="176" t="n">
        <v>18</v>
      </c>
      <c r="B269" s="1" t="s">
        <v>748</v>
      </c>
      <c r="C269" s="1" t="s">
        <v>749</v>
      </c>
      <c r="D269" s="183" t="n">
        <v>120000</v>
      </c>
      <c r="E269" s="176" t="str">
        <f aca="false">IFERROR(VLOOKUP($B269,'Unit Cost Database'!$A:$H,3,FALSE()),"LS")</f>
        <v>SF</v>
      </c>
      <c r="F269" s="184" t="n">
        <f aca="false">IFERROR(VLOOKUP($B269,'Unit Cost Database'!$A:$H,8,FALSE()),0)</f>
        <v>6</v>
      </c>
      <c r="G269" s="179" t="n">
        <f aca="false">$F$7</f>
        <v>0.1</v>
      </c>
      <c r="H269" s="180" t="n">
        <f aca="false">IF(OR(D269="",F269="",D269=0,F269=0),0,D269*F269*$H$8*(1+G269)*(1+$H$7))</f>
        <v>819720</v>
      </c>
      <c r="I269" s="177" t="s">
        <v>361</v>
      </c>
      <c r="J269" s="185" t="s">
        <v>76</v>
      </c>
    </row>
    <row r="270" customFormat="false" ht="15" hidden="false" customHeight="true" outlineLevel="1" collapsed="false">
      <c r="A270" s="176" t="n">
        <v>19</v>
      </c>
      <c r="B270" s="1" t="s">
        <v>750</v>
      </c>
      <c r="C270" s="1" t="s">
        <v>751</v>
      </c>
      <c r="D270" s="183" t="n">
        <v>80000</v>
      </c>
      <c r="E270" s="176" t="str">
        <f aca="false">IFERROR(VLOOKUP($B270,'Unit Cost Database'!$A:$H,3,FALSE()),"LS")</f>
        <v>SF</v>
      </c>
      <c r="F270" s="184" t="n">
        <f aca="false">IFERROR(VLOOKUP($B270,'Unit Cost Database'!$A:$H,8,FALSE()),0)</f>
        <v>4</v>
      </c>
      <c r="G270" s="179" t="n">
        <f aca="false">$F$7</f>
        <v>0.1</v>
      </c>
      <c r="H270" s="180" t="n">
        <f aca="false">IF(OR(D270="",F270="",D270=0,F270=0),0,D270*F270*$H$8*(1+G270)*(1+$H$7))</f>
        <v>364320</v>
      </c>
      <c r="I270" s="177" t="s">
        <v>361</v>
      </c>
      <c r="J270" s="185" t="s">
        <v>76</v>
      </c>
    </row>
    <row r="271" customFormat="false" ht="15" hidden="false" customHeight="true" outlineLevel="1" collapsed="false">
      <c r="A271" s="176" t="n">
        <v>20</v>
      </c>
      <c r="B271" s="1" t="s">
        <v>752</v>
      </c>
      <c r="C271" s="1" t="s">
        <v>753</v>
      </c>
      <c r="D271" s="183" t="n">
        <v>120000</v>
      </c>
      <c r="E271" s="176" t="str">
        <f aca="false">IFERROR(VLOOKUP($B271,'Unit Cost Database'!$A:$H,3,FALSE()),"LS")</f>
        <v>SF</v>
      </c>
      <c r="F271" s="184" t="n">
        <f aca="false">IFERROR(VLOOKUP($B271,'Unit Cost Database'!$A:$H,8,FALSE()),0)</f>
        <v>9</v>
      </c>
      <c r="G271" s="179" t="n">
        <f aca="false">$F$7</f>
        <v>0.1</v>
      </c>
      <c r="H271" s="180" t="n">
        <f aca="false">IF(OR(D271="",F271="",D271=0,F271=0),0,D271*F271*$H$8*(1+G271)*(1+$H$7))</f>
        <v>1229580</v>
      </c>
      <c r="I271" s="177" t="s">
        <v>361</v>
      </c>
      <c r="J271" s="185" t="s">
        <v>76</v>
      </c>
    </row>
    <row r="272" customFormat="false" ht="15" hidden="false" customHeight="true" outlineLevel="1" collapsed="false">
      <c r="A272" s="186"/>
      <c r="B272" s="187"/>
      <c r="C272" s="188" t="s">
        <v>754</v>
      </c>
      <c r="D272" s="189"/>
      <c r="E272" s="186"/>
      <c r="F272" s="190"/>
      <c r="G272" s="191"/>
      <c r="H272" s="192" t="n">
        <f aca="false">SUM(H242:H271)</f>
        <v>33189552</v>
      </c>
      <c r="I272" s="187"/>
      <c r="J272" s="187"/>
    </row>
    <row r="273" customFormat="false" ht="15" hidden="false" customHeight="true" outlineLevel="1" collapsed="false">
      <c r="A273" s="176"/>
      <c r="D273" s="177"/>
      <c r="E273" s="176"/>
      <c r="F273" s="178"/>
      <c r="G273" s="179"/>
      <c r="H273" s="180"/>
    </row>
    <row r="274" customFormat="false" ht="15" hidden="false" customHeight="true" outlineLevel="1" collapsed="false">
      <c r="A274" s="193" t="s">
        <v>755</v>
      </c>
      <c r="B274" s="193"/>
      <c r="C274" s="193"/>
      <c r="D274" s="193"/>
      <c r="E274" s="193"/>
      <c r="F274" s="193"/>
      <c r="G274" s="193"/>
      <c r="H274" s="193"/>
      <c r="I274" s="182"/>
      <c r="J274" s="182" t="s">
        <v>76</v>
      </c>
    </row>
    <row r="275" customFormat="false" ht="15" hidden="false" customHeight="true" outlineLevel="1" collapsed="false">
      <c r="A275" s="176" t="n">
        <v>1</v>
      </c>
      <c r="B275" s="1" t="s">
        <v>756</v>
      </c>
      <c r="C275" s="1" t="s">
        <v>757</v>
      </c>
      <c r="D275" s="183" t="n">
        <f aca="false">$C$6/5000</f>
        <v>160</v>
      </c>
      <c r="E275" s="176" t="str">
        <f aca="false">IFERROR(VLOOKUP($B275,'Unit Cost Database'!$A:$H,3,FALSE()),"LS")</f>
        <v>EA</v>
      </c>
      <c r="F275" s="184" t="n">
        <f aca="false">IFERROR(VLOOKUP($B275,'Unit Cost Database'!$A:$H,8,FALSE()),0)</f>
        <v>1050</v>
      </c>
      <c r="G275" s="179" t="n">
        <f aca="false">$F$7</f>
        <v>0.1</v>
      </c>
      <c r="H275" s="180" t="n">
        <f aca="false">IF(OR(D275="",F275="",D275=0,F275=0),0,D275*F275*$H$8*(1+G275)*(1+$H$7))</f>
        <v>191268</v>
      </c>
      <c r="I275" s="177" t="s">
        <v>361</v>
      </c>
      <c r="J275" s="185" t="s">
        <v>76</v>
      </c>
    </row>
    <row r="276" customFormat="false" ht="15" hidden="false" customHeight="true" outlineLevel="1" collapsed="false">
      <c r="A276" s="176" t="n">
        <v>2</v>
      </c>
      <c r="B276" s="1" t="s">
        <v>758</v>
      </c>
      <c r="C276" s="1" t="s">
        <v>759</v>
      </c>
      <c r="D276" s="183" t="n">
        <f aca="false">3</f>
        <v>3</v>
      </c>
      <c r="E276" s="176" t="str">
        <f aca="false">IFERROR(VLOOKUP($B276,'Unit Cost Database'!$A:$H,3,FALSE()),"LS")</f>
        <v>EA</v>
      </c>
      <c r="F276" s="184" t="n">
        <f aca="false">IFERROR(VLOOKUP($B276,'Unit Cost Database'!$A:$H,8,FALSE()),0)</f>
        <v>17500</v>
      </c>
      <c r="G276" s="179" t="n">
        <f aca="false">$F$7</f>
        <v>0.1</v>
      </c>
      <c r="H276" s="180" t="n">
        <f aca="false">IF(OR(D276="",F276="",D276=0,F276=0),0,D276*F276*$H$8*(1+G276)*(1+$H$7))</f>
        <v>59771.25</v>
      </c>
      <c r="I276" s="177" t="s">
        <v>361</v>
      </c>
      <c r="J276" s="185" t="s">
        <v>76</v>
      </c>
    </row>
    <row r="277" customFormat="false" ht="15" hidden="false" customHeight="true" outlineLevel="1" collapsed="false">
      <c r="A277" s="176" t="n">
        <v>3</v>
      </c>
      <c r="B277" s="1" t="s">
        <v>760</v>
      </c>
      <c r="C277" s="1" t="s">
        <v>761</v>
      </c>
      <c r="D277" s="183" t="n">
        <f aca="false">$C$6/2000</f>
        <v>400</v>
      </c>
      <c r="E277" s="176" t="str">
        <f aca="false">IFERROR(VLOOKUP($B277,'Unit Cost Database'!$A:$H,3,FALSE()),"LS")</f>
        <v>EA</v>
      </c>
      <c r="F277" s="184" t="n">
        <f aca="false">IFERROR(VLOOKUP($B277,'Unit Cost Database'!$A:$H,8,FALSE()),0)</f>
        <v>175</v>
      </c>
      <c r="G277" s="179" t="n">
        <f aca="false">$F$7</f>
        <v>0.1</v>
      </c>
      <c r="H277" s="180" t="n">
        <f aca="false">IF(OR(D277="",F277="",D277=0,F277=0),0,D277*F277*$H$8*(1+G277)*(1+$H$7))</f>
        <v>79695</v>
      </c>
      <c r="I277" s="177" t="s">
        <v>361</v>
      </c>
      <c r="J277" s="185" t="s">
        <v>76</v>
      </c>
    </row>
    <row r="278" customFormat="false" ht="15" hidden="false" customHeight="true" outlineLevel="1" collapsed="false">
      <c r="A278" s="176" t="n">
        <v>4</v>
      </c>
      <c r="B278" s="1" t="s">
        <v>762</v>
      </c>
      <c r="C278" s="1" t="s">
        <v>763</v>
      </c>
      <c r="D278" s="183" t="n">
        <f aca="false">$C$6/10000</f>
        <v>80</v>
      </c>
      <c r="E278" s="176" t="str">
        <f aca="false">IFERROR(VLOOKUP($B278,'Unit Cost Database'!$A:$H,3,FALSE()),"LS")</f>
        <v>EA</v>
      </c>
      <c r="F278" s="184" t="n">
        <f aca="false">IFERROR(VLOOKUP($B278,'Unit Cost Database'!$A:$H,8,FALSE()),0)</f>
        <v>3150</v>
      </c>
      <c r="G278" s="179" t="n">
        <f aca="false">$F$7</f>
        <v>0.1</v>
      </c>
      <c r="H278" s="180" t="n">
        <f aca="false">IF(OR(D278="",F278="",D278=0,F278=0),0,D278*F278*$H$8*(1+G278)*(1+$H$7))</f>
        <v>286902</v>
      </c>
      <c r="I278" s="177" t="s">
        <v>361</v>
      </c>
      <c r="J278" s="185" t="s">
        <v>76</v>
      </c>
    </row>
    <row r="279" customFormat="false" ht="15" hidden="false" customHeight="true" outlineLevel="1" collapsed="false">
      <c r="A279" s="176" t="n">
        <v>5</v>
      </c>
      <c r="B279" s="1" t="s">
        <v>764</v>
      </c>
      <c r="C279" s="1" t="s">
        <v>765</v>
      </c>
      <c r="D279" s="183" t="n">
        <f aca="false">$C$6/500</f>
        <v>1600</v>
      </c>
      <c r="E279" s="176" t="str">
        <f aca="false">IFERROR(VLOOKUP($B279,'Unit Cost Database'!$A:$H,3,FALSE()),"LS")</f>
        <v>LF</v>
      </c>
      <c r="F279" s="184" t="n">
        <f aca="false">IFERROR(VLOOKUP($B279,'Unit Cost Database'!$A:$H,8,FALSE()),0)</f>
        <v>24.5</v>
      </c>
      <c r="G279" s="179" t="n">
        <f aca="false">$F$7</f>
        <v>0.1</v>
      </c>
      <c r="H279" s="180" t="n">
        <f aca="false">IF(OR(D279="",F279="",D279=0,F279=0),0,D279*F279*$H$8*(1+G279)*(1+$H$7))</f>
        <v>44629.2</v>
      </c>
      <c r="I279" s="177" t="s">
        <v>361</v>
      </c>
      <c r="J279" s="185" t="s">
        <v>76</v>
      </c>
    </row>
    <row r="280" customFormat="false" ht="15" hidden="false" customHeight="true" outlineLevel="1" collapsed="false">
      <c r="A280" s="176" t="n">
        <v>6</v>
      </c>
      <c r="B280" s="1" t="s">
        <v>766</v>
      </c>
      <c r="C280" s="1" t="s">
        <v>767</v>
      </c>
      <c r="D280" s="183" t="n">
        <f aca="false">$C$6/5000</f>
        <v>160</v>
      </c>
      <c r="E280" s="176" t="str">
        <f aca="false">IFERROR(VLOOKUP($B280,'Unit Cost Database'!$A:$H,3,FALSE()),"LS")</f>
        <v>EA</v>
      </c>
      <c r="F280" s="184" t="n">
        <f aca="false">IFERROR(VLOOKUP($B280,'Unit Cost Database'!$A:$H,8,FALSE()),0)</f>
        <v>840</v>
      </c>
      <c r="G280" s="179" t="n">
        <f aca="false">$F$7</f>
        <v>0.1</v>
      </c>
      <c r="H280" s="180" t="n">
        <f aca="false">IF(OR(D280="",F280="",D280=0,F280=0),0,D280*F280*$H$8*(1+G280)*(1+$H$7))</f>
        <v>153014.4</v>
      </c>
      <c r="I280" s="177" t="s">
        <v>361</v>
      </c>
      <c r="J280" s="185" t="s">
        <v>76</v>
      </c>
    </row>
    <row r="281" customFormat="false" ht="15" hidden="false" customHeight="true" outlineLevel="1" collapsed="false">
      <c r="A281" s="176" t="n">
        <v>7</v>
      </c>
      <c r="B281" s="1" t="s">
        <v>768</v>
      </c>
      <c r="C281" s="1" t="s">
        <v>769</v>
      </c>
      <c r="D281" s="183" t="n">
        <f aca="false">$C$6/3000</f>
        <v>266.666666666667</v>
      </c>
      <c r="E281" s="176" t="str">
        <f aca="false">IFERROR(VLOOKUP($B281,'Unit Cost Database'!$A:$H,3,FALSE()),"LS")</f>
        <v>EA</v>
      </c>
      <c r="F281" s="184" t="n">
        <f aca="false">IFERROR(VLOOKUP($B281,'Unit Cost Database'!$A:$H,8,FALSE()),0)</f>
        <v>350</v>
      </c>
      <c r="G281" s="179" t="n">
        <f aca="false">$F$7</f>
        <v>0.1</v>
      </c>
      <c r="H281" s="180" t="n">
        <f aca="false">IF(OR(D281="",F281="",D281=0,F281=0),0,D281*F281*$H$8*(1+G281)*(1+$H$7))</f>
        <v>106260</v>
      </c>
      <c r="I281" s="177" t="s">
        <v>361</v>
      </c>
      <c r="J281" s="185" t="s">
        <v>76</v>
      </c>
    </row>
    <row r="282" customFormat="false" ht="15" hidden="false" customHeight="true" outlineLevel="1" collapsed="false">
      <c r="A282" s="176" t="n">
        <v>8</v>
      </c>
      <c r="B282" s="1" t="s">
        <v>770</v>
      </c>
      <c r="C282" s="1" t="s">
        <v>771</v>
      </c>
      <c r="D282" s="183" t="n">
        <f aca="false">1</f>
        <v>1</v>
      </c>
      <c r="E282" s="176" t="str">
        <f aca="false">IFERROR(VLOOKUP($B282,'Unit Cost Database'!$A:$H,3,FALSE()),"LS")</f>
        <v>LS</v>
      </c>
      <c r="F282" s="184" t="n">
        <f aca="false">IFERROR(VLOOKUP($B282,'Unit Cost Database'!$A:$H,8,FALSE()),0)</f>
        <v>17500</v>
      </c>
      <c r="G282" s="179" t="n">
        <f aca="false">$F$7</f>
        <v>0.1</v>
      </c>
      <c r="H282" s="180" t="n">
        <f aca="false">IF(OR(D282="",F282="",D282=0,F282=0),0,D282*F282*$H$8*(1+G282)*(1+$H$7))</f>
        <v>19923.75</v>
      </c>
      <c r="I282" s="177" t="s">
        <v>361</v>
      </c>
      <c r="J282" s="185" t="s">
        <v>76</v>
      </c>
    </row>
    <row r="283" customFormat="false" ht="15" hidden="false" customHeight="true" outlineLevel="1" collapsed="false">
      <c r="A283" s="176" t="n">
        <v>9</v>
      </c>
      <c r="B283" s="1" t="s">
        <v>772</v>
      </c>
      <c r="C283" s="1" t="s">
        <v>773</v>
      </c>
      <c r="D283" s="183" t="n">
        <f aca="false">20</f>
        <v>20</v>
      </c>
      <c r="E283" s="176" t="str">
        <f aca="false">IFERROR(VLOOKUP($B283,'Unit Cost Database'!$A:$H,3,FALSE()),"LS")</f>
        <v>EA</v>
      </c>
      <c r="F283" s="184" t="n">
        <f aca="false">IFERROR(VLOOKUP($B283,'Unit Cost Database'!$A:$H,8,FALSE()),0)</f>
        <v>3500</v>
      </c>
      <c r="G283" s="179" t="n">
        <f aca="false">$F$7</f>
        <v>0.1</v>
      </c>
      <c r="H283" s="180" t="n">
        <f aca="false">IF(OR(D283="",F283="",D283=0,F283=0),0,D283*F283*$H$8*(1+G283)*(1+$H$7))</f>
        <v>79695</v>
      </c>
      <c r="I283" s="177" t="s">
        <v>361</v>
      </c>
      <c r="J283" s="185" t="s">
        <v>76</v>
      </c>
    </row>
    <row r="284" customFormat="false" ht="15" hidden="false" customHeight="true" outlineLevel="1" collapsed="false">
      <c r="A284" s="176" t="n">
        <v>10</v>
      </c>
      <c r="B284" s="1" t="s">
        <v>774</v>
      </c>
      <c r="C284" s="1" t="s">
        <v>775</v>
      </c>
      <c r="D284" s="183" t="n">
        <f aca="false">3</f>
        <v>3</v>
      </c>
      <c r="E284" s="176" t="str">
        <f aca="false">IFERROR(VLOOKUP($B284,'Unit Cost Database'!$A:$H,3,FALSE()),"LS")</f>
        <v>EA</v>
      </c>
      <c r="F284" s="184" t="n">
        <f aca="false">IFERROR(VLOOKUP($B284,'Unit Cost Database'!$A:$H,8,FALSE()),0)</f>
        <v>5950</v>
      </c>
      <c r="G284" s="179" t="n">
        <f aca="false">$F$7</f>
        <v>0.1</v>
      </c>
      <c r="H284" s="180" t="n">
        <f aca="false">IF(OR(D284="",F284="",D284=0,F284=0),0,D284*F284*$H$8*(1+G284)*(1+$H$7))</f>
        <v>20322.225</v>
      </c>
      <c r="I284" s="177" t="s">
        <v>361</v>
      </c>
      <c r="J284" s="185" t="s">
        <v>76</v>
      </c>
    </row>
    <row r="285" customFormat="false" ht="15" hidden="false" customHeight="true" outlineLevel="0" collapsed="false">
      <c r="A285" s="176" t="n">
        <v>11</v>
      </c>
      <c r="B285" s="1" t="s">
        <v>776</v>
      </c>
      <c r="C285" s="1" t="s">
        <v>777</v>
      </c>
      <c r="D285" s="183" t="n">
        <v>120</v>
      </c>
      <c r="E285" s="176" t="str">
        <f aca="false">IFERROR(VLOOKUP($B285,'Unit Cost Database'!$A:$H,3,FALSE()),"LS")</f>
        <v>EA</v>
      </c>
      <c r="F285" s="184" t="n">
        <f aca="false">IFERROR(VLOOKUP($B285,'Unit Cost Database'!$A:$H,8,FALSE()),0)</f>
        <v>280</v>
      </c>
      <c r="G285" s="179" t="n">
        <f aca="false">$F$7</f>
        <v>0.1</v>
      </c>
      <c r="H285" s="180" t="n">
        <f aca="false">IF(OR(D285="",F285="",D285=0,F285=0),0,D285*F285*$H$8*(1+G285)*(1+$H$7))</f>
        <v>38253.6</v>
      </c>
      <c r="I285" s="177" t="s">
        <v>361</v>
      </c>
      <c r="J285" s="185" t="s">
        <v>76</v>
      </c>
    </row>
    <row r="286" customFormat="false" ht="15" hidden="false" customHeight="true" outlineLevel="0" collapsed="false">
      <c r="A286" s="176" t="n">
        <v>12</v>
      </c>
      <c r="B286" s="1" t="s">
        <v>778</v>
      </c>
      <c r="C286" s="1" t="s">
        <v>779</v>
      </c>
      <c r="D286" s="183" t="n">
        <v>18000</v>
      </c>
      <c r="E286" s="176" t="str">
        <f aca="false">IFERROR(VLOOKUP($B286,'Unit Cost Database'!$A:$H,3,FALSE()),"LS")</f>
        <v>LF</v>
      </c>
      <c r="F286" s="184" t="n">
        <f aca="false">IFERROR(VLOOKUP($B286,'Unit Cost Database'!$A:$H,8,FALSE()),0)</f>
        <v>28</v>
      </c>
      <c r="G286" s="179" t="n">
        <f aca="false">$F$7</f>
        <v>0.1</v>
      </c>
      <c r="H286" s="180" t="n">
        <f aca="false">IF(OR(D286="",F286="",D286=0,F286=0),0,D286*F286*$H$8*(1+G286)*(1+$H$7))</f>
        <v>573804</v>
      </c>
      <c r="I286" s="177" t="s">
        <v>361</v>
      </c>
      <c r="J286" s="185" t="s">
        <v>76</v>
      </c>
    </row>
    <row r="287" customFormat="false" ht="15" hidden="false" customHeight="true" outlineLevel="0" collapsed="false">
      <c r="A287" s="176" t="n">
        <v>13</v>
      </c>
      <c r="B287" s="1" t="s">
        <v>780</v>
      </c>
      <c r="C287" s="1" t="s">
        <v>781</v>
      </c>
      <c r="D287" s="183" t="n">
        <v>16000</v>
      </c>
      <c r="E287" s="176" t="str">
        <f aca="false">IFERROR(VLOOKUP($B287,'Unit Cost Database'!$A:$H,3,FALSE()),"LS")</f>
        <v>SF</v>
      </c>
      <c r="F287" s="184" t="n">
        <f aca="false">IFERROR(VLOOKUP($B287,'Unit Cost Database'!$A:$H,8,FALSE()),0)</f>
        <v>65</v>
      </c>
      <c r="G287" s="179" t="n">
        <f aca="false">$F$7</f>
        <v>0.1</v>
      </c>
      <c r="H287" s="180" t="n">
        <f aca="false">IF(OR(D287="",F287="",D287=0,F287=0),0,D287*F287*$H$8*(1+G287)*(1+$H$7))</f>
        <v>1184040</v>
      </c>
      <c r="I287" s="177" t="s">
        <v>361</v>
      </c>
      <c r="J287" s="185" t="s">
        <v>76</v>
      </c>
    </row>
    <row r="288" customFormat="false" ht="15" hidden="false" customHeight="true" outlineLevel="1" collapsed="false">
      <c r="A288" s="176" t="n">
        <v>14</v>
      </c>
      <c r="B288" s="1" t="s">
        <v>782</v>
      </c>
      <c r="C288" s="1" t="s">
        <v>783</v>
      </c>
      <c r="D288" s="183" t="n">
        <v>180</v>
      </c>
      <c r="E288" s="176" t="str">
        <f aca="false">IFERROR(VLOOKUP($B288,'Unit Cost Database'!$A:$H,3,FALSE()),"LS")</f>
        <v>EA</v>
      </c>
      <c r="F288" s="184" t="n">
        <f aca="false">IFERROR(VLOOKUP($B288,'Unit Cost Database'!$A:$H,8,FALSE()),0)</f>
        <v>480</v>
      </c>
      <c r="G288" s="179" t="n">
        <f aca="false">$F$7</f>
        <v>0.1</v>
      </c>
      <c r="H288" s="180" t="n">
        <f aca="false">IF(OR(D288="",F288="",D288=0,F288=0),0,D288*F288*$H$8*(1+G288)*(1+$H$7))</f>
        <v>98366.4</v>
      </c>
      <c r="I288" s="177" t="s">
        <v>361</v>
      </c>
      <c r="J288" s="185" t="s">
        <v>76</v>
      </c>
    </row>
    <row r="289" customFormat="false" ht="15" hidden="false" customHeight="true" outlineLevel="1" collapsed="false">
      <c r="A289" s="176" t="n">
        <v>15</v>
      </c>
      <c r="B289" s="1" t="s">
        <v>784</v>
      </c>
      <c r="C289" s="1" t="s">
        <v>785</v>
      </c>
      <c r="D289" s="183" t="n">
        <v>12000</v>
      </c>
      <c r="E289" s="176" t="str">
        <f aca="false">IFERROR(VLOOKUP($B289,'Unit Cost Database'!$A:$H,3,FALSE()),"LS")</f>
        <v>SF</v>
      </c>
      <c r="F289" s="184" t="n">
        <f aca="false">IFERROR(VLOOKUP($B289,'Unit Cost Database'!$A:$H,8,FALSE()),0)</f>
        <v>65</v>
      </c>
      <c r="G289" s="179" t="n">
        <f aca="false">$F$7</f>
        <v>0.1</v>
      </c>
      <c r="H289" s="180" t="n">
        <f aca="false">IF(OR(D289="",F289="",D289=0,F289=0),0,D289*F289*$H$8*(1+G289)*(1+$H$7))</f>
        <v>888030</v>
      </c>
      <c r="I289" s="177" t="s">
        <v>361</v>
      </c>
      <c r="J289" s="185" t="s">
        <v>76</v>
      </c>
    </row>
    <row r="290" customFormat="false" ht="15" hidden="false" customHeight="true" outlineLevel="1" collapsed="false">
      <c r="A290" s="176" t="n">
        <v>16</v>
      </c>
      <c r="B290" s="1" t="s">
        <v>786</v>
      </c>
      <c r="C290" s="1" t="s">
        <v>767</v>
      </c>
      <c r="D290" s="183" t="n">
        <v>280</v>
      </c>
      <c r="E290" s="176" t="str">
        <f aca="false">IFERROR(VLOOKUP($B290,'Unit Cost Database'!$A:$H,3,FALSE()),"LS")</f>
        <v>EA</v>
      </c>
      <c r="F290" s="184" t="n">
        <f aca="false">IFERROR(VLOOKUP($B290,'Unit Cost Database'!$A:$H,8,FALSE()),0)</f>
        <v>220</v>
      </c>
      <c r="G290" s="179" t="n">
        <f aca="false">$F$7</f>
        <v>0.1</v>
      </c>
      <c r="H290" s="180" t="n">
        <f aca="false">IF(OR(D290="",F290="",D290=0,F290=0),0,D290*F290*$H$8*(1+G290)*(1+$H$7))</f>
        <v>70131.6</v>
      </c>
      <c r="I290" s="177" t="s">
        <v>361</v>
      </c>
      <c r="J290" s="185" t="s">
        <v>76</v>
      </c>
    </row>
    <row r="291" customFormat="false" ht="15" hidden="false" customHeight="true" outlineLevel="1" collapsed="false">
      <c r="A291" s="176" t="n">
        <v>17</v>
      </c>
      <c r="B291" s="1" t="s">
        <v>787</v>
      </c>
      <c r="C291" s="1" t="s">
        <v>788</v>
      </c>
      <c r="D291" s="183" t="n">
        <v>120</v>
      </c>
      <c r="E291" s="176" t="str">
        <f aca="false">IFERROR(VLOOKUP($B291,'Unit Cost Database'!$A:$H,3,FALSE()),"LS")</f>
        <v>EA</v>
      </c>
      <c r="F291" s="184" t="n">
        <f aca="false">IFERROR(VLOOKUP($B291,'Unit Cost Database'!$A:$H,8,FALSE()),0)</f>
        <v>850</v>
      </c>
      <c r="G291" s="179" t="n">
        <f aca="false">$F$7</f>
        <v>0.1</v>
      </c>
      <c r="H291" s="180" t="n">
        <f aca="false">IF(OR(D291="",F291="",D291=0,F291=0),0,D291*F291*$H$8*(1+G291)*(1+$H$7))</f>
        <v>116127</v>
      </c>
      <c r="I291" s="177" t="s">
        <v>361</v>
      </c>
      <c r="J291" s="185" t="s">
        <v>76</v>
      </c>
    </row>
    <row r="292" customFormat="false" ht="15" hidden="false" customHeight="true" outlineLevel="1" collapsed="false">
      <c r="A292" s="186"/>
      <c r="B292" s="187"/>
      <c r="C292" s="188" t="s">
        <v>789</v>
      </c>
      <c r="D292" s="189"/>
      <c r="E292" s="186"/>
      <c r="F292" s="190"/>
      <c r="G292" s="191"/>
      <c r="H292" s="192" t="n">
        <f aca="false">SUM(H275:H291)</f>
        <v>4010233.425</v>
      </c>
      <c r="I292" s="187"/>
      <c r="J292" s="187"/>
    </row>
    <row r="293" customFormat="false" ht="15" hidden="false" customHeight="true" outlineLevel="1" collapsed="false">
      <c r="A293" s="176"/>
      <c r="D293" s="177"/>
      <c r="E293" s="176"/>
      <c r="F293" s="178"/>
      <c r="G293" s="179"/>
      <c r="H293" s="180"/>
    </row>
    <row r="294" customFormat="false" ht="15" hidden="false" customHeight="true" outlineLevel="1" collapsed="false">
      <c r="A294" s="193" t="s">
        <v>790</v>
      </c>
      <c r="B294" s="193"/>
      <c r="C294" s="193"/>
      <c r="D294" s="193"/>
      <c r="E294" s="193"/>
      <c r="F294" s="193"/>
      <c r="G294" s="193"/>
      <c r="H294" s="193"/>
      <c r="I294" s="182"/>
      <c r="J294" s="182" t="s">
        <v>76</v>
      </c>
    </row>
    <row r="295" customFormat="false" ht="15" hidden="false" customHeight="true" outlineLevel="1" collapsed="false">
      <c r="A295" s="176" t="n">
        <v>1</v>
      </c>
      <c r="B295" s="1" t="s">
        <v>791</v>
      </c>
      <c r="C295" s="1" t="s">
        <v>792</v>
      </c>
      <c r="D295" s="183" t="n">
        <v>9</v>
      </c>
      <c r="E295" s="176" t="str">
        <f aca="false">IFERROR(VLOOKUP($B295,'Unit Cost Database'!$A:$H,3,FALSE()),"LS")</f>
        <v>EA</v>
      </c>
      <c r="F295" s="184" t="n">
        <f aca="false">IFERROR(VLOOKUP($B295,'Unit Cost Database'!$A:$H,8,FALSE()),0)</f>
        <v>14000</v>
      </c>
      <c r="G295" s="179" t="n">
        <f aca="false">$F$7</f>
        <v>0.1</v>
      </c>
      <c r="H295" s="180" t="n">
        <f aca="false">IF(OR(D295="",F295="",D295=0,F295=0),0,D295*F295*$H$8*(1+G295)*(1+$H$7))</f>
        <v>143451</v>
      </c>
      <c r="I295" s="177" t="s">
        <v>361</v>
      </c>
      <c r="J295" s="185" t="s">
        <v>76</v>
      </c>
    </row>
    <row r="296" customFormat="false" ht="15" hidden="false" customHeight="true" outlineLevel="1" collapsed="false">
      <c r="A296" s="176" t="n">
        <v>2</v>
      </c>
      <c r="B296" s="1" t="s">
        <v>793</v>
      </c>
      <c r="C296" s="1" t="s">
        <v>794</v>
      </c>
      <c r="D296" s="183" t="n">
        <v>6</v>
      </c>
      <c r="E296" s="176" t="str">
        <f aca="false">IFERROR(VLOOKUP($B296,'Unit Cost Database'!$A:$H,3,FALSE()),"LS")</f>
        <v>EA</v>
      </c>
      <c r="F296" s="184" t="n">
        <f aca="false">IFERROR(VLOOKUP($B296,'Unit Cost Database'!$A:$H,8,FALSE()),0)</f>
        <v>28000</v>
      </c>
      <c r="G296" s="179" t="n">
        <f aca="false">$F$7</f>
        <v>0.1</v>
      </c>
      <c r="H296" s="180" t="n">
        <f aca="false">IF(OR(D296="",F296="",D296=0,F296=0),0,D296*F296*$H$8*(1+G296)*(1+$H$7))</f>
        <v>191268</v>
      </c>
      <c r="I296" s="177" t="s">
        <v>361</v>
      </c>
      <c r="J296" s="185" t="s">
        <v>76</v>
      </c>
    </row>
    <row r="297" customFormat="false" ht="15" hidden="false" customHeight="true" outlineLevel="1" collapsed="false">
      <c r="A297" s="176" t="n">
        <v>3</v>
      </c>
      <c r="B297" s="1" t="s">
        <v>795</v>
      </c>
      <c r="C297" s="1" t="s">
        <v>796</v>
      </c>
      <c r="D297" s="183" t="n">
        <v>1</v>
      </c>
      <c r="E297" s="176" t="str">
        <f aca="false">IFERROR(VLOOKUP($B297,'Unit Cost Database'!$A:$H,3,FALSE()),"LS")</f>
        <v>LS</v>
      </c>
      <c r="F297" s="184" t="n">
        <f aca="false">IFERROR(VLOOKUP($B297,'Unit Cost Database'!$A:$H,8,FALSE()),0)</f>
        <v>60000</v>
      </c>
      <c r="G297" s="179" t="n">
        <f aca="false">$F$7</f>
        <v>0.1</v>
      </c>
      <c r="H297" s="180" t="n">
        <f aca="false">IF(OR(D297="",F297="",D297=0,F297=0),0,D297*F297*$H$8*(1+G297)*(1+$H$7))</f>
        <v>68310</v>
      </c>
      <c r="I297" s="177" t="s">
        <v>361</v>
      </c>
      <c r="J297" s="185" t="s">
        <v>76</v>
      </c>
    </row>
    <row r="298" customFormat="false" ht="15" hidden="false" customHeight="true" outlineLevel="1" collapsed="false">
      <c r="A298" s="176" t="n">
        <v>4</v>
      </c>
      <c r="B298" s="1" t="s">
        <v>797</v>
      </c>
      <c r="C298" s="1" t="s">
        <v>798</v>
      </c>
      <c r="D298" s="183" t="n">
        <v>1</v>
      </c>
      <c r="E298" s="176" t="str">
        <f aca="false">IFERROR(VLOOKUP($B298,'Unit Cost Database'!$A:$H,3,FALSE()),"LS")</f>
        <v>LS</v>
      </c>
      <c r="F298" s="184" t="n">
        <f aca="false">IFERROR(VLOOKUP($B298,'Unit Cost Database'!$A:$H,8,FALSE()),0)</f>
        <v>180000</v>
      </c>
      <c r="G298" s="179" t="n">
        <f aca="false">$F$7</f>
        <v>0.1</v>
      </c>
      <c r="H298" s="180" t="n">
        <f aca="false">IF(OR(D298="",F298="",D298=0,F298=0),0,D298*F298*$H$8*(1+G298)*(1+$H$7))</f>
        <v>204930</v>
      </c>
      <c r="I298" s="177" t="s">
        <v>361</v>
      </c>
      <c r="J298" s="185" t="s">
        <v>76</v>
      </c>
    </row>
    <row r="299" customFormat="false" ht="15" hidden="false" customHeight="true" outlineLevel="1" collapsed="false">
      <c r="A299" s="176" t="n">
        <v>5</v>
      </c>
      <c r="B299" s="1" t="s">
        <v>799</v>
      </c>
      <c r="C299" s="1" t="s">
        <v>800</v>
      </c>
      <c r="D299" s="183" t="n">
        <v>1</v>
      </c>
      <c r="E299" s="176" t="str">
        <f aca="false">IFERROR(VLOOKUP($B299,'Unit Cost Database'!$A:$H,3,FALSE()),"LS")</f>
        <v>LS</v>
      </c>
      <c r="F299" s="184" t="n">
        <f aca="false">IFERROR(VLOOKUP($B299,'Unit Cost Database'!$A:$H,8,FALSE()),0)</f>
        <v>120000</v>
      </c>
      <c r="G299" s="179" t="n">
        <f aca="false">$F$7</f>
        <v>0.1</v>
      </c>
      <c r="H299" s="180" t="n">
        <f aca="false">IF(OR(D299="",F299="",D299=0,F299=0),0,D299*F299*$H$8*(1+G299)*(1+$H$7))</f>
        <v>136620</v>
      </c>
      <c r="I299" s="177" t="s">
        <v>361</v>
      </c>
      <c r="J299" s="185" t="s">
        <v>76</v>
      </c>
    </row>
    <row r="300" customFormat="false" ht="15" hidden="false" customHeight="true" outlineLevel="1" collapsed="false">
      <c r="A300" s="176" t="n">
        <v>6</v>
      </c>
      <c r="B300" s="1" t="s">
        <v>801</v>
      </c>
      <c r="C300" s="1" t="s">
        <v>802</v>
      </c>
      <c r="D300" s="183" t="n">
        <v>1</v>
      </c>
      <c r="E300" s="176" t="str">
        <f aca="false">IFERROR(VLOOKUP($B300,'Unit Cost Database'!$A:$H,3,FALSE()),"LS")</f>
        <v>LS</v>
      </c>
      <c r="F300" s="184" t="n">
        <f aca="false">IFERROR(VLOOKUP($B300,'Unit Cost Database'!$A:$H,8,FALSE()),0)</f>
        <v>90000</v>
      </c>
      <c r="G300" s="179" t="n">
        <f aca="false">$F$7</f>
        <v>0.1</v>
      </c>
      <c r="H300" s="180" t="n">
        <f aca="false">IF(OR(D300="",F300="",D300=0,F300=0),0,D300*F300*$H$8*(1+G300)*(1+$H$7))</f>
        <v>102465</v>
      </c>
      <c r="I300" s="177" t="s">
        <v>361</v>
      </c>
      <c r="J300" s="185" t="s">
        <v>76</v>
      </c>
    </row>
    <row r="301" customFormat="false" ht="15" hidden="false" customHeight="true" outlineLevel="1" collapsed="false">
      <c r="A301" s="176" t="n">
        <v>7</v>
      </c>
      <c r="B301" s="1" t="s">
        <v>803</v>
      </c>
      <c r="C301" s="1" t="s">
        <v>804</v>
      </c>
      <c r="D301" s="183" t="n">
        <v>3</v>
      </c>
      <c r="E301" s="176" t="str">
        <f aca="false">IFERROR(VLOOKUP($B301,'Unit Cost Database'!$A:$H,3,FALSE()),"LS")</f>
        <v>EA</v>
      </c>
      <c r="F301" s="184" t="n">
        <f aca="false">IFERROR(VLOOKUP($B301,'Unit Cost Database'!$A:$H,8,FALSE()),0)</f>
        <v>30000</v>
      </c>
      <c r="G301" s="179" t="n">
        <f aca="false">$F$7</f>
        <v>0.1</v>
      </c>
      <c r="H301" s="180" t="n">
        <f aca="false">IF(OR(D301="",F301="",D301=0,F301=0),0,D301*F301*$H$8*(1+G301)*(1+$H$7))</f>
        <v>102465</v>
      </c>
      <c r="I301" s="177" t="s">
        <v>281</v>
      </c>
      <c r="J301" s="185" t="s">
        <v>76</v>
      </c>
    </row>
    <row r="302" customFormat="false" ht="15" hidden="false" customHeight="true" outlineLevel="1" collapsed="false">
      <c r="A302" s="176" t="n">
        <v>8</v>
      </c>
      <c r="B302" s="1" t="s">
        <v>805</v>
      </c>
      <c r="C302" s="1" t="s">
        <v>806</v>
      </c>
      <c r="D302" s="183" t="n">
        <v>8</v>
      </c>
      <c r="E302" s="176" t="str">
        <f aca="false">IFERROR(VLOOKUP($B302,'Unit Cost Database'!$A:$H,3,FALSE()),"LS")</f>
        <v>EA</v>
      </c>
      <c r="F302" s="184" t="n">
        <f aca="false">IFERROR(VLOOKUP($B302,'Unit Cost Database'!$A:$H,8,FALSE()),0)</f>
        <v>12000</v>
      </c>
      <c r="G302" s="179" t="n">
        <f aca="false">$F$7</f>
        <v>0.1</v>
      </c>
      <c r="H302" s="180" t="n">
        <f aca="false">IF(OR(D302="",F302="",D302=0,F302=0),0,D302*F302*$H$8*(1+G302)*(1+$H$7))</f>
        <v>109296</v>
      </c>
      <c r="I302" s="177" t="s">
        <v>361</v>
      </c>
      <c r="J302" s="185" t="s">
        <v>76</v>
      </c>
    </row>
    <row r="303" customFormat="false" ht="15" hidden="false" customHeight="true" outlineLevel="1" collapsed="false">
      <c r="A303" s="176" t="n">
        <v>9</v>
      </c>
      <c r="B303" s="1" t="s">
        <v>807</v>
      </c>
      <c r="C303" s="1" t="s">
        <v>808</v>
      </c>
      <c r="D303" s="183" t="n">
        <v>1</v>
      </c>
      <c r="E303" s="176" t="str">
        <f aca="false">IFERROR(VLOOKUP($B303,'Unit Cost Database'!$A:$H,3,FALSE()),"LS")</f>
        <v>LS</v>
      </c>
      <c r="F303" s="184" t="n">
        <f aca="false">IFERROR(VLOOKUP($B303,'Unit Cost Database'!$A:$H,8,FALSE()),0)</f>
        <v>220000</v>
      </c>
      <c r="G303" s="179" t="n">
        <f aca="false">$F$7</f>
        <v>0.1</v>
      </c>
      <c r="H303" s="180" t="n">
        <f aca="false">IF(OR(D303="",F303="",D303=0,F303=0),0,D303*F303*$H$8*(1+G303)*(1+$H$7))</f>
        <v>250470</v>
      </c>
      <c r="I303" s="177" t="s">
        <v>361</v>
      </c>
      <c r="J303" s="185" t="s">
        <v>76</v>
      </c>
    </row>
    <row r="304" customFormat="false" ht="15" hidden="false" customHeight="true" outlineLevel="1" collapsed="false">
      <c r="A304" s="176" t="n">
        <v>10</v>
      </c>
      <c r="B304" s="1" t="s">
        <v>809</v>
      </c>
      <c r="C304" s="1" t="s">
        <v>810</v>
      </c>
      <c r="D304" s="183" t="n">
        <v>2</v>
      </c>
      <c r="E304" s="176" t="str">
        <f aca="false">IFERROR(VLOOKUP($B304,'Unit Cost Database'!$A:$H,3,FALSE()),"LS")</f>
        <v>EA</v>
      </c>
      <c r="F304" s="184" t="n">
        <f aca="false">IFERROR(VLOOKUP($B304,'Unit Cost Database'!$A:$H,8,FALSE()),0)</f>
        <v>95000</v>
      </c>
      <c r="G304" s="179" t="n">
        <f aca="false">$F$7</f>
        <v>0.1</v>
      </c>
      <c r="H304" s="180" t="n">
        <f aca="false">IF(OR(D304="",F304="",D304=0,F304=0),0,D304*F304*$H$8*(1+G304)*(1+$H$7))</f>
        <v>216315</v>
      </c>
      <c r="I304" s="177" t="s">
        <v>361</v>
      </c>
      <c r="J304" s="185" t="s">
        <v>76</v>
      </c>
    </row>
    <row r="305" customFormat="false" ht="15" hidden="false" customHeight="true" outlineLevel="1" collapsed="false">
      <c r="A305" s="186"/>
      <c r="B305" s="187"/>
      <c r="C305" s="188" t="s">
        <v>811</v>
      </c>
      <c r="D305" s="189"/>
      <c r="E305" s="186"/>
      <c r="F305" s="190"/>
      <c r="G305" s="191"/>
      <c r="H305" s="192" t="n">
        <f aca="false">SUM(H295:H304)</f>
        <v>1525590</v>
      </c>
      <c r="I305" s="187"/>
      <c r="J305" s="187"/>
    </row>
    <row r="306" customFormat="false" ht="15" hidden="false" customHeight="true" outlineLevel="1" collapsed="false">
      <c r="A306" s="176"/>
      <c r="D306" s="177"/>
      <c r="E306" s="176"/>
      <c r="F306" s="178"/>
      <c r="G306" s="179"/>
      <c r="H306" s="180"/>
    </row>
    <row r="307" customFormat="false" ht="15" hidden="false" customHeight="true" outlineLevel="1" collapsed="false">
      <c r="A307" s="193" t="s">
        <v>812</v>
      </c>
      <c r="B307" s="193"/>
      <c r="C307" s="193"/>
      <c r="D307" s="193"/>
      <c r="E307" s="193"/>
      <c r="F307" s="193"/>
      <c r="G307" s="193"/>
      <c r="H307" s="193"/>
      <c r="I307" s="182"/>
      <c r="J307" s="182" t="s">
        <v>76</v>
      </c>
    </row>
    <row r="308" customFormat="false" ht="15" hidden="false" customHeight="true" outlineLevel="1" collapsed="false">
      <c r="A308" s="176" t="n">
        <v>1</v>
      </c>
      <c r="B308" s="1" t="s">
        <v>813</v>
      </c>
      <c r="C308" s="1" t="s">
        <v>814</v>
      </c>
      <c r="D308" s="183" t="n">
        <v>8000</v>
      </c>
      <c r="E308" s="176" t="str">
        <f aca="false">IFERROR(VLOOKUP($B308,'Unit Cost Database'!$A:$H,3,FALSE()),"LS")</f>
        <v>SF</v>
      </c>
      <c r="F308" s="184" t="n">
        <f aca="false">IFERROR(VLOOKUP($B308,'Unit Cost Database'!$A:$H,8,FALSE()),0)</f>
        <v>8</v>
      </c>
      <c r="G308" s="179" t="n">
        <f aca="false">$F$7</f>
        <v>0.1</v>
      </c>
      <c r="H308" s="180" t="n">
        <f aca="false">IF(OR(D308="",F308="",D308=0,F308=0),0,D308*F308*$H$8*(1+G308)*(1+$H$7))</f>
        <v>72864</v>
      </c>
      <c r="I308" s="177" t="s">
        <v>361</v>
      </c>
      <c r="J308" s="185" t="s">
        <v>76</v>
      </c>
    </row>
    <row r="309" customFormat="false" ht="15" hidden="false" customHeight="true" outlineLevel="1" collapsed="false">
      <c r="A309" s="176" t="n">
        <v>2</v>
      </c>
      <c r="B309" s="1" t="s">
        <v>815</v>
      </c>
      <c r="C309" s="1" t="s">
        <v>816</v>
      </c>
      <c r="D309" s="183" t="n">
        <v>2500</v>
      </c>
      <c r="E309" s="176" t="str">
        <f aca="false">IFERROR(VLOOKUP($B309,'Unit Cost Database'!$A:$H,3,FALSE()),"LS")</f>
        <v>SF</v>
      </c>
      <c r="F309" s="184" t="n">
        <f aca="false">IFERROR(VLOOKUP($B309,'Unit Cost Database'!$A:$H,8,FALSE()),0)</f>
        <v>18</v>
      </c>
      <c r="G309" s="179" t="n">
        <f aca="false">$F$7</f>
        <v>0.1</v>
      </c>
      <c r="H309" s="180" t="n">
        <f aca="false">IF(OR(D309="",F309="",D309=0,F309=0),0,D309*F309*$H$8*(1+G309)*(1+$H$7))</f>
        <v>51232.5</v>
      </c>
      <c r="I309" s="177" t="s">
        <v>361</v>
      </c>
      <c r="J309" s="185" t="s">
        <v>76</v>
      </c>
    </row>
    <row r="310" customFormat="false" ht="15" hidden="false" customHeight="true" outlineLevel="1" collapsed="false">
      <c r="A310" s="176" t="n">
        <v>3</v>
      </c>
      <c r="B310" s="1" t="s">
        <v>817</v>
      </c>
      <c r="C310" s="1" t="s">
        <v>818</v>
      </c>
      <c r="D310" s="183" t="n">
        <v>600</v>
      </c>
      <c r="E310" s="176" t="str">
        <f aca="false">IFERROR(VLOOKUP($B310,'Unit Cost Database'!$A:$H,3,FALSE()),"LS")</f>
        <v>LF</v>
      </c>
      <c r="F310" s="184" t="n">
        <f aca="false">IFERROR(VLOOKUP($B310,'Unit Cost Database'!$A:$H,8,FALSE()),0)</f>
        <v>280</v>
      </c>
      <c r="G310" s="179" t="n">
        <f aca="false">$F$7</f>
        <v>0.1</v>
      </c>
      <c r="H310" s="180" t="n">
        <f aca="false">IF(OR(D310="",F310="",D310=0,F310=0),0,D310*F310*$H$8*(1+G310)*(1+$H$7))</f>
        <v>191268</v>
      </c>
      <c r="I310" s="177" t="s">
        <v>361</v>
      </c>
      <c r="J310" s="185" t="s">
        <v>76</v>
      </c>
    </row>
    <row r="311" customFormat="false" ht="15" hidden="false" customHeight="true" outlineLevel="1" collapsed="false">
      <c r="A311" s="176" t="n">
        <v>4</v>
      </c>
      <c r="B311" s="1" t="s">
        <v>819</v>
      </c>
      <c r="C311" s="1" t="s">
        <v>820</v>
      </c>
      <c r="D311" s="183" t="n">
        <v>48</v>
      </c>
      <c r="E311" s="176" t="str">
        <f aca="false">IFERROR(VLOOKUP($B311,'Unit Cost Database'!$A:$H,3,FALSE()),"LS")</f>
        <v>EA</v>
      </c>
      <c r="F311" s="184" t="n">
        <f aca="false">IFERROR(VLOOKUP($B311,'Unit Cost Database'!$A:$H,8,FALSE()),0)</f>
        <v>6500</v>
      </c>
      <c r="G311" s="179" t="n">
        <f aca="false">$F$7</f>
        <v>0.1</v>
      </c>
      <c r="H311" s="180" t="n">
        <f aca="false">IF(OR(D311="",F311="",D311=0,F311=0),0,D311*F311*$H$8*(1+G311)*(1+$H$7))</f>
        <v>355212</v>
      </c>
      <c r="I311" s="177" t="s">
        <v>361</v>
      </c>
      <c r="J311" s="185" t="s">
        <v>76</v>
      </c>
    </row>
    <row r="312" customFormat="false" ht="15" hidden="false" customHeight="true" outlineLevel="1" collapsed="false">
      <c r="A312" s="176" t="n">
        <v>5</v>
      </c>
      <c r="B312" s="1" t="s">
        <v>821</v>
      </c>
      <c r="C312" s="1" t="s">
        <v>822</v>
      </c>
      <c r="D312" s="183" t="n">
        <v>1</v>
      </c>
      <c r="E312" s="176" t="str">
        <f aca="false">IFERROR(VLOOKUP($B312,'Unit Cost Database'!$A:$H,3,FALSE()),"LS")</f>
        <v>LS</v>
      </c>
      <c r="F312" s="184" t="n">
        <f aca="false">IFERROR(VLOOKUP($B312,'Unit Cost Database'!$A:$H,8,FALSE()),0)</f>
        <v>220000</v>
      </c>
      <c r="G312" s="179" t="n">
        <f aca="false">$F$7</f>
        <v>0.1</v>
      </c>
      <c r="H312" s="180" t="n">
        <f aca="false">IF(OR(D312="",F312="",D312=0,F312=0),0,D312*F312*$H$8*(1+G312)*(1+$H$7))</f>
        <v>250470</v>
      </c>
      <c r="I312" s="177" t="s">
        <v>361</v>
      </c>
      <c r="J312" s="185" t="s">
        <v>76</v>
      </c>
    </row>
    <row r="313" customFormat="false" ht="15" hidden="false" customHeight="true" outlineLevel="1" collapsed="false">
      <c r="A313" s="176" t="n">
        <v>6</v>
      </c>
      <c r="B313" s="1" t="s">
        <v>823</v>
      </c>
      <c r="C313" s="1" t="s">
        <v>824</v>
      </c>
      <c r="D313" s="183" t="n">
        <v>1</v>
      </c>
      <c r="E313" s="176" t="str">
        <f aca="false">IFERROR(VLOOKUP($B313,'Unit Cost Database'!$A:$H,3,FALSE()),"LS")</f>
        <v>LS</v>
      </c>
      <c r="F313" s="184" t="n">
        <f aca="false">IFERROR(VLOOKUP($B313,'Unit Cost Database'!$A:$H,8,FALSE()),0)</f>
        <v>40000</v>
      </c>
      <c r="G313" s="179" t="n">
        <f aca="false">$F$7</f>
        <v>0.1</v>
      </c>
      <c r="H313" s="180" t="n">
        <f aca="false">IF(OR(D313="",F313="",D313=0,F313=0),0,D313*F313*$H$8*(1+G313)*(1+$H$7))</f>
        <v>45540</v>
      </c>
      <c r="I313" s="177" t="s">
        <v>281</v>
      </c>
      <c r="J313" s="185" t="s">
        <v>76</v>
      </c>
    </row>
    <row r="314" customFormat="false" ht="15" hidden="false" customHeight="true" outlineLevel="1" collapsed="false">
      <c r="A314" s="176" t="n">
        <v>7</v>
      </c>
      <c r="B314" s="1" t="s">
        <v>825</v>
      </c>
      <c r="C314" s="1" t="s">
        <v>826</v>
      </c>
      <c r="D314" s="183" t="n">
        <v>1</v>
      </c>
      <c r="E314" s="176" t="str">
        <f aca="false">IFERROR(VLOOKUP($B314,'Unit Cost Database'!$A:$H,3,FALSE()),"LS")</f>
        <v>LS</v>
      </c>
      <c r="F314" s="184" t="n">
        <f aca="false">IFERROR(VLOOKUP($B314,'Unit Cost Database'!$A:$H,8,FALSE()),0)</f>
        <v>220000</v>
      </c>
      <c r="G314" s="179" t="n">
        <f aca="false">$F$7</f>
        <v>0.1</v>
      </c>
      <c r="H314" s="180" t="n">
        <f aca="false">IF(OR(D314="",F314="",D314=0,F314=0),0,D314*F314*$H$8*(1+G314)*(1+$H$7))</f>
        <v>250470</v>
      </c>
      <c r="I314" s="177" t="s">
        <v>361</v>
      </c>
      <c r="J314" s="185" t="s">
        <v>76</v>
      </c>
    </row>
    <row r="315" customFormat="false" ht="15" hidden="false" customHeight="true" outlineLevel="1" collapsed="false">
      <c r="A315" s="186"/>
      <c r="B315" s="187"/>
      <c r="C315" s="188" t="s">
        <v>827</v>
      </c>
      <c r="D315" s="189"/>
      <c r="E315" s="186"/>
      <c r="F315" s="190"/>
      <c r="G315" s="191"/>
      <c r="H315" s="192" t="n">
        <f aca="false">SUM(H308:H314)</f>
        <v>1217056.5</v>
      </c>
      <c r="I315" s="187"/>
      <c r="J315" s="187"/>
    </row>
    <row r="316" customFormat="false" ht="15" hidden="false" customHeight="true" outlineLevel="1" collapsed="false">
      <c r="A316" s="176"/>
      <c r="D316" s="177"/>
      <c r="E316" s="176"/>
      <c r="F316" s="178"/>
      <c r="G316" s="179"/>
      <c r="H316" s="180"/>
    </row>
    <row r="317" customFormat="false" ht="15" hidden="false" customHeight="true" outlineLevel="1" collapsed="false">
      <c r="A317" s="193" t="s">
        <v>828</v>
      </c>
      <c r="B317" s="193"/>
      <c r="C317" s="193"/>
      <c r="D317" s="193"/>
      <c r="E317" s="193"/>
      <c r="F317" s="193"/>
      <c r="G317" s="193"/>
      <c r="H317" s="193"/>
      <c r="I317" s="182"/>
      <c r="J317" s="182" t="s">
        <v>76</v>
      </c>
    </row>
    <row r="318" customFormat="false" ht="15" hidden="false" customHeight="true" outlineLevel="1" collapsed="false">
      <c r="A318" s="176" t="n">
        <v>1</v>
      </c>
      <c r="B318" s="1" t="s">
        <v>829</v>
      </c>
      <c r="C318" s="1" t="s">
        <v>830</v>
      </c>
      <c r="D318" s="183" t="n">
        <v>6</v>
      </c>
      <c r="E318" s="176" t="str">
        <f aca="false">IFERROR(VLOOKUP($B318,'Unit Cost Database'!$A:$H,3,FALSE()),"LS")</f>
        <v>EA</v>
      </c>
      <c r="F318" s="184" t="n">
        <f aca="false">IFERROR(VLOOKUP($B318,'Unit Cost Database'!$A:$H,8,FALSE()),0)</f>
        <v>140000</v>
      </c>
      <c r="G318" s="179" t="n">
        <f aca="false">$F$7</f>
        <v>0.1</v>
      </c>
      <c r="H318" s="180" t="n">
        <f aca="false">IF(OR(D318="",F318="",D318=0,F318=0),0,D318*F318*$H$8*(1+G318)*(1+$H$7))</f>
        <v>956340</v>
      </c>
      <c r="I318" s="177" t="s">
        <v>361</v>
      </c>
      <c r="J318" s="185" t="s">
        <v>76</v>
      </c>
    </row>
    <row r="319" customFormat="false" ht="15" hidden="false" customHeight="true" outlineLevel="1" collapsed="false">
      <c r="A319" s="176" t="n">
        <v>2</v>
      </c>
      <c r="B319" s="1" t="s">
        <v>831</v>
      </c>
      <c r="C319" s="1" t="s">
        <v>832</v>
      </c>
      <c r="D319" s="183" t="n">
        <v>6</v>
      </c>
      <c r="E319" s="176" t="str">
        <f aca="false">IFERROR(VLOOKUP($B319,'Unit Cost Database'!$A:$H,3,FALSE()),"LS")</f>
        <v>EA</v>
      </c>
      <c r="F319" s="184" t="n">
        <f aca="false">IFERROR(VLOOKUP($B319,'Unit Cost Database'!$A:$H,8,FALSE()),0)</f>
        <v>320000</v>
      </c>
      <c r="G319" s="179" t="n">
        <f aca="false">$F$7</f>
        <v>0.1</v>
      </c>
      <c r="H319" s="180" t="n">
        <f aca="false">IF(OR(D319="",F319="",D319=0,F319=0),0,D319*F319*$H$8*(1+G319)*(1+$H$7))</f>
        <v>2185920</v>
      </c>
      <c r="I319" s="177" t="s">
        <v>361</v>
      </c>
      <c r="J319" s="185" t="s">
        <v>76</v>
      </c>
    </row>
    <row r="320" customFormat="false" ht="15" hidden="false" customHeight="true" outlineLevel="1" collapsed="false">
      <c r="A320" s="176" t="n">
        <v>3</v>
      </c>
      <c r="B320" s="1" t="s">
        <v>833</v>
      </c>
      <c r="C320" s="1" t="s">
        <v>834</v>
      </c>
      <c r="D320" s="183" t="n">
        <v>3</v>
      </c>
      <c r="E320" s="176" t="str">
        <f aca="false">IFERROR(VLOOKUP($B320,'Unit Cost Database'!$A:$H,3,FALSE()),"LS")</f>
        <v>EA</v>
      </c>
      <c r="F320" s="184" t="n">
        <f aca="false">IFERROR(VLOOKUP($B320,'Unit Cost Database'!$A:$H,8,FALSE()),0)</f>
        <v>95000</v>
      </c>
      <c r="G320" s="179" t="n">
        <f aca="false">$F$7</f>
        <v>0.1</v>
      </c>
      <c r="H320" s="180" t="n">
        <f aca="false">IF(OR(D320="",F320="",D320=0,F320=0),0,D320*F320*$H$8*(1+G320)*(1+$H$7))</f>
        <v>324472.5</v>
      </c>
      <c r="I320" s="177" t="s">
        <v>361</v>
      </c>
      <c r="J320" s="185" t="s">
        <v>76</v>
      </c>
    </row>
    <row r="321" customFormat="false" ht="15" hidden="false" customHeight="true" outlineLevel="1" collapsed="false">
      <c r="A321" s="176" t="n">
        <v>4</v>
      </c>
      <c r="B321" s="1" t="s">
        <v>835</v>
      </c>
      <c r="C321" s="1" t="s">
        <v>836</v>
      </c>
      <c r="D321" s="183" t="n">
        <v>6</v>
      </c>
      <c r="E321" s="176" t="str">
        <f aca="false">IFERROR(VLOOKUP($B321,'Unit Cost Database'!$A:$H,3,FALSE()),"LS")</f>
        <v>EA</v>
      </c>
      <c r="F321" s="184" t="n">
        <f aca="false">IFERROR(VLOOKUP($B321,'Unit Cost Database'!$A:$H,8,FALSE()),0)</f>
        <v>45000</v>
      </c>
      <c r="G321" s="179" t="n">
        <f aca="false">$F$7</f>
        <v>0.1</v>
      </c>
      <c r="H321" s="180" t="n">
        <f aca="false">IF(OR(D321="",F321="",D321=0,F321=0),0,D321*F321*$H$8*(1+G321)*(1+$H$7))</f>
        <v>307395</v>
      </c>
      <c r="I321" s="177" t="s">
        <v>361</v>
      </c>
      <c r="J321" s="185" t="s">
        <v>76</v>
      </c>
    </row>
    <row r="322" customFormat="false" ht="15" hidden="false" customHeight="true" outlineLevel="1" collapsed="false">
      <c r="A322" s="176" t="n">
        <v>5</v>
      </c>
      <c r="B322" s="1" t="s">
        <v>837</v>
      </c>
      <c r="C322" s="1" t="s">
        <v>838</v>
      </c>
      <c r="D322" s="183" t="n">
        <v>3</v>
      </c>
      <c r="E322" s="176" t="str">
        <f aca="false">IFERROR(VLOOKUP($B322,'Unit Cost Database'!$A:$H,3,FALSE()),"LS")</f>
        <v>EA</v>
      </c>
      <c r="F322" s="184" t="n">
        <f aca="false">IFERROR(VLOOKUP($B322,'Unit Cost Database'!$A:$H,8,FALSE()),0)</f>
        <v>70000</v>
      </c>
      <c r="G322" s="179" t="n">
        <f aca="false">$F$7</f>
        <v>0.1</v>
      </c>
      <c r="H322" s="180" t="n">
        <f aca="false">IF(OR(D322="",F322="",D322=0,F322=0),0,D322*F322*$H$8*(1+G322)*(1+$H$7))</f>
        <v>239085</v>
      </c>
      <c r="I322" s="177" t="s">
        <v>361</v>
      </c>
      <c r="J322" s="185" t="s">
        <v>76</v>
      </c>
    </row>
    <row r="323" customFormat="false" ht="15" hidden="false" customHeight="true" outlineLevel="1" collapsed="false">
      <c r="A323" s="176" t="n">
        <v>6</v>
      </c>
      <c r="B323" s="1" t="s">
        <v>839</v>
      </c>
      <c r="C323" s="1" t="s">
        <v>840</v>
      </c>
      <c r="D323" s="183" t="n">
        <v>1</v>
      </c>
      <c r="E323" s="176" t="str">
        <f aca="false">IFERROR(VLOOKUP($B323,'Unit Cost Database'!$A:$H,3,FALSE()),"LS")</f>
        <v>LS</v>
      </c>
      <c r="F323" s="184" t="n">
        <f aca="false">IFERROR(VLOOKUP($B323,'Unit Cost Database'!$A:$H,8,FALSE()),0)</f>
        <v>80000</v>
      </c>
      <c r="G323" s="179" t="n">
        <f aca="false">$F$7</f>
        <v>0.1</v>
      </c>
      <c r="H323" s="180" t="n">
        <f aca="false">IF(OR(D323="",F323="",D323=0,F323=0),0,D323*F323*$H$8*(1+G323)*(1+$H$7))</f>
        <v>91080</v>
      </c>
      <c r="I323" s="177" t="s">
        <v>281</v>
      </c>
      <c r="J323" s="185" t="s">
        <v>76</v>
      </c>
    </row>
    <row r="324" customFormat="false" ht="15" hidden="false" customHeight="true" outlineLevel="1" collapsed="false">
      <c r="A324" s="186"/>
      <c r="B324" s="187"/>
      <c r="C324" s="188" t="s">
        <v>841</v>
      </c>
      <c r="D324" s="189"/>
      <c r="E324" s="186"/>
      <c r="F324" s="190"/>
      <c r="G324" s="191"/>
      <c r="H324" s="192" t="n">
        <f aca="false">SUM(H318:H323)</f>
        <v>4104292.5</v>
      </c>
      <c r="I324" s="187"/>
      <c r="J324" s="187"/>
    </row>
    <row r="325" customFormat="false" ht="15" hidden="false" customHeight="true" outlineLevel="1" collapsed="false">
      <c r="A325" s="176"/>
      <c r="D325" s="177"/>
      <c r="E325" s="176"/>
      <c r="F325" s="178"/>
      <c r="G325" s="179"/>
      <c r="H325" s="180"/>
    </row>
    <row r="326" customFormat="false" ht="15" hidden="false" customHeight="true" outlineLevel="1" collapsed="false">
      <c r="A326" s="176"/>
      <c r="D326" s="177"/>
      <c r="E326" s="176"/>
      <c r="F326" s="178"/>
      <c r="G326" s="179"/>
      <c r="H326" s="180"/>
    </row>
    <row r="327" customFormat="false" ht="15" hidden="false" customHeight="true" outlineLevel="1" collapsed="false">
      <c r="A327" s="193" t="s">
        <v>842</v>
      </c>
      <c r="B327" s="193"/>
      <c r="C327" s="193"/>
      <c r="D327" s="193"/>
      <c r="E327" s="193"/>
      <c r="F327" s="193"/>
      <c r="G327" s="193"/>
      <c r="H327" s="193"/>
      <c r="I327" s="182"/>
      <c r="J327" s="182" t="s">
        <v>77</v>
      </c>
    </row>
    <row r="328" customFormat="false" ht="15" hidden="false" customHeight="true" outlineLevel="1" collapsed="false">
      <c r="A328" s="176" t="n">
        <v>1</v>
      </c>
      <c r="B328" s="1" t="s">
        <v>843</v>
      </c>
      <c r="C328" s="1" t="s">
        <v>844</v>
      </c>
      <c r="D328" s="183" t="n">
        <f aca="false">$C$6</f>
        <v>800000</v>
      </c>
      <c r="E328" s="176" t="str">
        <f aca="false">IFERROR(VLOOKUP($B328,'Unit Cost Database'!$A:$H,3,FALSE()),"LS")</f>
        <v>SF</v>
      </c>
      <c r="F328" s="184" t="n">
        <f aca="false">IFERROR(VLOOKUP($B328,'Unit Cost Database'!$A:$H,8,FALSE()),0)</f>
        <v>0.35</v>
      </c>
      <c r="G328" s="179" t="n">
        <f aca="false">$F$7</f>
        <v>0.1</v>
      </c>
      <c r="H328" s="180" t="n">
        <f aca="false">IF(OR(D328="",F328="",D328=0,F328=0),0,D328*F328*$H$8*(1+G328)*(1+$H$7))</f>
        <v>318780</v>
      </c>
      <c r="I328" s="177" t="s">
        <v>361</v>
      </c>
      <c r="J328" s="185" t="s">
        <v>77</v>
      </c>
    </row>
    <row r="329" customFormat="false" ht="15" hidden="false" customHeight="true" outlineLevel="1" collapsed="false">
      <c r="A329" s="176" t="n">
        <v>2</v>
      </c>
      <c r="B329" s="1" t="s">
        <v>845</v>
      </c>
      <c r="C329" s="1" t="s">
        <v>846</v>
      </c>
      <c r="D329" s="183" t="n">
        <f aca="false">$C$6*0.3</f>
        <v>240000</v>
      </c>
      <c r="E329" s="176" t="str">
        <f aca="false">IFERROR(VLOOKUP($B329,'Unit Cost Database'!$A:$H,3,FALSE()),"LS")</f>
        <v>SF</v>
      </c>
      <c r="F329" s="184" t="n">
        <f aca="false">IFERROR(VLOOKUP($B329,'Unit Cost Database'!$A:$H,8,FALSE()),0)</f>
        <v>3.5</v>
      </c>
      <c r="G329" s="179" t="n">
        <f aca="false">$F$7</f>
        <v>0.1</v>
      </c>
      <c r="H329" s="180" t="n">
        <f aca="false">IF(OR(D329="",F329="",D329=0,F329=0),0,D329*F329*$H$8*(1+G329)*(1+$H$7))</f>
        <v>956340</v>
      </c>
      <c r="I329" s="177" t="s">
        <v>361</v>
      </c>
      <c r="J329" s="185" t="s">
        <v>77</v>
      </c>
    </row>
    <row r="330" customFormat="false" ht="15" hidden="false" customHeight="true" outlineLevel="1" collapsed="false">
      <c r="A330" s="176" t="n">
        <v>3</v>
      </c>
      <c r="B330" s="1" t="s">
        <v>847</v>
      </c>
      <c r="C330" s="1" t="s">
        <v>848</v>
      </c>
      <c r="D330" s="183" t="n">
        <f aca="false">$C$6*0.05</f>
        <v>40000</v>
      </c>
      <c r="E330" s="176" t="str">
        <f aca="false">IFERROR(VLOOKUP($B330,'Unit Cost Database'!$A:$H,3,FALSE()),"LS")</f>
        <v>SF</v>
      </c>
      <c r="F330" s="184" t="n">
        <f aca="false">IFERROR(VLOOKUP($B330,'Unit Cost Database'!$A:$H,8,FALSE()),0)</f>
        <v>5.6</v>
      </c>
      <c r="G330" s="179" t="n">
        <f aca="false">$F$7</f>
        <v>0.1</v>
      </c>
      <c r="H330" s="180" t="n">
        <f aca="false">IF(OR(D330="",F330="",D330=0,F330=0),0,D330*F330*$H$8*(1+G330)*(1+$H$7))</f>
        <v>255024</v>
      </c>
      <c r="I330" s="177" t="s">
        <v>361</v>
      </c>
      <c r="J330" s="185" t="s">
        <v>77</v>
      </c>
    </row>
    <row r="331" customFormat="false" ht="15" hidden="false" customHeight="true" outlineLevel="1" collapsed="false">
      <c r="A331" s="176" t="n">
        <v>4</v>
      </c>
      <c r="B331" s="1" t="s">
        <v>849</v>
      </c>
      <c r="C331" s="1" t="s">
        <v>850</v>
      </c>
      <c r="D331" s="183" t="n">
        <v>440000</v>
      </c>
      <c r="E331" s="176" t="str">
        <f aca="false">IFERROR(VLOOKUP($B331,'Unit Cost Database'!$A:$H,3,FALSE()),"LS")</f>
        <v>SF</v>
      </c>
      <c r="F331" s="184" t="n">
        <f aca="false">IFERROR(VLOOKUP($B331,'Unit Cost Database'!$A:$H,8,FALSE()),0)</f>
        <v>6</v>
      </c>
      <c r="G331" s="179" t="n">
        <f aca="false">$F$7</f>
        <v>0.1</v>
      </c>
      <c r="H331" s="180" t="n">
        <f aca="false">IF(OR(D331="",F331="",D331=0,F331=0),0,D331*F331*$H$8*(1+G331)*(1+$H$7))</f>
        <v>3005640</v>
      </c>
      <c r="I331" s="177" t="s">
        <v>361</v>
      </c>
      <c r="J331" s="185" t="s">
        <v>77</v>
      </c>
    </row>
    <row r="332" customFormat="false" ht="15" hidden="false" customHeight="true" outlineLevel="1" collapsed="false">
      <c r="A332" s="176"/>
      <c r="B332" s="1" t="s">
        <v>851</v>
      </c>
      <c r="C332" s="1" t="s">
        <v>852</v>
      </c>
      <c r="D332" s="183" t="n">
        <v>0</v>
      </c>
      <c r="E332" s="176" t="str">
        <f aca="false">IFERROR(VLOOKUP($B332,'Unit Cost Database'!$A:$H,3,FALSE()),"LS")</f>
        <v>LS</v>
      </c>
      <c r="F332" s="184" t="n">
        <f aca="false">IFERROR(VLOOKUP($B332,'Unit Cost Database'!$A:$H,8,FALSE()),0)</f>
        <v>1320000</v>
      </c>
      <c r="G332" s="179" t="n">
        <f aca="false">$F$7</f>
        <v>0.1</v>
      </c>
      <c r="H332" s="180" t="n">
        <f aca="false">IF(OR(D332="",F332="",D332=0,F332=0),0,D332*F332*$H$8*(1+G332)*(1+$H$7))</f>
        <v>0</v>
      </c>
      <c r="I332" s="177" t="s">
        <v>361</v>
      </c>
      <c r="J332" s="185" t="s">
        <v>77</v>
      </c>
    </row>
    <row r="333" customFormat="false" ht="15" hidden="false" customHeight="true" outlineLevel="1" collapsed="false">
      <c r="A333" s="176"/>
      <c r="B333" s="1" t="s">
        <v>853</v>
      </c>
      <c r="C333" s="1" t="s">
        <v>854</v>
      </c>
      <c r="D333" s="183" t="n">
        <v>0</v>
      </c>
      <c r="E333" s="176" t="str">
        <f aca="false">IFERROR(VLOOKUP($B333,'Unit Cost Database'!$A:$H,3,FALSE()),"LS")</f>
        <v>LS</v>
      </c>
      <c r="F333" s="184" t="n">
        <f aca="false">IFERROR(VLOOKUP($B333,'Unit Cost Database'!$A:$H,8,FALSE()),0)</f>
        <v>792000</v>
      </c>
      <c r="G333" s="179" t="n">
        <f aca="false">$F$7</f>
        <v>0.1</v>
      </c>
      <c r="H333" s="180" t="n">
        <f aca="false">IF(OR(D333="",F333="",D333=0,F333=0),0,D333*F333*$H$8*(1+G333)*(1+$H$7))</f>
        <v>0</v>
      </c>
      <c r="I333" s="177" t="s">
        <v>361</v>
      </c>
      <c r="J333" s="185" t="s">
        <v>77</v>
      </c>
    </row>
    <row r="334" customFormat="false" ht="15" hidden="false" customHeight="true" outlineLevel="1" collapsed="false">
      <c r="A334" s="176"/>
      <c r="B334" s="1" t="s">
        <v>855</v>
      </c>
      <c r="C334" s="1" t="s">
        <v>856</v>
      </c>
      <c r="D334" s="183" t="n">
        <v>0</v>
      </c>
      <c r="E334" s="176" t="str">
        <f aca="false">IFERROR(VLOOKUP($B334,'Unit Cost Database'!$A:$H,3,FALSE()),"LS")</f>
        <v>LS</v>
      </c>
      <c r="F334" s="184" t="n">
        <f aca="false">IFERROR(VLOOKUP($B334,'Unit Cost Database'!$A:$H,8,FALSE()),0)</f>
        <v>528000</v>
      </c>
      <c r="G334" s="179" t="n">
        <f aca="false">$F$7</f>
        <v>0.1</v>
      </c>
      <c r="H334" s="180" t="n">
        <f aca="false">IF(OR(D334="",F334="",D334=0,F334=0),0,D334*F334*$H$8*(1+G334)*(1+$H$7))</f>
        <v>0</v>
      </c>
      <c r="I334" s="177" t="s">
        <v>361</v>
      </c>
      <c r="J334" s="185" t="s">
        <v>77</v>
      </c>
    </row>
    <row r="335" customFormat="false" ht="15" hidden="false" customHeight="true" outlineLevel="1" collapsed="false">
      <c r="A335" s="176" t="n">
        <v>5</v>
      </c>
      <c r="B335" s="1" t="s">
        <v>857</v>
      </c>
      <c r="C335" s="1" t="s">
        <v>858</v>
      </c>
      <c r="D335" s="183" t="n">
        <f aca="false">$C$6*0.1</f>
        <v>80000</v>
      </c>
      <c r="E335" s="176" t="str">
        <f aca="false">IFERROR(VLOOKUP($B335,'Unit Cost Database'!$A:$H,3,FALSE()),"LS")</f>
        <v>SF</v>
      </c>
      <c r="F335" s="184" t="n">
        <f aca="false">IFERROR(VLOOKUP($B335,'Unit Cost Database'!$A:$H,8,FALSE()),0)</f>
        <v>5</v>
      </c>
      <c r="G335" s="179" t="n">
        <f aca="false">$F$7</f>
        <v>0.1</v>
      </c>
      <c r="H335" s="180" t="n">
        <f aca="false">IF(OR(D335="",F335="",D335=0,F335=0),0,D335*F335*$H$8*(1+G335)*(1+$H$7))</f>
        <v>455400</v>
      </c>
      <c r="I335" s="177" t="s">
        <v>361</v>
      </c>
      <c r="J335" s="185" t="s">
        <v>77</v>
      </c>
    </row>
    <row r="336" customFormat="false" ht="15" hidden="false" customHeight="true" outlineLevel="1" collapsed="false">
      <c r="A336" s="176" t="n">
        <v>6</v>
      </c>
      <c r="B336" s="1" t="s">
        <v>859</v>
      </c>
      <c r="C336" s="1" t="s">
        <v>860</v>
      </c>
      <c r="D336" s="183" t="n">
        <v>440000</v>
      </c>
      <c r="E336" s="176" t="str">
        <f aca="false">IFERROR(VLOOKUP($B336,'Unit Cost Database'!$A:$H,3,FALSE()),"LS")</f>
        <v>SF</v>
      </c>
      <c r="F336" s="184" t="n">
        <f aca="false">IFERROR(VLOOKUP($B336,'Unit Cost Database'!$A:$H,8,FALSE()),0)</f>
        <v>12</v>
      </c>
      <c r="G336" s="179" t="n">
        <f aca="false">$F$7</f>
        <v>0.1</v>
      </c>
      <c r="H336" s="180" t="n">
        <f aca="false">IF(OR(D336="",F336="",D336=0,F336=0),0,D336*F336*$H$8*(1+G336)*(1+$H$7))</f>
        <v>6011280</v>
      </c>
      <c r="I336" s="177" t="s">
        <v>361</v>
      </c>
      <c r="J336" s="185" t="s">
        <v>77</v>
      </c>
    </row>
    <row r="337" customFormat="false" ht="15" hidden="false" customHeight="true" outlineLevel="1" collapsed="false">
      <c r="A337" s="176"/>
      <c r="B337" s="1" t="s">
        <v>861</v>
      </c>
      <c r="C337" s="1" t="s">
        <v>862</v>
      </c>
      <c r="D337" s="183" t="n">
        <v>0</v>
      </c>
      <c r="E337" s="176" t="str">
        <f aca="false">IFERROR(VLOOKUP($B337,'Unit Cost Database'!$A:$H,3,FALSE()),"LS")</f>
        <v>LS</v>
      </c>
      <c r="F337" s="194" t="n">
        <f aca="false">IFERROR(VLOOKUP($B337,'Unit Cost Database'!$A:$H,8,FALSE()),0)</f>
        <v>2640000</v>
      </c>
      <c r="G337" s="179" t="n">
        <f aca="false">$F$7</f>
        <v>0.1</v>
      </c>
      <c r="H337" s="180" t="n">
        <f aca="false">IF(OR(D337="",F337="",D337=0,F337=0),0,D337*F337*$H$8*(1+G337)*(1+$H$7))</f>
        <v>0</v>
      </c>
      <c r="I337" s="177" t="s">
        <v>361</v>
      </c>
      <c r="J337" s="185" t="s">
        <v>77</v>
      </c>
    </row>
    <row r="338" customFormat="false" ht="15" hidden="false" customHeight="true" outlineLevel="1" collapsed="false">
      <c r="A338" s="176"/>
      <c r="B338" s="1" t="s">
        <v>863</v>
      </c>
      <c r="C338" s="1" t="s">
        <v>864</v>
      </c>
      <c r="D338" s="183" t="n">
        <v>0</v>
      </c>
      <c r="E338" s="176" t="str">
        <f aca="false">IFERROR(VLOOKUP($B338,'Unit Cost Database'!$A:$H,3,FALSE()),"LS")</f>
        <v>LS</v>
      </c>
      <c r="F338" s="194" t="n">
        <f aca="false">IFERROR(VLOOKUP($B338,'Unit Cost Database'!$A:$H,8,FALSE()),0)</f>
        <v>1320000</v>
      </c>
      <c r="G338" s="179" t="n">
        <f aca="false">$F$7</f>
        <v>0.1</v>
      </c>
      <c r="H338" s="180" t="n">
        <f aca="false">IF(OR(D338="",F338="",D338=0,F338=0),0,D338*F338*$H$8*(1+G338)*(1+$H$7))</f>
        <v>0</v>
      </c>
      <c r="I338" s="177" t="s">
        <v>361</v>
      </c>
      <c r="J338" s="185" t="s">
        <v>77</v>
      </c>
    </row>
    <row r="339" customFormat="false" ht="15" hidden="false" customHeight="true" outlineLevel="1" collapsed="false">
      <c r="A339" s="176"/>
      <c r="B339" s="1" t="s">
        <v>865</v>
      </c>
      <c r="C339" s="1" t="s">
        <v>866</v>
      </c>
      <c r="D339" s="183" t="n">
        <v>0</v>
      </c>
      <c r="E339" s="176" t="str">
        <f aca="false">IFERROR(VLOOKUP($B339,'Unit Cost Database'!$A:$H,3,FALSE()),"LS")</f>
        <v>LS</v>
      </c>
      <c r="F339" s="194" t="n">
        <f aca="false">IFERROR(VLOOKUP($B339,'Unit Cost Database'!$A:$H,8,FALSE()),0)</f>
        <v>792000</v>
      </c>
      <c r="G339" s="179" t="n">
        <f aca="false">$F$7</f>
        <v>0.1</v>
      </c>
      <c r="H339" s="180" t="n">
        <f aca="false">IF(OR(D339="",F339="",D339=0,F339=0),0,D339*F339*$H$8*(1+G339)*(1+$H$7))</f>
        <v>0</v>
      </c>
      <c r="I339" s="177" t="s">
        <v>361</v>
      </c>
      <c r="J339" s="185" t="s">
        <v>77</v>
      </c>
    </row>
    <row r="340" customFormat="false" ht="15" hidden="false" customHeight="true" outlineLevel="1" collapsed="false">
      <c r="A340" s="176"/>
      <c r="B340" s="1" t="s">
        <v>867</v>
      </c>
      <c r="C340" s="1" t="s">
        <v>868</v>
      </c>
      <c r="D340" s="183" t="n">
        <v>0</v>
      </c>
      <c r="E340" s="176" t="str">
        <f aca="false">IFERROR(VLOOKUP($B340,'Unit Cost Database'!$A:$H,3,FALSE()),"LS")</f>
        <v>LS</v>
      </c>
      <c r="F340" s="194" t="n">
        <f aca="false">IFERROR(VLOOKUP($B340,'Unit Cost Database'!$A:$H,8,FALSE()),0)</f>
        <v>528000</v>
      </c>
      <c r="G340" s="179" t="n">
        <f aca="false">$F$7</f>
        <v>0.1</v>
      </c>
      <c r="H340" s="180" t="n">
        <f aca="false">IF(OR(D340="",F340="",D340=0,F340=0),0,D340*F340*$H$8*(1+G340)*(1+$H$7))</f>
        <v>0</v>
      </c>
      <c r="I340" s="177" t="s">
        <v>361</v>
      </c>
      <c r="J340" s="185" t="s">
        <v>77</v>
      </c>
    </row>
    <row r="341" customFormat="false" ht="15" hidden="false" customHeight="true" outlineLevel="1" collapsed="false">
      <c r="A341" s="176" t="n">
        <v>7</v>
      </c>
      <c r="B341" s="1" t="s">
        <v>869</v>
      </c>
      <c r="C341" s="1" t="s">
        <v>870</v>
      </c>
      <c r="D341" s="183" t="n">
        <v>0</v>
      </c>
      <c r="E341" s="176" t="str">
        <f aca="false">IFERROR(VLOOKUP($B341,'Unit Cost Database'!$A:$H,3,FALSE()),"LS")</f>
        <v>LS</v>
      </c>
      <c r="F341" s="184" t="n">
        <f aca="false">IFERROR(VLOOKUP($B341,'Unit Cost Database'!$A:$H,8,FALSE()),0)</f>
        <v>0</v>
      </c>
      <c r="G341" s="179" t="n">
        <f aca="false">$F$7</f>
        <v>0.1</v>
      </c>
      <c r="H341" s="180" t="n">
        <f aca="false">IF(OR(D341="",F341="",D341=0,F341=0),0,D341*F341*$H$8*(1+G341)*(1+$H$7))</f>
        <v>0</v>
      </c>
      <c r="I341" s="177" t="s">
        <v>361</v>
      </c>
      <c r="J341" s="185" t="s">
        <v>77</v>
      </c>
    </row>
    <row r="342" customFormat="false" ht="15" hidden="false" customHeight="true" outlineLevel="1" collapsed="false">
      <c r="A342" s="176" t="n">
        <v>8</v>
      </c>
      <c r="B342" s="1" t="s">
        <v>871</v>
      </c>
      <c r="C342" s="1" t="s">
        <v>872</v>
      </c>
      <c r="D342" s="183" t="n">
        <f aca="false">$C$6*0.08</f>
        <v>64000</v>
      </c>
      <c r="E342" s="176" t="str">
        <f aca="false">IFERROR(VLOOKUP($B342,'Unit Cost Database'!$A:$H,3,FALSE()),"LS")</f>
        <v>SF</v>
      </c>
      <c r="F342" s="184" t="n">
        <f aca="false">IFERROR(VLOOKUP($B342,'Unit Cost Database'!$A:$H,8,FALSE()),0)</f>
        <v>22</v>
      </c>
      <c r="G342" s="179" t="n">
        <f aca="false">$F$7</f>
        <v>0.1</v>
      </c>
      <c r="H342" s="180" t="n">
        <f aca="false">IF(OR(D342="",F342="",D342=0,F342=0),0,D342*F342*$H$8*(1+G342)*(1+$H$7))</f>
        <v>1603008</v>
      </c>
      <c r="I342" s="177" t="s">
        <v>361</v>
      </c>
      <c r="J342" s="185" t="s">
        <v>77</v>
      </c>
    </row>
    <row r="343" customFormat="false" ht="15" hidden="false" customHeight="true" outlineLevel="1" collapsed="false">
      <c r="A343" s="176" t="n">
        <v>9</v>
      </c>
      <c r="B343" s="1" t="s">
        <v>873</v>
      </c>
      <c r="C343" s="1" t="s">
        <v>874</v>
      </c>
      <c r="D343" s="183" t="n">
        <f aca="false">$C$13</f>
        <v>440000</v>
      </c>
      <c r="E343" s="176" t="str">
        <f aca="false">IFERROR(VLOOKUP($B343,'Unit Cost Database'!$A:$H,3,FALSE()),"LS")</f>
        <v>SF</v>
      </c>
      <c r="F343" s="184" t="n">
        <f aca="false">IFERROR(VLOOKUP($B343,'Unit Cost Database'!$A:$H,8,FALSE()),0)</f>
        <v>3</v>
      </c>
      <c r="G343" s="179" t="n">
        <f aca="false">$F$7</f>
        <v>0.1</v>
      </c>
      <c r="H343" s="180" t="n">
        <f aca="false">IF(OR(D343="",F343="",D343=0,F343=0),0,D343*F343*$H$8*(1+G343)*(1+$H$7))</f>
        <v>1502820</v>
      </c>
      <c r="I343" s="177" t="s">
        <v>361</v>
      </c>
      <c r="J343" s="185" t="s">
        <v>77</v>
      </c>
    </row>
    <row r="344" customFormat="false" ht="15" hidden="false" customHeight="true" outlineLevel="1" collapsed="false">
      <c r="A344" s="176" t="n">
        <v>10</v>
      </c>
      <c r="B344" s="1" t="s">
        <v>875</v>
      </c>
      <c r="C344" s="1" t="s">
        <v>876</v>
      </c>
      <c r="D344" s="183" t="n">
        <f aca="false">$C$6</f>
        <v>800000</v>
      </c>
      <c r="E344" s="176" t="str">
        <f aca="false">IFERROR(VLOOKUP($B344,'Unit Cost Database'!$A:$H,3,FALSE()),"LS")</f>
        <v>SF</v>
      </c>
      <c r="F344" s="184" t="n">
        <f aca="false">IFERROR(VLOOKUP($B344,'Unit Cost Database'!$A:$H,8,FALSE()),0)</f>
        <v>0.6</v>
      </c>
      <c r="G344" s="179" t="n">
        <f aca="false">$F$7</f>
        <v>0.1</v>
      </c>
      <c r="H344" s="180" t="n">
        <f aca="false">IF(OR(D344="",F344="",D344=0,F344=0),0,D344*F344*$H$8*(1+G344)*(1+$H$7))</f>
        <v>546480</v>
      </c>
      <c r="I344" s="177" t="s">
        <v>361</v>
      </c>
      <c r="J344" s="185" t="s">
        <v>77</v>
      </c>
    </row>
    <row r="345" customFormat="false" ht="15" hidden="false" customHeight="true" outlineLevel="1" collapsed="false">
      <c r="A345" s="176" t="n">
        <v>11</v>
      </c>
      <c r="B345" s="1" t="s">
        <v>877</v>
      </c>
      <c r="C345" s="1" t="s">
        <v>878</v>
      </c>
      <c r="D345" s="183" t="n">
        <v>800000</v>
      </c>
      <c r="E345" s="176" t="str">
        <f aca="false">IFERROR(VLOOKUP($B345,'Unit Cost Database'!$A:$H,3,FALSE()),"LS")</f>
        <v>SF</v>
      </c>
      <c r="F345" s="184" t="n">
        <f aca="false">IFERROR(VLOOKUP($B345,'Unit Cost Database'!$A:$H,8,FALSE()),0)</f>
        <v>4</v>
      </c>
      <c r="G345" s="179" t="n">
        <f aca="false">$F$7</f>
        <v>0.1</v>
      </c>
      <c r="H345" s="180" t="n">
        <f aca="false">IF(OR(D345="",F345="",D345=0,F345=0),0,D345*F345*$H$8*(1+G345)*(1+$H$7))</f>
        <v>3643200</v>
      </c>
      <c r="I345" s="177" t="s">
        <v>361</v>
      </c>
      <c r="J345" s="185" t="s">
        <v>77</v>
      </c>
    </row>
    <row r="346" customFormat="false" ht="15" hidden="false" customHeight="true" outlineLevel="1" collapsed="false">
      <c r="A346" s="176"/>
      <c r="B346" s="1" t="s">
        <v>879</v>
      </c>
      <c r="C346" s="1" t="s">
        <v>880</v>
      </c>
      <c r="D346" s="183" t="n">
        <v>0</v>
      </c>
      <c r="E346" s="176" t="str">
        <f aca="false">IFERROR(VLOOKUP($B346,'Unit Cost Database'!$A:$H,3,FALSE()),"LS")</f>
        <v>LS</v>
      </c>
      <c r="F346" s="194" t="n">
        <f aca="false">IFERROR(VLOOKUP($B346,'Unit Cost Database'!$A:$H,8,FALSE()),0)</f>
        <v>1760000</v>
      </c>
      <c r="G346" s="179" t="n">
        <f aca="false">$F$7</f>
        <v>0.1</v>
      </c>
      <c r="H346" s="180" t="n">
        <f aca="false">IF(OR(D346="",F346="",D346=0,F346=0),0,D346*F346*$H$8*(1+G346)*(1+$H$7))</f>
        <v>0</v>
      </c>
      <c r="I346" s="177" t="s">
        <v>361</v>
      </c>
      <c r="J346" s="185" t="s">
        <v>77</v>
      </c>
    </row>
    <row r="347" customFormat="false" ht="15" hidden="false" customHeight="true" outlineLevel="1" collapsed="false">
      <c r="A347" s="176"/>
      <c r="B347" s="1" t="s">
        <v>881</v>
      </c>
      <c r="C347" s="1" t="s">
        <v>882</v>
      </c>
      <c r="D347" s="183" t="n">
        <v>0</v>
      </c>
      <c r="E347" s="176" t="str">
        <f aca="false">IFERROR(VLOOKUP($B347,'Unit Cost Database'!$A:$H,3,FALSE()),"LS")</f>
        <v>LS</v>
      </c>
      <c r="F347" s="194" t="n">
        <f aca="false">IFERROR(VLOOKUP($B347,'Unit Cost Database'!$A:$H,8,FALSE()),0)</f>
        <v>800000</v>
      </c>
      <c r="G347" s="179" t="n">
        <f aca="false">$F$7</f>
        <v>0.1</v>
      </c>
      <c r="H347" s="180" t="n">
        <f aca="false">IF(OR(D347="",F347="",D347=0,F347=0),0,D347*F347*$H$8*(1+G347)*(1+$H$7))</f>
        <v>0</v>
      </c>
      <c r="I347" s="177" t="s">
        <v>361</v>
      </c>
      <c r="J347" s="185" t="s">
        <v>77</v>
      </c>
    </row>
    <row r="348" customFormat="false" ht="15" hidden="false" customHeight="true" outlineLevel="1" collapsed="false">
      <c r="A348" s="176"/>
      <c r="B348" s="1" t="s">
        <v>883</v>
      </c>
      <c r="C348" s="1" t="s">
        <v>884</v>
      </c>
      <c r="D348" s="183" t="n">
        <v>0</v>
      </c>
      <c r="E348" s="176" t="str">
        <f aca="false">IFERROR(VLOOKUP($B348,'Unit Cost Database'!$A:$H,3,FALSE()),"LS")</f>
        <v>LS</v>
      </c>
      <c r="F348" s="194" t="n">
        <f aca="false">IFERROR(VLOOKUP($B348,'Unit Cost Database'!$A:$H,8,FALSE()),0)</f>
        <v>640000</v>
      </c>
      <c r="G348" s="179" t="n">
        <f aca="false">$F$7</f>
        <v>0.1</v>
      </c>
      <c r="H348" s="180" t="n">
        <f aca="false">IF(OR(D348="",F348="",D348=0,F348=0),0,D348*F348*$H$8*(1+G348)*(1+$H$7))</f>
        <v>0</v>
      </c>
      <c r="I348" s="177" t="s">
        <v>361</v>
      </c>
      <c r="J348" s="185" t="s">
        <v>77</v>
      </c>
    </row>
    <row r="349" customFormat="false" ht="15" hidden="false" customHeight="true" outlineLevel="1" collapsed="false">
      <c r="A349" s="176" t="n">
        <v>12</v>
      </c>
      <c r="B349" s="1" t="s">
        <v>885</v>
      </c>
      <c r="C349" s="1" t="s">
        <v>886</v>
      </c>
      <c r="D349" s="183" t="n">
        <f aca="false">$C$9/10</f>
        <v>9</v>
      </c>
      <c r="E349" s="176" t="str">
        <f aca="false">IFERROR(VLOOKUP($B349,'Unit Cost Database'!$A:$H,3,FALSE()),"LS")</f>
        <v>EA</v>
      </c>
      <c r="F349" s="184" t="n">
        <f aca="false">IFERROR(VLOOKUP($B349,'Unit Cost Database'!$A:$H,8,FALSE()),0)</f>
        <v>24500</v>
      </c>
      <c r="G349" s="179" t="n">
        <f aca="false">$F$7</f>
        <v>0.1</v>
      </c>
      <c r="H349" s="180" t="n">
        <f aca="false">IF(OR(D349="",F349="",D349=0,F349=0),0,D349*F349*$H$8*(1+G349)*(1+$H$7))</f>
        <v>251039.25</v>
      </c>
      <c r="I349" s="177" t="s">
        <v>361</v>
      </c>
      <c r="J349" s="185" t="s">
        <v>77</v>
      </c>
    </row>
    <row r="350" customFormat="false" ht="15" hidden="false" customHeight="true" outlineLevel="1" collapsed="false">
      <c r="A350" s="176" t="n">
        <v>13</v>
      </c>
      <c r="B350" s="1" t="s">
        <v>887</v>
      </c>
      <c r="C350" s="1" t="s">
        <v>888</v>
      </c>
      <c r="D350" s="183" t="n">
        <f aca="false">$C$6*0.1</f>
        <v>80000</v>
      </c>
      <c r="E350" s="176" t="str">
        <f aca="false">IFERROR(VLOOKUP($B350,'Unit Cost Database'!$A:$H,3,FALSE()),"LS")</f>
        <v>SF</v>
      </c>
      <c r="F350" s="184" t="n">
        <f aca="false">IFERROR(VLOOKUP($B350,'Unit Cost Database'!$A:$H,8,FALSE()),0)</f>
        <v>5.6</v>
      </c>
      <c r="G350" s="179" t="n">
        <f aca="false">$F$7</f>
        <v>0.1</v>
      </c>
      <c r="H350" s="180" t="n">
        <f aca="false">IF(OR(D350="",F350="",D350=0,F350=0),0,D350*F350*$H$8*(1+G350)*(1+$H$7))</f>
        <v>510048</v>
      </c>
      <c r="I350" s="177" t="s">
        <v>361</v>
      </c>
      <c r="J350" s="185" t="s">
        <v>77</v>
      </c>
    </row>
    <row r="351" customFormat="false" ht="15" hidden="false" customHeight="true" outlineLevel="1" collapsed="false">
      <c r="A351" s="176" t="n">
        <v>14</v>
      </c>
      <c r="B351" s="1" t="s">
        <v>889</v>
      </c>
      <c r="C351" s="1" t="s">
        <v>890</v>
      </c>
      <c r="D351" s="183" t="n">
        <f aca="false">3</f>
        <v>3</v>
      </c>
      <c r="E351" s="176" t="str">
        <f aca="false">IFERROR(VLOOKUP($B351,'Unit Cost Database'!$A:$H,3,FALSE()),"LS")</f>
        <v>EA</v>
      </c>
      <c r="F351" s="184" t="n">
        <f aca="false">IFERROR(VLOOKUP($B351,'Unit Cost Database'!$A:$H,8,FALSE()),0)</f>
        <v>52500</v>
      </c>
      <c r="G351" s="179" t="n">
        <f aca="false">$F$7</f>
        <v>0.1</v>
      </c>
      <c r="H351" s="180" t="n">
        <f aca="false">IF(OR(D351="",F351="",D351=0,F351=0),0,D351*F351*$H$8*(1+G351)*(1+$H$7))</f>
        <v>179313.75</v>
      </c>
      <c r="I351" s="177" t="s">
        <v>361</v>
      </c>
      <c r="J351" s="185" t="s">
        <v>77</v>
      </c>
    </row>
    <row r="352" customFormat="false" ht="15" hidden="false" customHeight="true" outlineLevel="1" collapsed="false">
      <c r="A352" s="176" t="n">
        <v>15</v>
      </c>
      <c r="B352" s="1" t="s">
        <v>891</v>
      </c>
      <c r="C352" s="1" t="s">
        <v>892</v>
      </c>
      <c r="D352" s="183" t="n">
        <f aca="false">3</f>
        <v>3</v>
      </c>
      <c r="E352" s="176" t="str">
        <f aca="false">IFERROR(VLOOKUP($B352,'Unit Cost Database'!$A:$H,3,FALSE()),"LS")</f>
        <v>EA</v>
      </c>
      <c r="F352" s="184" t="n">
        <f aca="false">IFERROR(VLOOKUP($B352,'Unit Cost Database'!$A:$H,8,FALSE()),0)</f>
        <v>60000</v>
      </c>
      <c r="G352" s="179" t="n">
        <f aca="false">$F$7</f>
        <v>0.1</v>
      </c>
      <c r="H352" s="180" t="n">
        <f aca="false">IF(OR(D352="",F352="",D352=0,F352=0),0,D352*F352*$H$8*(1+G352)*(1+$H$7))</f>
        <v>204930</v>
      </c>
      <c r="I352" s="177" t="s">
        <v>361</v>
      </c>
      <c r="J352" s="185" t="s">
        <v>77</v>
      </c>
    </row>
    <row r="353" customFormat="false" ht="15" hidden="false" customHeight="true" outlineLevel="1" collapsed="false">
      <c r="A353" s="176" t="n">
        <v>16</v>
      </c>
      <c r="B353" s="1" t="s">
        <v>893</v>
      </c>
      <c r="C353" s="1" t="s">
        <v>894</v>
      </c>
      <c r="D353" s="183" t="n">
        <f aca="false">3</f>
        <v>3</v>
      </c>
      <c r="E353" s="176" t="str">
        <f aca="false">IFERROR(VLOOKUP($B353,'Unit Cost Database'!$A:$H,3,FALSE()),"LS")</f>
        <v>EA</v>
      </c>
      <c r="F353" s="184" t="n">
        <f aca="false">IFERROR(VLOOKUP($B353,'Unit Cost Database'!$A:$H,8,FALSE()),0)</f>
        <v>175000</v>
      </c>
      <c r="G353" s="179" t="n">
        <f aca="false">$F$7</f>
        <v>0.1</v>
      </c>
      <c r="H353" s="180" t="n">
        <f aca="false">IF(OR(D353="",F353="",D353=0,F353=0),0,D353*F353*$H$8*(1+G353)*(1+$H$7))</f>
        <v>597712.5</v>
      </c>
      <c r="I353" s="177" t="s">
        <v>361</v>
      </c>
      <c r="J353" s="185" t="s">
        <v>77</v>
      </c>
    </row>
    <row r="354" customFormat="false" ht="15" hidden="false" customHeight="true" outlineLevel="1" collapsed="false">
      <c r="A354" s="176" t="n">
        <v>17</v>
      </c>
      <c r="B354" s="1" t="s">
        <v>895</v>
      </c>
      <c r="C354" s="1" t="s">
        <v>896</v>
      </c>
      <c r="D354" s="183" t="n">
        <v>1</v>
      </c>
      <c r="E354" s="176" t="str">
        <f aca="false">IFERROR(VLOOKUP($B354,'Unit Cost Database'!$A:$H,3,FALSE()),"LS")</f>
        <v>LS</v>
      </c>
      <c r="F354" s="184" t="n">
        <f aca="false">IFERROR(VLOOKUP($B354,'Unit Cost Database'!$A:$H,8,FALSE()),0)</f>
        <v>650000</v>
      </c>
      <c r="G354" s="179" t="n">
        <f aca="false">$F$7</f>
        <v>0.1</v>
      </c>
      <c r="H354" s="180" t="n">
        <f aca="false">IF(OR(D354="",F354="",D354=0,F354=0),0,D354*F354*$H$8*(1+G354)*(1+$H$7))</f>
        <v>740025</v>
      </c>
      <c r="I354" s="177" t="s">
        <v>361</v>
      </c>
      <c r="J354" s="185" t="s">
        <v>77</v>
      </c>
    </row>
    <row r="355" customFormat="false" ht="15" hidden="false" customHeight="true" outlineLevel="1" collapsed="false">
      <c r="A355" s="176" t="n">
        <v>18</v>
      </c>
      <c r="B355" s="1" t="s">
        <v>897</v>
      </c>
      <c r="C355" s="1" t="s">
        <v>898</v>
      </c>
      <c r="D355" s="183" t="n">
        <v>7200</v>
      </c>
      <c r="E355" s="176" t="str">
        <f aca="false">IFERROR(VLOOKUP($B355,'Unit Cost Database'!$A:$H,3,FALSE()),"LS")</f>
        <v>LF</v>
      </c>
      <c r="F355" s="184" t="n">
        <f aca="false">IFERROR(VLOOKUP($B355,'Unit Cost Database'!$A:$H,8,FALSE()),0)</f>
        <v>110</v>
      </c>
      <c r="G355" s="179" t="n">
        <f aca="false">$F$7</f>
        <v>0.1</v>
      </c>
      <c r="H355" s="180" t="n">
        <f aca="false">IF(OR(D355="",F355="",D355=0,F355=0),0,D355*F355*$H$8*(1+G355)*(1+$H$7))</f>
        <v>901692</v>
      </c>
      <c r="I355" s="177" t="s">
        <v>361</v>
      </c>
      <c r="J355" s="185" t="s">
        <v>77</v>
      </c>
    </row>
    <row r="356" customFormat="false" ht="15" hidden="false" customHeight="true" outlineLevel="1" collapsed="false">
      <c r="A356" s="176" t="n">
        <v>19</v>
      </c>
      <c r="B356" s="1" t="s">
        <v>899</v>
      </c>
      <c r="C356" s="1" t="s">
        <v>900</v>
      </c>
      <c r="D356" s="183" t="n">
        <v>1</v>
      </c>
      <c r="E356" s="176" t="str">
        <f aca="false">IFERROR(VLOOKUP($B356,'Unit Cost Database'!$A:$H,3,FALSE()),"LS")</f>
        <v>LS</v>
      </c>
      <c r="F356" s="184" t="n">
        <f aca="false">IFERROR(VLOOKUP($B356,'Unit Cost Database'!$A:$H,8,FALSE()),0)</f>
        <v>180000</v>
      </c>
      <c r="G356" s="179" t="n">
        <f aca="false">$F$7</f>
        <v>0.1</v>
      </c>
      <c r="H356" s="180" t="n">
        <f aca="false">IF(OR(D356="",F356="",D356=0,F356=0),0,D356*F356*$H$8*(1+G356)*(1+$H$7))</f>
        <v>204930</v>
      </c>
      <c r="I356" s="177" t="s">
        <v>361</v>
      </c>
      <c r="J356" s="185" t="s">
        <v>77</v>
      </c>
    </row>
    <row r="357" customFormat="false" ht="15" hidden="false" customHeight="true" outlineLevel="1" collapsed="false">
      <c r="A357" s="176" t="n">
        <v>20</v>
      </c>
      <c r="B357" s="1" t="s">
        <v>901</v>
      </c>
      <c r="C357" s="1" t="s">
        <v>902</v>
      </c>
      <c r="D357" s="183" t="n">
        <v>36</v>
      </c>
      <c r="E357" s="176" t="str">
        <f aca="false">IFERROR(VLOOKUP($B357,'Unit Cost Database'!$A:$H,3,FALSE()),"LS")</f>
        <v>EA</v>
      </c>
      <c r="F357" s="184" t="n">
        <f aca="false">IFERROR(VLOOKUP($B357,'Unit Cost Database'!$A:$H,8,FALSE()),0)</f>
        <v>3500</v>
      </c>
      <c r="G357" s="179" t="n">
        <f aca="false">$F$7</f>
        <v>0.1</v>
      </c>
      <c r="H357" s="180" t="n">
        <f aca="false">IF(OR(D357="",F357="",D357=0,F357=0),0,D357*F357*$H$8*(1+G357)*(1+$H$7))</f>
        <v>143451</v>
      </c>
      <c r="I357" s="177" t="s">
        <v>361</v>
      </c>
      <c r="J357" s="185" t="s">
        <v>77</v>
      </c>
    </row>
    <row r="358" customFormat="false" ht="15" hidden="false" customHeight="true" outlineLevel="1" collapsed="false">
      <c r="A358" s="176" t="n">
        <v>21</v>
      </c>
      <c r="B358" s="1" t="s">
        <v>903</v>
      </c>
      <c r="C358" s="1" t="s">
        <v>904</v>
      </c>
      <c r="D358" s="183" t="n">
        <v>120000</v>
      </c>
      <c r="E358" s="176" t="str">
        <f aca="false">IFERROR(VLOOKUP($B358,'Unit Cost Database'!$A:$H,3,FALSE()),"LS")</f>
        <v>SF</v>
      </c>
      <c r="F358" s="184" t="n">
        <f aca="false">IFERROR(VLOOKUP($B358,'Unit Cost Database'!$A:$H,8,FALSE()),0)</f>
        <v>4</v>
      </c>
      <c r="G358" s="179" t="n">
        <f aca="false">$F$7</f>
        <v>0.1</v>
      </c>
      <c r="H358" s="180" t="n">
        <f aca="false">IF(OR(D358="",F358="",D358=0,F358=0),0,D358*F358*$H$8*(1+G358)*(1+$H$7))</f>
        <v>546480</v>
      </c>
      <c r="I358" s="177" t="s">
        <v>361</v>
      </c>
      <c r="J358" s="185" t="s">
        <v>77</v>
      </c>
    </row>
    <row r="359" customFormat="false" ht="15" hidden="false" customHeight="true" outlineLevel="1" collapsed="false">
      <c r="A359" s="186"/>
      <c r="B359" s="187"/>
      <c r="C359" s="188" t="s">
        <v>905</v>
      </c>
      <c r="D359" s="189"/>
      <c r="E359" s="186"/>
      <c r="F359" s="190"/>
      <c r="G359" s="191"/>
      <c r="H359" s="192" t="n">
        <f aca="false">SUM(H328:H358)</f>
        <v>22577593.5</v>
      </c>
      <c r="I359" s="187"/>
      <c r="J359" s="187"/>
    </row>
    <row r="360" customFormat="false" ht="15" hidden="false" customHeight="true" outlineLevel="1" collapsed="false">
      <c r="A360" s="176"/>
      <c r="D360" s="177"/>
      <c r="E360" s="176"/>
      <c r="F360" s="178"/>
      <c r="G360" s="179"/>
      <c r="H360" s="180"/>
    </row>
    <row r="361" customFormat="false" ht="15" hidden="false" customHeight="true" outlineLevel="1" collapsed="false">
      <c r="A361" s="193" t="s">
        <v>906</v>
      </c>
      <c r="B361" s="193"/>
      <c r="C361" s="193"/>
      <c r="D361" s="193"/>
      <c r="E361" s="193"/>
      <c r="F361" s="193"/>
      <c r="G361" s="193"/>
      <c r="H361" s="193"/>
      <c r="I361" s="182"/>
      <c r="J361" s="182" t="s">
        <v>77</v>
      </c>
    </row>
    <row r="362" customFormat="false" ht="15" hidden="false" customHeight="true" outlineLevel="1" collapsed="false">
      <c r="A362" s="176" t="n">
        <v>1</v>
      </c>
      <c r="B362" s="195" t="s">
        <v>907</v>
      </c>
      <c r="C362" s="195" t="s">
        <v>908</v>
      </c>
      <c r="D362" s="183" t="n">
        <f aca="false">$C$6/2000</f>
        <v>400</v>
      </c>
      <c r="E362" s="176" t="str">
        <f aca="false">IFERROR(VLOOKUP($B362,'Unit Cost Database'!$A:$H,3,FALSE()),"LS")</f>
        <v>FIX</v>
      </c>
      <c r="F362" s="184" t="n">
        <f aca="false">IFERROR(VLOOKUP($B362,'Unit Cost Database'!$A:$H,8,FALSE()),0)</f>
        <v>2500</v>
      </c>
      <c r="G362" s="179" t="n">
        <f aca="false">$F$7</f>
        <v>0.1</v>
      </c>
      <c r="H362" s="180" t="n">
        <f aca="false">IF(OR(D362="",F362="",D362=0,F362=0),0,D362*F362*$H$8*(1+G362)*(1+$H$7))</f>
        <v>1138500</v>
      </c>
      <c r="I362" s="177" t="s">
        <v>361</v>
      </c>
      <c r="J362" s="185" t="s">
        <v>77</v>
      </c>
    </row>
    <row r="363" customFormat="false" ht="15" hidden="false" customHeight="true" outlineLevel="1" collapsed="false">
      <c r="A363" s="176" t="n">
        <v>2</v>
      </c>
      <c r="B363" s="195" t="s">
        <v>909</v>
      </c>
      <c r="C363" s="195" t="s">
        <v>910</v>
      </c>
      <c r="D363" s="183" t="n">
        <f aca="false">$C$6/3000</f>
        <v>266.666666666667</v>
      </c>
      <c r="E363" s="176" t="str">
        <f aca="false">IFERROR(VLOOKUP($B363,'Unit Cost Database'!$A:$H,3,FALSE()),"LS")</f>
        <v>FIX</v>
      </c>
      <c r="F363" s="184" t="n">
        <f aca="false">IFERROR(VLOOKUP($B363,'Unit Cost Database'!$A:$H,8,FALSE()),0)</f>
        <v>3850</v>
      </c>
      <c r="G363" s="179" t="n">
        <f aca="false">$F$7</f>
        <v>0.1</v>
      </c>
      <c r="H363" s="180" t="n">
        <f aca="false">IF(OR(D363="",F363="",D363=0,F363=0),0,D363*F363*$H$8*(1+G363)*(1+$H$7))</f>
        <v>1168860</v>
      </c>
      <c r="I363" s="177" t="s">
        <v>361</v>
      </c>
      <c r="J363" s="185" t="s">
        <v>77</v>
      </c>
    </row>
    <row r="364" customFormat="false" ht="15" hidden="false" customHeight="true" outlineLevel="1" collapsed="false">
      <c r="A364" s="176" t="n">
        <v>3</v>
      </c>
      <c r="B364" s="195" t="s">
        <v>911</v>
      </c>
      <c r="C364" s="195" t="s">
        <v>912</v>
      </c>
      <c r="D364" s="183" t="n">
        <f aca="false">$C$6/2500</f>
        <v>320</v>
      </c>
      <c r="E364" s="176" t="str">
        <f aca="false">IFERROR(VLOOKUP($B364,'Unit Cost Database'!$A:$H,3,FALSE()),"LS")</f>
        <v>FIX</v>
      </c>
      <c r="F364" s="184" t="n">
        <f aca="false">IFERROR(VLOOKUP($B364,'Unit Cost Database'!$A:$H,8,FALSE()),0)</f>
        <v>2800</v>
      </c>
      <c r="G364" s="179" t="n">
        <f aca="false">$F$7</f>
        <v>0.1</v>
      </c>
      <c r="H364" s="180" t="n">
        <f aca="false">IF(OR(D364="",F364="",D364=0,F364=0),0,D364*F364*$H$8*(1+G364)*(1+$H$7))</f>
        <v>1020096</v>
      </c>
      <c r="I364" s="177" t="s">
        <v>361</v>
      </c>
      <c r="J364" s="185" t="s">
        <v>77</v>
      </c>
    </row>
    <row r="365" customFormat="false" ht="15" hidden="false" customHeight="true" outlineLevel="1" collapsed="false">
      <c r="A365" s="176" t="n">
        <v>4</v>
      </c>
      <c r="B365" s="195" t="s">
        <v>913</v>
      </c>
      <c r="C365" s="195" t="s">
        <v>914</v>
      </c>
      <c r="D365" s="183" t="n">
        <f aca="false">$C$6</f>
        <v>800000</v>
      </c>
      <c r="E365" s="176" t="str">
        <f aca="false">IFERROR(VLOOKUP($B365,'Unit Cost Database'!$A:$H,3,FALSE()),"LS")</f>
        <v>SF</v>
      </c>
      <c r="F365" s="184" t="n">
        <f aca="false">IFERROR(VLOOKUP($B365,'Unit Cost Database'!$A:$H,8,FALSE()),0)</f>
        <v>0.84</v>
      </c>
      <c r="G365" s="179" t="n">
        <f aca="false">$F$7</f>
        <v>0.1</v>
      </c>
      <c r="H365" s="180" t="n">
        <f aca="false">IF(OR(D365="",F365="",D365=0,F365=0),0,D365*F365*$H$8*(1+G365)*(1+$H$7))</f>
        <v>765072</v>
      </c>
      <c r="I365" s="177" t="s">
        <v>361</v>
      </c>
      <c r="J365" s="185" t="s">
        <v>77</v>
      </c>
    </row>
    <row r="366" customFormat="false" ht="15" hidden="false" customHeight="true" outlineLevel="1" collapsed="false">
      <c r="A366" s="176" t="n">
        <v>5</v>
      </c>
      <c r="B366" s="195" t="s">
        <v>915</v>
      </c>
      <c r="C366" s="195" t="s">
        <v>916</v>
      </c>
      <c r="D366" s="183" t="n">
        <v>12825</v>
      </c>
      <c r="E366" s="176" t="str">
        <f aca="false">IFERROR(VLOOKUP($B366,'Unit Cost Database'!$A:$H,3,FALSE()),"LS")</f>
        <v>GPM</v>
      </c>
      <c r="F366" s="184" t="n">
        <f aca="false">IFERROR(VLOOKUP($B366,'Unit Cost Database'!$A:$H,8,FALSE()),0)</f>
        <v>800</v>
      </c>
      <c r="G366" s="179" t="n">
        <f aca="false">$F$7</f>
        <v>0.1</v>
      </c>
      <c r="H366" s="180" t="n">
        <f aca="false">IF(OR(D366="",F366="",D366=0,F366=0),0,D366*F366*$H$8*(1+G366)*(1+$H$7))</f>
        <v>11681010</v>
      </c>
      <c r="I366" s="177" t="s">
        <v>361</v>
      </c>
      <c r="J366" s="185" t="s">
        <v>77</v>
      </c>
    </row>
    <row r="367" customFormat="false" ht="15" hidden="false" customHeight="true" outlineLevel="1" collapsed="false">
      <c r="A367" s="176"/>
      <c r="B367" s="195" t="s">
        <v>917</v>
      </c>
      <c r="C367" s="195" t="s">
        <v>918</v>
      </c>
      <c r="D367" s="183" t="n">
        <v>0</v>
      </c>
      <c r="E367" s="176" t="str">
        <f aca="false">IFERROR(VLOOKUP($B367,'Unit Cost Database'!$A:$H,3,FALSE()),"LS")</f>
        <v>LS</v>
      </c>
      <c r="F367" s="194" t="n">
        <f aca="false">IFERROR(VLOOKUP($B367,'Unit Cost Database'!$A:$H,8,FALSE()),0)</f>
        <v>4104000</v>
      </c>
      <c r="G367" s="179" t="n">
        <f aca="false">$F$7</f>
        <v>0.1</v>
      </c>
      <c r="H367" s="180" t="n">
        <f aca="false">IF(OR(D367="",F367="",D367=0,F367=0),0,D367*F367*$H$8*(1+G367)*(1+$H$7))</f>
        <v>0</v>
      </c>
      <c r="I367" s="177" t="s">
        <v>361</v>
      </c>
      <c r="J367" s="185" t="s">
        <v>77</v>
      </c>
    </row>
    <row r="368" customFormat="false" ht="15" hidden="false" customHeight="true" outlineLevel="1" collapsed="false">
      <c r="A368" s="176"/>
      <c r="B368" s="195" t="s">
        <v>919</v>
      </c>
      <c r="C368" s="195" t="s">
        <v>920</v>
      </c>
      <c r="D368" s="183" t="n">
        <v>0</v>
      </c>
      <c r="E368" s="176" t="str">
        <f aca="false">IFERROR(VLOOKUP($B368,'Unit Cost Database'!$A:$H,3,FALSE()),"LS")</f>
        <v>LS</v>
      </c>
      <c r="F368" s="194" t="n">
        <f aca="false">IFERROR(VLOOKUP($B368,'Unit Cost Database'!$A:$H,8,FALSE()),0)</f>
        <v>3078000</v>
      </c>
      <c r="G368" s="179" t="n">
        <f aca="false">$F$7</f>
        <v>0.1</v>
      </c>
      <c r="H368" s="180" t="n">
        <f aca="false">IF(OR(D368="",F368="",D368=0,F368=0),0,D368*F368*$H$8*(1+G368)*(1+$H$7))</f>
        <v>0</v>
      </c>
      <c r="I368" s="177" t="s">
        <v>361</v>
      </c>
      <c r="J368" s="185" t="s">
        <v>77</v>
      </c>
    </row>
    <row r="369" customFormat="false" ht="15" hidden="false" customHeight="true" outlineLevel="1" collapsed="false">
      <c r="A369" s="176"/>
      <c r="B369" s="195" t="s">
        <v>921</v>
      </c>
      <c r="C369" s="195" t="s">
        <v>922</v>
      </c>
      <c r="D369" s="183" t="n">
        <v>0</v>
      </c>
      <c r="E369" s="176" t="str">
        <f aca="false">IFERROR(VLOOKUP($B369,'Unit Cost Database'!$A:$H,3,FALSE()),"LS")</f>
        <v>LS</v>
      </c>
      <c r="F369" s="194" t="n">
        <f aca="false">IFERROR(VLOOKUP($B369,'Unit Cost Database'!$A:$H,8,FALSE()),0)</f>
        <v>2052000</v>
      </c>
      <c r="G369" s="179" t="n">
        <f aca="false">$F$7</f>
        <v>0.1</v>
      </c>
      <c r="H369" s="180" t="n">
        <f aca="false">IF(OR(D369="",F369="",D369=0,F369=0),0,D369*F369*$H$8*(1+G369)*(1+$H$7))</f>
        <v>0</v>
      </c>
      <c r="I369" s="177" t="s">
        <v>361</v>
      </c>
      <c r="J369" s="185" t="s">
        <v>77</v>
      </c>
    </row>
    <row r="370" customFormat="false" ht="15" hidden="false" customHeight="true" outlineLevel="1" collapsed="false">
      <c r="A370" s="176"/>
      <c r="B370" s="195" t="s">
        <v>923</v>
      </c>
      <c r="C370" s="195" t="s">
        <v>924</v>
      </c>
      <c r="D370" s="183" t="n">
        <v>0</v>
      </c>
      <c r="E370" s="176" t="str">
        <f aca="false">IFERROR(VLOOKUP($B370,'Unit Cost Database'!$A:$H,3,FALSE()),"LS")</f>
        <v>LS</v>
      </c>
      <c r="F370" s="194" t="n">
        <f aca="false">IFERROR(VLOOKUP($B370,'Unit Cost Database'!$A:$H,8,FALSE()),0)</f>
        <v>1026000</v>
      </c>
      <c r="G370" s="179" t="n">
        <f aca="false">$F$7</f>
        <v>0.1</v>
      </c>
      <c r="H370" s="180" t="n">
        <f aca="false">IF(OR(D370="",F370="",D370=0,F370=0),0,D370*F370*$H$8*(1+G370)*(1+$H$7))</f>
        <v>0</v>
      </c>
      <c r="I370" s="177" t="s">
        <v>361</v>
      </c>
      <c r="J370" s="185" t="s">
        <v>77</v>
      </c>
    </row>
    <row r="371" customFormat="false" ht="15" hidden="false" customHeight="true" outlineLevel="1" collapsed="false">
      <c r="A371" s="176" t="n">
        <v>6</v>
      </c>
      <c r="B371" s="195" t="s">
        <v>925</v>
      </c>
      <c r="C371" s="195" t="s">
        <v>926</v>
      </c>
      <c r="D371" s="183" t="n">
        <f aca="false">$C$12*0.05</f>
        <v>1282.5</v>
      </c>
      <c r="E371" s="176" t="str">
        <f aca="false">IFERROR(VLOOKUP($B371,'Unit Cost Database'!$A:$H,3,FALSE()),"LS")</f>
        <v>GPM</v>
      </c>
      <c r="F371" s="184" t="n">
        <f aca="false">IFERROR(VLOOKUP($B371,'Unit Cost Database'!$A:$H,8,FALSE()),0)</f>
        <v>140</v>
      </c>
      <c r="G371" s="179" t="n">
        <f aca="false">$F$7</f>
        <v>0.1</v>
      </c>
      <c r="H371" s="180" t="n">
        <f aca="false">IF(OR(D371="",F371="",D371=0,F371=0),0,D371*F371*$H$8*(1+G371)*(1+$H$7))</f>
        <v>204417.675</v>
      </c>
      <c r="I371" s="177" t="s">
        <v>361</v>
      </c>
      <c r="J371" s="185" t="s">
        <v>77</v>
      </c>
    </row>
    <row r="372" customFormat="false" ht="15" hidden="false" customHeight="true" outlineLevel="1" collapsed="false">
      <c r="A372" s="176" t="n">
        <v>7</v>
      </c>
      <c r="B372" s="195" t="s">
        <v>927</v>
      </c>
      <c r="C372" s="195" t="s">
        <v>928</v>
      </c>
      <c r="D372" s="183" t="n">
        <f aca="false">$C$6/10000</f>
        <v>80</v>
      </c>
      <c r="E372" s="176" t="str">
        <f aca="false">IFERROR(VLOOKUP($B372,'Unit Cost Database'!$A:$H,3,FALSE()),"LS")</f>
        <v>EA</v>
      </c>
      <c r="F372" s="184" t="n">
        <f aca="false">IFERROR(VLOOKUP($B372,'Unit Cost Database'!$A:$H,8,FALSE()),0)</f>
        <v>3150</v>
      </c>
      <c r="G372" s="179" t="n">
        <f aca="false">$F$7</f>
        <v>0.1</v>
      </c>
      <c r="H372" s="180" t="n">
        <f aca="false">IF(OR(D372="",F372="",D372=0,F372=0),0,D372*F372*$H$8*(1+G372)*(1+$H$7))</f>
        <v>286902</v>
      </c>
      <c r="I372" s="177" t="s">
        <v>361</v>
      </c>
      <c r="J372" s="185" t="s">
        <v>77</v>
      </c>
    </row>
    <row r="373" customFormat="false" ht="15" hidden="false" customHeight="true" outlineLevel="1" collapsed="false">
      <c r="A373" s="176" t="n">
        <v>8</v>
      </c>
      <c r="B373" s="195" t="s">
        <v>929</v>
      </c>
      <c r="C373" s="195" t="s">
        <v>930</v>
      </c>
      <c r="D373" s="183" t="n">
        <f aca="false">3</f>
        <v>3</v>
      </c>
      <c r="E373" s="176" t="str">
        <f aca="false">IFERROR(VLOOKUP($B373,'Unit Cost Database'!$A:$H,3,FALSE()),"LS")</f>
        <v>EA</v>
      </c>
      <c r="F373" s="184" t="n">
        <f aca="false">IFERROR(VLOOKUP($B373,'Unit Cost Database'!$A:$H,8,FALSE()),0)</f>
        <v>15000</v>
      </c>
      <c r="G373" s="179" t="n">
        <f aca="false">$F$7</f>
        <v>0.1</v>
      </c>
      <c r="H373" s="180" t="n">
        <f aca="false">IF(OR(D373="",F373="",D373=0,F373=0),0,D373*F373*$H$8*(1+G373)*(1+$H$7))</f>
        <v>51232.5</v>
      </c>
      <c r="I373" s="177" t="s">
        <v>361</v>
      </c>
      <c r="J373" s="185" t="s">
        <v>77</v>
      </c>
    </row>
    <row r="374" customFormat="false" ht="15" hidden="false" customHeight="true" outlineLevel="1" collapsed="false">
      <c r="A374" s="176" t="n">
        <v>9</v>
      </c>
      <c r="B374" s="195" t="s">
        <v>931</v>
      </c>
      <c r="C374" s="195" t="s">
        <v>932</v>
      </c>
      <c r="D374" s="183" t="n">
        <f aca="false">1</f>
        <v>1</v>
      </c>
      <c r="E374" s="176" t="str">
        <f aca="false">IFERROR(VLOOKUP($B374,'Unit Cost Database'!$A:$H,3,FALSE()),"LS")</f>
        <v>EA</v>
      </c>
      <c r="F374" s="184" t="n">
        <f aca="false">IFERROR(VLOOKUP($B374,'Unit Cost Database'!$A:$H,8,FALSE()),0)</f>
        <v>17500</v>
      </c>
      <c r="G374" s="179" t="n">
        <f aca="false">$F$7</f>
        <v>0.1</v>
      </c>
      <c r="H374" s="180" t="n">
        <f aca="false">IF(OR(D374="",F374="",D374=0,F374=0),0,D374*F374*$H$8*(1+G374)*(1+$H$7))</f>
        <v>19923.75</v>
      </c>
      <c r="I374" s="177" t="s">
        <v>361</v>
      </c>
      <c r="J374" s="185" t="s">
        <v>77</v>
      </c>
    </row>
    <row r="375" customFormat="false" ht="15" hidden="false" customHeight="true" outlineLevel="1" collapsed="false">
      <c r="A375" s="176" t="n">
        <v>10</v>
      </c>
      <c r="B375" s="195" t="s">
        <v>933</v>
      </c>
      <c r="C375" s="195" t="s">
        <v>934</v>
      </c>
      <c r="D375" s="183" t="n">
        <f aca="false">$C$11*200</f>
        <v>22500</v>
      </c>
      <c r="E375" s="176" t="str">
        <f aca="false">IFERROR(VLOOKUP($B375,'Unit Cost Database'!$A:$H,3,FALSE()),"LS")</f>
        <v>LF</v>
      </c>
      <c r="F375" s="184" t="n">
        <f aca="false">IFERROR(VLOOKUP($B375,'Unit Cost Database'!$A:$H,8,FALSE()),0)</f>
        <v>45.5</v>
      </c>
      <c r="G375" s="179" t="n">
        <f aca="false">$F$7</f>
        <v>0.1</v>
      </c>
      <c r="H375" s="180" t="n">
        <f aca="false">IF(OR(D375="",F375="",D375=0,F375=0),0,D375*F375*$H$8*(1+G375)*(1+$H$7))</f>
        <v>1165539.375</v>
      </c>
      <c r="I375" s="177" t="s">
        <v>361</v>
      </c>
      <c r="J375" s="185" t="s">
        <v>77</v>
      </c>
    </row>
    <row r="376" customFormat="false" ht="15" hidden="false" customHeight="true" outlineLevel="1" collapsed="false">
      <c r="A376" s="176" t="n">
        <v>11</v>
      </c>
      <c r="B376" s="195" t="s">
        <v>935</v>
      </c>
      <c r="C376" s="195" t="s">
        <v>936</v>
      </c>
      <c r="D376" s="183" t="n">
        <f aca="false">$C$11*50</f>
        <v>5625</v>
      </c>
      <c r="E376" s="176" t="str">
        <f aca="false">IFERROR(VLOOKUP($B376,'Unit Cost Database'!$A:$H,3,FALSE()),"LS")</f>
        <v>LF</v>
      </c>
      <c r="F376" s="184" t="n">
        <f aca="false">IFERROR(VLOOKUP($B376,'Unit Cost Database'!$A:$H,8,FALSE()),0)</f>
        <v>59.5</v>
      </c>
      <c r="G376" s="179" t="n">
        <f aca="false">$F$7</f>
        <v>0.1</v>
      </c>
      <c r="H376" s="180" t="n">
        <f aca="false">IF(OR(D376="",F376="",D376=0,F376=0),0,D376*F376*$H$8*(1+G376)*(1+$H$7))</f>
        <v>381041.71875</v>
      </c>
      <c r="I376" s="177" t="s">
        <v>361</v>
      </c>
      <c r="J376" s="185" t="s">
        <v>77</v>
      </c>
    </row>
    <row r="377" customFormat="false" ht="15" hidden="false" customHeight="true" outlineLevel="1" collapsed="false">
      <c r="A377" s="176" t="n">
        <v>12</v>
      </c>
      <c r="B377" s="195" t="s">
        <v>937</v>
      </c>
      <c r="C377" s="195" t="s">
        <v>938</v>
      </c>
      <c r="D377" s="183" t="n">
        <f aca="false">10</f>
        <v>10</v>
      </c>
      <c r="E377" s="176" t="str">
        <f aca="false">IFERROR(VLOOKUP($B377,'Unit Cost Database'!$A:$H,3,FALSE()),"LS")</f>
        <v>EA</v>
      </c>
      <c r="F377" s="184" t="n">
        <f aca="false">IFERROR(VLOOKUP($B377,'Unit Cost Database'!$A:$H,8,FALSE()),0)</f>
        <v>8400</v>
      </c>
      <c r="G377" s="179" t="n">
        <f aca="false">$F$7</f>
        <v>0.1</v>
      </c>
      <c r="H377" s="180" t="n">
        <f aca="false">IF(OR(D377="",F377="",D377=0,F377=0),0,D377*F377*$H$8*(1+G377)*(1+$H$7))</f>
        <v>95634</v>
      </c>
      <c r="I377" s="177" t="s">
        <v>361</v>
      </c>
      <c r="J377" s="185" t="s">
        <v>77</v>
      </c>
    </row>
    <row r="378" customFormat="false" ht="15" hidden="false" customHeight="true" outlineLevel="1" collapsed="false">
      <c r="A378" s="176" t="n">
        <v>13</v>
      </c>
      <c r="B378" s="195" t="s">
        <v>939</v>
      </c>
      <c r="C378" s="195" t="s">
        <v>940</v>
      </c>
      <c r="D378" s="183" t="n">
        <v>24</v>
      </c>
      <c r="E378" s="176" t="str">
        <f aca="false">IFERROR(VLOOKUP($B378,'Unit Cost Database'!$A:$H,3,FALSE()),"LS")</f>
        <v>EA</v>
      </c>
      <c r="F378" s="184" t="n">
        <f aca="false">IFERROR(VLOOKUP($B378,'Unit Cost Database'!$A:$H,8,FALSE()),0)</f>
        <v>9500</v>
      </c>
      <c r="G378" s="179" t="n">
        <f aca="false">$F$7</f>
        <v>0.1</v>
      </c>
      <c r="H378" s="180" t="n">
        <f aca="false">IF(OR(D378="",F378="",D378=0,F378=0),0,D378*F378*$H$8*(1+G378)*(1+$H$7))</f>
        <v>259578</v>
      </c>
      <c r="I378" s="177" t="s">
        <v>361</v>
      </c>
      <c r="J378" s="185" t="s">
        <v>77</v>
      </c>
    </row>
    <row r="379" customFormat="false" ht="15" hidden="false" customHeight="true" outlineLevel="1" collapsed="false">
      <c r="A379" s="176" t="n">
        <v>14</v>
      </c>
      <c r="B379" s="195" t="s">
        <v>941</v>
      </c>
      <c r="C379" s="195" t="s">
        <v>942</v>
      </c>
      <c r="D379" s="183" t="n">
        <v>1</v>
      </c>
      <c r="E379" s="176" t="str">
        <f aca="false">IFERROR(VLOOKUP($B379,'Unit Cost Database'!$A:$H,3,FALSE()),"LS")</f>
        <v>LS</v>
      </c>
      <c r="F379" s="184" t="n">
        <f aca="false">IFERROR(VLOOKUP($B379,'Unit Cost Database'!$A:$H,8,FALSE()),0)</f>
        <v>1200000</v>
      </c>
      <c r="G379" s="179" t="n">
        <f aca="false">$F$7</f>
        <v>0.1</v>
      </c>
      <c r="H379" s="180" t="n">
        <f aca="false">IF(OR(D379="",F379="",D379=0,F379=0),0,D379*F379*$H$8*(1+G379)*(1+$H$7))</f>
        <v>1366200</v>
      </c>
      <c r="I379" s="177" t="s">
        <v>361</v>
      </c>
      <c r="J379" s="185" t="s">
        <v>77</v>
      </c>
    </row>
    <row r="380" customFormat="false" ht="15" hidden="false" customHeight="true" outlineLevel="1" collapsed="false">
      <c r="A380" s="176" t="n">
        <v>15</v>
      </c>
      <c r="B380" s="195" t="s">
        <v>943</v>
      </c>
      <c r="C380" s="195" t="s">
        <v>944</v>
      </c>
      <c r="D380" s="183" t="n">
        <v>4800</v>
      </c>
      <c r="E380" s="176" t="str">
        <f aca="false">IFERROR(VLOOKUP($B380,'Unit Cost Database'!$A:$H,3,FALSE()),"LS")</f>
        <v>LF</v>
      </c>
      <c r="F380" s="184" t="n">
        <f aca="false">IFERROR(VLOOKUP($B380,'Unit Cost Database'!$A:$H,8,FALSE()),0)</f>
        <v>95</v>
      </c>
      <c r="G380" s="179" t="n">
        <f aca="false">$F$7</f>
        <v>0.1</v>
      </c>
      <c r="H380" s="180" t="n">
        <f aca="false">IF(OR(D380="",F380="",D380=0,F380=0),0,D380*F380*$H$8*(1+G380)*(1+$H$7))</f>
        <v>519156</v>
      </c>
      <c r="I380" s="177" t="s">
        <v>361</v>
      </c>
      <c r="J380" s="185" t="s">
        <v>77</v>
      </c>
    </row>
    <row r="381" customFormat="false" ht="15" hidden="false" customHeight="true" outlineLevel="1" collapsed="false">
      <c r="A381" s="176" t="n">
        <v>16</v>
      </c>
      <c r="B381" s="195" t="s">
        <v>945</v>
      </c>
      <c r="C381" s="195" t="s">
        <v>946</v>
      </c>
      <c r="D381" s="183" t="n">
        <v>9000</v>
      </c>
      <c r="E381" s="176" t="str">
        <f aca="false">IFERROR(VLOOKUP($B381,'Unit Cost Database'!$A:$H,3,FALSE()),"LS")</f>
        <v>LF</v>
      </c>
      <c r="F381" s="184" t="n">
        <f aca="false">IFERROR(VLOOKUP($B381,'Unit Cost Database'!$A:$H,8,FALSE()),0)</f>
        <v>110</v>
      </c>
      <c r="G381" s="179" t="n">
        <f aca="false">$F$7</f>
        <v>0.1</v>
      </c>
      <c r="H381" s="180" t="n">
        <f aca="false">IF(OR(D381="",F381="",D381=0,F381=0),0,D381*F381*$H$8*(1+G381)*(1+$H$7))</f>
        <v>1127115</v>
      </c>
      <c r="I381" s="177" t="s">
        <v>361</v>
      </c>
      <c r="J381" s="185" t="s">
        <v>77</v>
      </c>
    </row>
    <row r="382" customFormat="false" ht="15" hidden="false" customHeight="true" outlineLevel="1" collapsed="false">
      <c r="A382" s="176" t="n">
        <v>17</v>
      </c>
      <c r="B382" s="195" t="s">
        <v>947</v>
      </c>
      <c r="C382" s="195" t="s">
        <v>948</v>
      </c>
      <c r="D382" s="183" t="n">
        <v>480</v>
      </c>
      <c r="E382" s="176" t="str">
        <f aca="false">IFERROR(VLOOKUP($B382,'Unit Cost Database'!$A:$H,3,FALSE()),"LS")</f>
        <v>EA</v>
      </c>
      <c r="F382" s="184" t="n">
        <f aca="false">IFERROR(VLOOKUP($B382,'Unit Cost Database'!$A:$H,8,FALSE()),0)</f>
        <v>650</v>
      </c>
      <c r="G382" s="179" t="n">
        <f aca="false">$F$7</f>
        <v>0.1</v>
      </c>
      <c r="H382" s="180" t="n">
        <f aca="false">IF(OR(D382="",F382="",D382=0,F382=0),0,D382*F382*$H$8*(1+G382)*(1+$H$7))</f>
        <v>355212</v>
      </c>
      <c r="I382" s="177" t="s">
        <v>361</v>
      </c>
      <c r="J382" s="185" t="s">
        <v>77</v>
      </c>
    </row>
    <row r="383" customFormat="false" ht="15" hidden="false" customHeight="true" outlineLevel="1" collapsed="false">
      <c r="A383" s="176" t="n">
        <v>18</v>
      </c>
      <c r="B383" s="195" t="s">
        <v>949</v>
      </c>
      <c r="C383" s="195" t="s">
        <v>950</v>
      </c>
      <c r="D383" s="183" t="n">
        <v>22000</v>
      </c>
      <c r="E383" s="176" t="str">
        <f aca="false">IFERROR(VLOOKUP($B383,'Unit Cost Database'!$A:$H,3,FALSE()),"LS")</f>
        <v>LF</v>
      </c>
      <c r="F383" s="184" t="n">
        <f aca="false">IFERROR(VLOOKUP($B383,'Unit Cost Database'!$A:$H,8,FALSE()),0)</f>
        <v>9</v>
      </c>
      <c r="G383" s="179" t="n">
        <f aca="false">$F$7</f>
        <v>0.1</v>
      </c>
      <c r="H383" s="180" t="n">
        <f aca="false">IF(OR(D383="",F383="",D383=0,F383=0),0,D383*F383*$H$8*(1+G383)*(1+$H$7))</f>
        <v>225423</v>
      </c>
      <c r="I383" s="177" t="s">
        <v>361</v>
      </c>
      <c r="J383" s="185" t="s">
        <v>77</v>
      </c>
    </row>
    <row r="384" customFormat="false" ht="15" hidden="false" customHeight="true" outlineLevel="1" collapsed="false">
      <c r="A384" s="176" t="n">
        <v>19</v>
      </c>
      <c r="B384" s="195" t="s">
        <v>951</v>
      </c>
      <c r="C384" s="195" t="s">
        <v>952</v>
      </c>
      <c r="D384" s="183" t="n">
        <v>24</v>
      </c>
      <c r="E384" s="176" t="str">
        <f aca="false">IFERROR(VLOOKUP($B384,'Unit Cost Database'!$A:$H,3,FALSE()),"LS")</f>
        <v>EA</v>
      </c>
      <c r="F384" s="184" t="n">
        <f aca="false">IFERROR(VLOOKUP($B384,'Unit Cost Database'!$A:$H,8,FALSE()),0)</f>
        <v>12000</v>
      </c>
      <c r="G384" s="179" t="n">
        <f aca="false">$F$7</f>
        <v>0.1</v>
      </c>
      <c r="H384" s="180" t="n">
        <f aca="false">IF(OR(D384="",F384="",D384=0,F384=0),0,D384*F384*$H$8*(1+G384)*(1+$H$7))</f>
        <v>327888</v>
      </c>
      <c r="I384" s="177" t="s">
        <v>361</v>
      </c>
      <c r="J384" s="185" t="s">
        <v>77</v>
      </c>
    </row>
    <row r="385" customFormat="false" ht="15" hidden="false" customHeight="true" outlineLevel="1" collapsed="false">
      <c r="A385" s="176" t="n">
        <v>20</v>
      </c>
      <c r="B385" s="195" t="s">
        <v>953</v>
      </c>
      <c r="C385" s="195" t="s">
        <v>954</v>
      </c>
      <c r="D385" s="183" t="n">
        <v>120</v>
      </c>
      <c r="E385" s="176" t="str">
        <f aca="false">IFERROR(VLOOKUP($B385,'Unit Cost Database'!$A:$H,3,FALSE()),"LS")</f>
        <v>EA</v>
      </c>
      <c r="F385" s="184" t="n">
        <f aca="false">IFERROR(VLOOKUP($B385,'Unit Cost Database'!$A:$H,8,FALSE()),0)</f>
        <v>450</v>
      </c>
      <c r="G385" s="179" t="n">
        <f aca="false">$F$7</f>
        <v>0.1</v>
      </c>
      <c r="H385" s="180" t="n">
        <f aca="false">IF(OR(D385="",F385="",D385=0,F385=0),0,D385*F385*$H$8*(1+G385)*(1+$H$7))</f>
        <v>61479</v>
      </c>
      <c r="I385" s="177" t="s">
        <v>361</v>
      </c>
      <c r="J385" s="185" t="s">
        <v>77</v>
      </c>
    </row>
    <row r="386" customFormat="false" ht="15" hidden="false" customHeight="true" outlineLevel="1" collapsed="false">
      <c r="A386" s="176" t="n">
        <v>21</v>
      </c>
      <c r="B386" s="195" t="s">
        <v>955</v>
      </c>
      <c r="C386" s="195" t="s">
        <v>956</v>
      </c>
      <c r="D386" s="183" t="n">
        <v>18</v>
      </c>
      <c r="E386" s="176" t="str">
        <f aca="false">IFERROR(VLOOKUP($B386,'Unit Cost Database'!$A:$H,3,FALSE()),"LS")</f>
        <v>EA</v>
      </c>
      <c r="F386" s="184" t="n">
        <f aca="false">IFERROR(VLOOKUP($B386,'Unit Cost Database'!$A:$H,8,FALSE()),0)</f>
        <v>4500</v>
      </c>
      <c r="G386" s="179" t="n">
        <f aca="false">$F$7</f>
        <v>0.1</v>
      </c>
      <c r="H386" s="180" t="n">
        <f aca="false">IF(OR(D386="",F386="",D386=0,F386=0),0,D386*F386*$H$8*(1+G386)*(1+$H$7))</f>
        <v>92218.5</v>
      </c>
      <c r="I386" s="177" t="s">
        <v>361</v>
      </c>
      <c r="J386" s="185" t="s">
        <v>77</v>
      </c>
    </row>
    <row r="387" customFormat="false" ht="15" hidden="false" customHeight="true" outlineLevel="1" collapsed="false">
      <c r="A387" s="186"/>
      <c r="B387" s="187"/>
      <c r="C387" s="188" t="s">
        <v>957</v>
      </c>
      <c r="D387" s="189"/>
      <c r="E387" s="186"/>
      <c r="F387" s="190"/>
      <c r="G387" s="191"/>
      <c r="H387" s="192" t="n">
        <f aca="false">SUM(H362:H386)</f>
        <v>22312498.51875</v>
      </c>
      <c r="I387" s="187"/>
      <c r="J387" s="187"/>
    </row>
    <row r="388" customFormat="false" ht="15" hidden="false" customHeight="true" outlineLevel="1" collapsed="false">
      <c r="B388" s="195"/>
      <c r="C388" s="195"/>
      <c r="D388" s="176"/>
      <c r="E388" s="176"/>
      <c r="F388" s="180"/>
      <c r="G388" s="195"/>
      <c r="H388" s="195"/>
    </row>
    <row r="389" customFormat="false" ht="15" hidden="false" customHeight="true" outlineLevel="1" collapsed="false">
      <c r="A389" s="193" t="s">
        <v>958</v>
      </c>
      <c r="B389" s="193"/>
      <c r="C389" s="193"/>
      <c r="D389" s="193"/>
      <c r="E389" s="193"/>
      <c r="F389" s="193"/>
      <c r="G389" s="193"/>
      <c r="H389" s="193"/>
      <c r="I389" s="182"/>
      <c r="J389" s="182" t="s">
        <v>77</v>
      </c>
    </row>
    <row r="390" customFormat="false" ht="15" hidden="false" customHeight="true" outlineLevel="1" collapsed="false">
      <c r="A390" s="176" t="n">
        <v>1</v>
      </c>
      <c r="B390" s="195" t="s">
        <v>959</v>
      </c>
      <c r="C390" s="195" t="s">
        <v>960</v>
      </c>
      <c r="D390" s="183" t="n">
        <v>800000</v>
      </c>
      <c r="E390" s="176" t="str">
        <f aca="false">IFERROR(VLOOKUP($B390,'Unit Cost Database'!$A:$H,3,FALSE()),"LS")</f>
        <v>SF</v>
      </c>
      <c r="F390" s="184" t="n">
        <f aca="false">IFERROR(VLOOKUP($B390,'Unit Cost Database'!$A:$H,8,FALSE()),0)</f>
        <v>2.8</v>
      </c>
      <c r="G390" s="179" t="n">
        <f aca="false">$F$7</f>
        <v>0.1</v>
      </c>
      <c r="H390" s="180" t="n">
        <f aca="false">IF(OR(D390="",F390="",D390=0,F390=0),0,D390*F390*$H$8*(1+G390)*(1+$H$7))</f>
        <v>2550240</v>
      </c>
      <c r="I390" s="177" t="s">
        <v>361</v>
      </c>
      <c r="J390" s="185" t="s">
        <v>77</v>
      </c>
    </row>
    <row r="391" customFormat="false" ht="15" hidden="false" customHeight="true" outlineLevel="1" collapsed="false">
      <c r="A391" s="176"/>
      <c r="B391" s="195" t="s">
        <v>961</v>
      </c>
      <c r="C391" s="195" t="s">
        <v>962</v>
      </c>
      <c r="D391" s="183" t="n">
        <v>0</v>
      </c>
      <c r="E391" s="176" t="str">
        <f aca="false">IFERROR(VLOOKUP($B391,'Unit Cost Database'!$A:$H,3,FALSE()),"LS")</f>
        <v>LS</v>
      </c>
      <c r="F391" s="184" t="n">
        <f aca="false">IFERROR(VLOOKUP($B391,'Unit Cost Database'!$A:$H,8,FALSE()),0)</f>
        <v>1232000</v>
      </c>
      <c r="G391" s="179" t="n">
        <f aca="false">$F$7</f>
        <v>0.1</v>
      </c>
      <c r="H391" s="180" t="n">
        <f aca="false">IF(OR(D391="",F391="",D391=0,F391=0),0,D391*F391*$H$8*(1+G391)*(1+$H$7))</f>
        <v>0</v>
      </c>
      <c r="I391" s="177" t="s">
        <v>361</v>
      </c>
      <c r="J391" s="185" t="s">
        <v>77</v>
      </c>
    </row>
    <row r="392" customFormat="false" ht="15" hidden="false" customHeight="true" outlineLevel="1" collapsed="false">
      <c r="A392" s="176"/>
      <c r="B392" s="195" t="s">
        <v>963</v>
      </c>
      <c r="C392" s="195" t="s">
        <v>964</v>
      </c>
      <c r="D392" s="183" t="n">
        <v>0</v>
      </c>
      <c r="E392" s="176" t="str">
        <f aca="false">IFERROR(VLOOKUP($B392,'Unit Cost Database'!$A:$H,3,FALSE()),"LS")</f>
        <v>LS</v>
      </c>
      <c r="F392" s="184" t="n">
        <f aca="false">IFERROR(VLOOKUP($B392,'Unit Cost Database'!$A:$H,8,FALSE()),0)</f>
        <v>560000</v>
      </c>
      <c r="G392" s="179" t="n">
        <f aca="false">$F$7</f>
        <v>0.1</v>
      </c>
      <c r="H392" s="180" t="n">
        <f aca="false">IF(OR(D392="",F392="",D392=0,F392=0),0,D392*F392*$H$8*(1+G392)*(1+$H$7))</f>
        <v>0</v>
      </c>
      <c r="I392" s="177" t="s">
        <v>361</v>
      </c>
      <c r="J392" s="185" t="s">
        <v>77</v>
      </c>
    </row>
    <row r="393" customFormat="false" ht="15" hidden="false" customHeight="true" outlineLevel="0" collapsed="false">
      <c r="A393" s="176"/>
      <c r="B393" s="195" t="s">
        <v>965</v>
      </c>
      <c r="C393" s="195" t="s">
        <v>966</v>
      </c>
      <c r="D393" s="183" t="n">
        <v>0</v>
      </c>
      <c r="E393" s="176" t="str">
        <f aca="false">IFERROR(VLOOKUP($B393,'Unit Cost Database'!$A:$H,3,FALSE()),"LS")</f>
        <v>LS</v>
      </c>
      <c r="F393" s="184" t="n">
        <f aca="false">IFERROR(VLOOKUP($B393,'Unit Cost Database'!$A:$H,8,FALSE()),0)</f>
        <v>448000</v>
      </c>
      <c r="G393" s="179" t="n">
        <f aca="false">$F$7</f>
        <v>0.1</v>
      </c>
      <c r="H393" s="180" t="n">
        <f aca="false">IF(OR(D393="",F393="",D393=0,F393=0),0,D393*F393*$H$8*(1+G393)*(1+$H$7))</f>
        <v>0</v>
      </c>
      <c r="I393" s="177" t="s">
        <v>361</v>
      </c>
      <c r="J393" s="185" t="s">
        <v>77</v>
      </c>
    </row>
    <row r="394" customFormat="false" ht="15" hidden="false" customHeight="true" outlineLevel="1" collapsed="false">
      <c r="A394" s="176" t="n">
        <v>2</v>
      </c>
      <c r="B394" s="195" t="s">
        <v>967</v>
      </c>
      <c r="C394" s="195" t="s">
        <v>968</v>
      </c>
      <c r="D394" s="183" t="n">
        <f aca="false">$C$6</f>
        <v>800000</v>
      </c>
      <c r="E394" s="176" t="str">
        <f aca="false">IFERROR(VLOOKUP($B394,'Unit Cost Database'!$A:$H,3,FALSE()),"LS")</f>
        <v>SF</v>
      </c>
      <c r="F394" s="184" t="n">
        <f aca="false">IFERROR(VLOOKUP($B394,'Unit Cost Database'!$A:$H,8,FALSE()),0)</f>
        <v>2.1</v>
      </c>
      <c r="G394" s="179" t="n">
        <f aca="false">$F$7</f>
        <v>0.1</v>
      </c>
      <c r="H394" s="180" t="n">
        <f aca="false">IF(OR(D394="",F394="",D394=0,F394=0),0,D394*F394*$H$8*(1+G394)*(1+$H$7))</f>
        <v>1912680</v>
      </c>
      <c r="I394" s="177" t="s">
        <v>361</v>
      </c>
      <c r="J394" s="185" t="s">
        <v>77</v>
      </c>
    </row>
    <row r="395" customFormat="false" ht="15" hidden="false" customHeight="true" outlineLevel="1" collapsed="false">
      <c r="A395" s="176" t="n">
        <v>3</v>
      </c>
      <c r="B395" s="195" t="s">
        <v>969</v>
      </c>
      <c r="C395" s="195" t="s">
        <v>970</v>
      </c>
      <c r="D395" s="183" t="n">
        <f aca="false">$C$6*0.3</f>
        <v>240000</v>
      </c>
      <c r="E395" s="176" t="str">
        <f aca="false">IFERROR(VLOOKUP($B395,'Unit Cost Database'!$A:$H,3,FALSE()),"LS")</f>
        <v>SF</v>
      </c>
      <c r="F395" s="184" t="n">
        <f aca="false">IFERROR(VLOOKUP($B395,'Unit Cost Database'!$A:$H,8,FALSE()),0)</f>
        <v>3.5</v>
      </c>
      <c r="G395" s="179" t="n">
        <f aca="false">$F$7</f>
        <v>0.1</v>
      </c>
      <c r="H395" s="180" t="n">
        <f aca="false">IF(OR(D395="",F395="",D395=0,F395=0),0,D395*F395*$H$8*(1+G395)*(1+$H$7))</f>
        <v>956340</v>
      </c>
      <c r="I395" s="177" t="s">
        <v>361</v>
      </c>
      <c r="J395" s="185" t="s">
        <v>77</v>
      </c>
    </row>
    <row r="396" customFormat="false" ht="15" hidden="false" customHeight="true" outlineLevel="1" collapsed="false">
      <c r="A396" s="176" t="n">
        <v>4</v>
      </c>
      <c r="B396" s="195" t="s">
        <v>971</v>
      </c>
      <c r="C396" s="195" t="s">
        <v>972</v>
      </c>
      <c r="D396" s="183" t="n">
        <v>9000</v>
      </c>
      <c r="E396" s="176" t="str">
        <f aca="false">IFERROR(VLOOKUP($B396,'Unit Cost Database'!$A:$H,3,FALSE()),"LS")</f>
        <v>PT</v>
      </c>
      <c r="F396" s="184" t="n">
        <f aca="false">IFERROR(VLOOKUP($B396,'Unit Cost Database'!$A:$H,8,FALSE()),0)</f>
        <v>350</v>
      </c>
      <c r="G396" s="179" t="n">
        <f aca="false">$F$7</f>
        <v>0.1</v>
      </c>
      <c r="H396" s="180" t="n">
        <f aca="false">IF(OR(D396="",F396="",D396=0,F396=0),0,D396*F396*$H$8*(1+G396)*(1+$H$7))</f>
        <v>3586275</v>
      </c>
      <c r="I396" s="177" t="s">
        <v>361</v>
      </c>
      <c r="J396" s="185" t="s">
        <v>77</v>
      </c>
    </row>
    <row r="397" customFormat="false" ht="15" hidden="false" customHeight="true" outlineLevel="1" collapsed="false">
      <c r="A397" s="176"/>
      <c r="B397" s="195" t="s">
        <v>973</v>
      </c>
      <c r="C397" s="195" t="s">
        <v>974</v>
      </c>
      <c r="D397" s="183" t="n">
        <v>0</v>
      </c>
      <c r="E397" s="176" t="str">
        <f aca="false">IFERROR(VLOOKUP($B397,'Unit Cost Database'!$A:$H,3,FALSE()),"LS")</f>
        <v>LS</v>
      </c>
      <c r="F397" s="184" t="n">
        <f aca="false">IFERROR(VLOOKUP($B397,'Unit Cost Database'!$A:$H,8,FALSE()),0)</f>
        <v>1575000</v>
      </c>
      <c r="G397" s="179" t="n">
        <f aca="false">$F$7</f>
        <v>0.1</v>
      </c>
      <c r="H397" s="180" t="n">
        <f aca="false">IF(OR(D397="",F397="",D397=0,F397=0),0,D397*F397*$H$8*(1+G397)*(1+$H$7))</f>
        <v>0</v>
      </c>
      <c r="I397" s="177" t="s">
        <v>361</v>
      </c>
      <c r="J397" s="185" t="s">
        <v>77</v>
      </c>
    </row>
    <row r="398" customFormat="false" ht="15" hidden="false" customHeight="true" outlineLevel="1" collapsed="false">
      <c r="A398" s="176"/>
      <c r="B398" s="195" t="s">
        <v>975</v>
      </c>
      <c r="C398" s="195" t="s">
        <v>976</v>
      </c>
      <c r="D398" s="183" t="n">
        <v>0</v>
      </c>
      <c r="E398" s="176" t="str">
        <f aca="false">IFERROR(VLOOKUP($B398,'Unit Cost Database'!$A:$H,3,FALSE()),"LS")</f>
        <v>LS</v>
      </c>
      <c r="F398" s="184" t="n">
        <f aca="false">IFERROR(VLOOKUP($B398,'Unit Cost Database'!$A:$H,8,FALSE()),0)</f>
        <v>787500</v>
      </c>
      <c r="G398" s="179" t="n">
        <f aca="false">$F$7</f>
        <v>0.1</v>
      </c>
      <c r="H398" s="180" t="n">
        <f aca="false">IF(OR(D398="",F398="",D398=0,F398=0),0,D398*F398*$H$8*(1+G398)*(1+$H$7))</f>
        <v>0</v>
      </c>
      <c r="I398" s="177" t="s">
        <v>361</v>
      </c>
      <c r="J398" s="185" t="s">
        <v>77</v>
      </c>
    </row>
    <row r="399" customFormat="false" ht="15" hidden="false" customHeight="true" outlineLevel="1" collapsed="false">
      <c r="A399" s="176"/>
      <c r="B399" s="195" t="s">
        <v>977</v>
      </c>
      <c r="C399" s="195" t="s">
        <v>978</v>
      </c>
      <c r="D399" s="183" t="n">
        <v>0</v>
      </c>
      <c r="E399" s="176" t="str">
        <f aca="false">IFERROR(VLOOKUP($B399,'Unit Cost Database'!$A:$H,3,FALSE()),"LS")</f>
        <v>LS</v>
      </c>
      <c r="F399" s="184" t="n">
        <f aca="false">IFERROR(VLOOKUP($B399,'Unit Cost Database'!$A:$H,8,FALSE()),0)</f>
        <v>787500</v>
      </c>
      <c r="G399" s="179" t="n">
        <f aca="false">$F$7</f>
        <v>0.1</v>
      </c>
      <c r="H399" s="180" t="n">
        <f aca="false">IF(OR(D399="",F399="",D399=0,F399=0),0,D399*F399*$H$8*(1+G399)*(1+$H$7))</f>
        <v>0</v>
      </c>
      <c r="I399" s="177" t="s">
        <v>361</v>
      </c>
      <c r="J399" s="185" t="s">
        <v>77</v>
      </c>
    </row>
    <row r="400" customFormat="false" ht="15" hidden="false" customHeight="true" outlineLevel="1" collapsed="false">
      <c r="A400" s="176" t="n">
        <v>5</v>
      </c>
      <c r="B400" s="195" t="s">
        <v>979</v>
      </c>
      <c r="C400" s="195" t="s">
        <v>980</v>
      </c>
      <c r="D400" s="183" t="n">
        <v>4500</v>
      </c>
      <c r="E400" s="176" t="str">
        <f aca="false">IFERROR(VLOOKUP($B400,'Unit Cost Database'!$A:$H,3,FALSE()),"LS")</f>
        <v>PT</v>
      </c>
      <c r="F400" s="184" t="n">
        <f aca="false">IFERROR(VLOOKUP($B400,'Unit Cost Database'!$A:$H,8,FALSE()),0)</f>
        <v>525</v>
      </c>
      <c r="G400" s="179" t="n">
        <f aca="false">$F$7</f>
        <v>0.1</v>
      </c>
      <c r="H400" s="180" t="n">
        <f aca="false">IF(OR(D400="",F400="",D400=0,F400=0),0,D400*F400*$H$8*(1+G400)*(1+$H$7))</f>
        <v>2689706.25</v>
      </c>
      <c r="I400" s="177" t="s">
        <v>361</v>
      </c>
      <c r="J400" s="185" t="s">
        <v>77</v>
      </c>
    </row>
    <row r="401" customFormat="false" ht="15" hidden="false" customHeight="true" outlineLevel="1" collapsed="false">
      <c r="A401" s="176"/>
      <c r="B401" s="195" t="s">
        <v>981</v>
      </c>
      <c r="C401" s="195" t="s">
        <v>982</v>
      </c>
      <c r="D401" s="183" t="n">
        <v>0</v>
      </c>
      <c r="E401" s="176" t="str">
        <f aca="false">IFERROR(VLOOKUP($B401,'Unit Cost Database'!$A:$H,3,FALSE()),"LS")</f>
        <v>LS</v>
      </c>
      <c r="F401" s="184" t="n">
        <f aca="false">IFERROR(VLOOKUP($B401,'Unit Cost Database'!$A:$H,8,FALSE()),0)</f>
        <v>1299375</v>
      </c>
      <c r="G401" s="179" t="n">
        <f aca="false">$F$7</f>
        <v>0.1</v>
      </c>
      <c r="H401" s="180" t="n">
        <f aca="false">IF(OR(D401="",F401="",D401=0,F401=0),0,D401*F401*$H$8*(1+G401)*(1+$H$7))</f>
        <v>0</v>
      </c>
      <c r="I401" s="177" t="s">
        <v>361</v>
      </c>
      <c r="J401" s="185" t="s">
        <v>77</v>
      </c>
    </row>
    <row r="402" customFormat="false" ht="15" hidden="false" customHeight="true" outlineLevel="1" collapsed="false">
      <c r="A402" s="176"/>
      <c r="B402" s="195" t="s">
        <v>983</v>
      </c>
      <c r="C402" s="195" t="s">
        <v>984</v>
      </c>
      <c r="D402" s="183" t="n">
        <v>0</v>
      </c>
      <c r="E402" s="176" t="str">
        <f aca="false">IFERROR(VLOOKUP($B402,'Unit Cost Database'!$A:$H,3,FALSE()),"LS")</f>
        <v>LS</v>
      </c>
      <c r="F402" s="184" t="n">
        <f aca="false">IFERROR(VLOOKUP($B402,'Unit Cost Database'!$A:$H,8,FALSE()),0)</f>
        <v>590625</v>
      </c>
      <c r="G402" s="179" t="n">
        <f aca="false">$F$7</f>
        <v>0.1</v>
      </c>
      <c r="H402" s="180" t="n">
        <f aca="false">IF(OR(D402="",F402="",D402=0,F402=0),0,D402*F402*$H$8*(1+G402)*(1+$H$7))</f>
        <v>0</v>
      </c>
      <c r="I402" s="177" t="s">
        <v>361</v>
      </c>
      <c r="J402" s="185" t="s">
        <v>77</v>
      </c>
    </row>
    <row r="403" customFormat="false" ht="15" hidden="false" customHeight="true" outlineLevel="1" collapsed="false">
      <c r="A403" s="176"/>
      <c r="B403" s="195" t="s">
        <v>985</v>
      </c>
      <c r="C403" s="195" t="s">
        <v>986</v>
      </c>
      <c r="D403" s="183" t="n">
        <v>0</v>
      </c>
      <c r="E403" s="176" t="str">
        <f aca="false">IFERROR(VLOOKUP($B403,'Unit Cost Database'!$A:$H,3,FALSE()),"LS")</f>
        <v>LS</v>
      </c>
      <c r="F403" s="184" t="n">
        <f aca="false">IFERROR(VLOOKUP($B403,'Unit Cost Database'!$A:$H,8,FALSE()),0)</f>
        <v>472500</v>
      </c>
      <c r="G403" s="179" t="n">
        <f aca="false">$F$7</f>
        <v>0.1</v>
      </c>
      <c r="H403" s="180" t="n">
        <f aca="false">IF(OR(D403="",F403="",D403=0,F403=0),0,D403*F403*$H$8*(1+G403)*(1+$H$7))</f>
        <v>0</v>
      </c>
      <c r="I403" s="177" t="s">
        <v>361</v>
      </c>
      <c r="J403" s="185" t="s">
        <v>77</v>
      </c>
    </row>
    <row r="404" customFormat="false" ht="15" hidden="false" customHeight="true" outlineLevel="1" collapsed="false">
      <c r="A404" s="176" t="n">
        <v>6</v>
      </c>
      <c r="B404" s="195" t="s">
        <v>987</v>
      </c>
      <c r="C404" s="195" t="s">
        <v>988</v>
      </c>
      <c r="D404" s="183" t="n">
        <v>25650</v>
      </c>
      <c r="E404" s="176" t="str">
        <f aca="false">IFERROR(VLOOKUP($B404,'Unit Cost Database'!$A:$H,3,FALSE()),"LS")</f>
        <v>TON</v>
      </c>
      <c r="F404" s="184" t="n">
        <f aca="false">IFERROR(VLOOKUP($B404,'Unit Cost Database'!$A:$H,8,FALSE()),0)</f>
        <v>800</v>
      </c>
      <c r="G404" s="179" t="n">
        <f aca="false">$F$7</f>
        <v>0.1</v>
      </c>
      <c r="H404" s="180" t="n">
        <f aca="false">IF(OR(D404="",F404="",D404=0,F404=0),0,D404*F404*$H$8*(1+G404)*(1+$H$7))</f>
        <v>23362020</v>
      </c>
      <c r="I404" s="177" t="s">
        <v>361</v>
      </c>
      <c r="J404" s="185" t="s">
        <v>77</v>
      </c>
    </row>
    <row r="405" customFormat="false" ht="15" hidden="false" customHeight="true" outlineLevel="1" collapsed="false">
      <c r="A405" s="176"/>
      <c r="B405" s="195" t="s">
        <v>989</v>
      </c>
      <c r="C405" s="195" t="s">
        <v>990</v>
      </c>
      <c r="D405" s="183" t="n">
        <v>0</v>
      </c>
      <c r="E405" s="176" t="str">
        <f aca="false">IFERROR(VLOOKUP($B405,'Unit Cost Database'!$A:$H,3,FALSE()),"LS")</f>
        <v>LS</v>
      </c>
      <c r="F405" s="184" t="n">
        <f aca="false">IFERROR(VLOOKUP($B405,'Unit Cost Database'!$A:$H,8,FALSE()),0)</f>
        <v>12722400</v>
      </c>
      <c r="G405" s="179" t="n">
        <f aca="false">$F$7</f>
        <v>0.1</v>
      </c>
      <c r="H405" s="180" t="n">
        <f aca="false">IF(OR(D405="",F405="",D405=0,F405=0),0,D405*F405*$H$8*(1+G405)*(1+$H$7))</f>
        <v>0</v>
      </c>
      <c r="I405" s="177" t="s">
        <v>361</v>
      </c>
      <c r="J405" s="185" t="s">
        <v>77</v>
      </c>
    </row>
    <row r="406" customFormat="false" ht="15" hidden="false" customHeight="true" outlineLevel="1" collapsed="false">
      <c r="A406" s="176"/>
      <c r="B406" s="195" t="s">
        <v>991</v>
      </c>
      <c r="C406" s="195" t="s">
        <v>992</v>
      </c>
      <c r="D406" s="183" t="n">
        <v>0</v>
      </c>
      <c r="E406" s="176" t="str">
        <f aca="false">IFERROR(VLOOKUP($B406,'Unit Cost Database'!$A:$H,3,FALSE()),"LS")</f>
        <v>LS</v>
      </c>
      <c r="F406" s="184" t="n">
        <f aca="false">IFERROR(VLOOKUP($B406,'Unit Cost Database'!$A:$H,8,FALSE()),0)</f>
        <v>2462400</v>
      </c>
      <c r="G406" s="179" t="n">
        <f aca="false">$F$7</f>
        <v>0.1</v>
      </c>
      <c r="H406" s="180" t="n">
        <f aca="false">IF(OR(D406="",F406="",D406=0,F406=0),0,D406*F406*$H$8*(1+G406)*(1+$H$7))</f>
        <v>0</v>
      </c>
      <c r="I406" s="177" t="s">
        <v>361</v>
      </c>
      <c r="J406" s="185" t="s">
        <v>77</v>
      </c>
    </row>
    <row r="407" customFormat="false" ht="15" hidden="false" customHeight="true" outlineLevel="1" collapsed="false">
      <c r="A407" s="176"/>
      <c r="B407" s="195" t="s">
        <v>993</v>
      </c>
      <c r="C407" s="195" t="s">
        <v>994</v>
      </c>
      <c r="D407" s="183" t="n">
        <v>0</v>
      </c>
      <c r="E407" s="176" t="str">
        <f aca="false">IFERROR(VLOOKUP($B407,'Unit Cost Database'!$A:$H,3,FALSE()),"LS")</f>
        <v>LS</v>
      </c>
      <c r="F407" s="184" t="n">
        <f aca="false">IFERROR(VLOOKUP($B407,'Unit Cost Database'!$A:$H,8,FALSE()),0)</f>
        <v>3283200</v>
      </c>
      <c r="G407" s="179" t="n">
        <f aca="false">$F$7</f>
        <v>0.1</v>
      </c>
      <c r="H407" s="180" t="n">
        <f aca="false">IF(OR(D407="",F407="",D407=0,F407=0),0,D407*F407*$H$8*(1+G407)*(1+$H$7))</f>
        <v>0</v>
      </c>
      <c r="I407" s="177" t="s">
        <v>361</v>
      </c>
      <c r="J407" s="185" t="s">
        <v>77</v>
      </c>
    </row>
    <row r="408" customFormat="false" ht="15" hidden="false" customHeight="true" outlineLevel="1" collapsed="false">
      <c r="A408" s="176"/>
      <c r="B408" s="195" t="s">
        <v>995</v>
      </c>
      <c r="C408" s="195" t="s">
        <v>996</v>
      </c>
      <c r="D408" s="183" t="n">
        <v>0</v>
      </c>
      <c r="E408" s="176" t="str">
        <f aca="false">IFERROR(VLOOKUP($B408,'Unit Cost Database'!$A:$H,3,FALSE()),"LS")</f>
        <v>LS</v>
      </c>
      <c r="F408" s="184" t="n">
        <f aca="false">IFERROR(VLOOKUP($B408,'Unit Cost Database'!$A:$H,8,FALSE()),0)</f>
        <v>2052000</v>
      </c>
      <c r="G408" s="179" t="n">
        <f aca="false">$F$7</f>
        <v>0.1</v>
      </c>
      <c r="H408" s="180" t="n">
        <f aca="false">IF(OR(D408="",F408="",D408=0,F408=0),0,D408*F408*$H$8*(1+G408)*(1+$H$7))</f>
        <v>0</v>
      </c>
      <c r="I408" s="177" t="s">
        <v>361</v>
      </c>
      <c r="J408" s="185" t="s">
        <v>77</v>
      </c>
    </row>
    <row r="409" customFormat="false" ht="15" hidden="false" customHeight="true" outlineLevel="1" collapsed="false">
      <c r="A409" s="176" t="n">
        <v>7</v>
      </c>
      <c r="B409" s="195" t="s">
        <v>997</v>
      </c>
      <c r="C409" s="195" t="s">
        <v>998</v>
      </c>
      <c r="D409" s="183" t="n">
        <f aca="false">12*'Scenario &amp; Presets'!$C$45</f>
        <v>7.2</v>
      </c>
      <c r="E409" s="176" t="str">
        <f aca="false">IFERROR(VLOOKUP($B409,'Unit Cost Database'!$A:$H,3,FALSE()),"LS")</f>
        <v>EA</v>
      </c>
      <c r="F409" s="184" t="n">
        <f aca="false">IFERROR(VLOOKUP($B409,'Unit Cost Database'!$A:$H,8,FALSE()),0)</f>
        <v>105000</v>
      </c>
      <c r="G409" s="179" t="n">
        <f aca="false">$F$7</f>
        <v>0.1</v>
      </c>
      <c r="H409" s="180" t="n">
        <f aca="false">IF(OR(D409="",F409="",D409=0,F409=0),0,D409*F409*$H$8*(1+G409)*(1+$H$7))</f>
        <v>860706</v>
      </c>
      <c r="I409" s="177" t="s">
        <v>361</v>
      </c>
      <c r="J409" s="185" t="s">
        <v>77</v>
      </c>
    </row>
    <row r="410" customFormat="false" ht="15" hidden="false" customHeight="true" outlineLevel="1" collapsed="false">
      <c r="A410" s="176" t="n">
        <v>8</v>
      </c>
      <c r="B410" s="195" t="s">
        <v>999</v>
      </c>
      <c r="C410" s="195" t="s">
        <v>1000</v>
      </c>
      <c r="D410" s="183" t="n">
        <f aca="false">$C$9*200*'Scenario &amp; Presets'!$C$45</f>
        <v>10800</v>
      </c>
      <c r="E410" s="176" t="str">
        <f aca="false">IFERROR(VLOOKUP($B410,'Unit Cost Database'!$A:$H,3,FALSE()),"LS")</f>
        <v>LF</v>
      </c>
      <c r="F410" s="184" t="n">
        <f aca="false">IFERROR(VLOOKUP($B410,'Unit Cost Database'!$A:$H,8,FALSE()),0)</f>
        <v>80</v>
      </c>
      <c r="G410" s="179" t="n">
        <f aca="false">$F$7</f>
        <v>0.1</v>
      </c>
      <c r="H410" s="180" t="n">
        <f aca="false">IF(OR(D410="",F410="",D410=0,F410=0),0,D410*F410*$H$8*(1+G410)*(1+$H$7))</f>
        <v>983664</v>
      </c>
      <c r="I410" s="177" t="s">
        <v>361</v>
      </c>
      <c r="J410" s="185" t="s">
        <v>77</v>
      </c>
    </row>
    <row r="411" customFormat="false" ht="15" hidden="false" customHeight="true" outlineLevel="1" collapsed="false">
      <c r="A411" s="176" t="n">
        <v>9</v>
      </c>
      <c r="B411" s="195" t="s">
        <v>1001</v>
      </c>
      <c r="C411" s="195" t="s">
        <v>1002</v>
      </c>
      <c r="D411" s="183" t="n">
        <v>27000</v>
      </c>
      <c r="E411" s="176" t="str">
        <f aca="false">IFERROR(VLOOKUP($B411,'Unit Cost Database'!$A:$H,3,FALSE()),"LS")</f>
        <v>LF</v>
      </c>
      <c r="F411" s="184" t="n">
        <f aca="false">IFERROR(VLOOKUP($B411,'Unit Cost Database'!$A:$H,8,FALSE()),0)</f>
        <v>84</v>
      </c>
      <c r="G411" s="179" t="n">
        <f aca="false">$F$7</f>
        <v>0.1</v>
      </c>
      <c r="H411" s="180" t="n">
        <f aca="false">IF(OR(D411="",F411="",D411=0,F411=0),0,D411*F411*$H$8*(1+G411)*(1+$H$7))</f>
        <v>2582118</v>
      </c>
      <c r="I411" s="177" t="s">
        <v>361</v>
      </c>
      <c r="J411" s="185" t="s">
        <v>77</v>
      </c>
    </row>
    <row r="412" customFormat="false" ht="15" hidden="false" customHeight="true" outlineLevel="1" collapsed="false">
      <c r="A412" s="176"/>
      <c r="B412" s="195" t="s">
        <v>1003</v>
      </c>
      <c r="C412" s="195" t="s">
        <v>1004</v>
      </c>
      <c r="D412" s="183" t="n">
        <v>0</v>
      </c>
      <c r="E412" s="176" t="str">
        <f aca="false">IFERROR(VLOOKUP($B412,'Unit Cost Database'!$A:$H,3,FALSE()),"LS")</f>
        <v>LS</v>
      </c>
      <c r="F412" s="184" t="n">
        <f aca="false">IFERROR(VLOOKUP($B412,'Unit Cost Database'!$A:$H,8,FALSE()),0)</f>
        <v>1360800</v>
      </c>
      <c r="G412" s="179" t="n">
        <f aca="false">$F$7</f>
        <v>0.1</v>
      </c>
      <c r="H412" s="180" t="n">
        <f aca="false">IF(OR(D412="",F412="",D412=0,F412=0),0,D412*F412*$H$8*(1+G412)*(1+$H$7))</f>
        <v>0</v>
      </c>
      <c r="I412" s="177" t="s">
        <v>361</v>
      </c>
      <c r="J412" s="185" t="s">
        <v>77</v>
      </c>
    </row>
    <row r="413" customFormat="false" ht="15" hidden="false" customHeight="true" outlineLevel="1" collapsed="false">
      <c r="A413" s="176"/>
      <c r="B413" s="195" t="s">
        <v>1005</v>
      </c>
      <c r="C413" s="195" t="s">
        <v>1006</v>
      </c>
      <c r="D413" s="183" t="n">
        <v>0</v>
      </c>
      <c r="E413" s="176" t="str">
        <f aca="false">IFERROR(VLOOKUP($B413,'Unit Cost Database'!$A:$H,3,FALSE()),"LS")</f>
        <v>LS</v>
      </c>
      <c r="F413" s="184" t="n">
        <f aca="false">IFERROR(VLOOKUP($B413,'Unit Cost Database'!$A:$H,8,FALSE()),0)</f>
        <v>567000</v>
      </c>
      <c r="G413" s="179" t="n">
        <f aca="false">$F$7</f>
        <v>0.1</v>
      </c>
      <c r="H413" s="180" t="n">
        <f aca="false">IF(OR(D413="",F413="",D413=0,F413=0),0,D413*F413*$H$8*(1+G413)*(1+$H$7))</f>
        <v>0</v>
      </c>
      <c r="I413" s="177" t="s">
        <v>361</v>
      </c>
      <c r="J413" s="185" t="s">
        <v>77</v>
      </c>
    </row>
    <row r="414" customFormat="false" ht="15" hidden="false" customHeight="true" outlineLevel="1" collapsed="false">
      <c r="A414" s="176"/>
      <c r="B414" s="195" t="s">
        <v>1007</v>
      </c>
      <c r="C414" s="195" t="s">
        <v>1008</v>
      </c>
      <c r="D414" s="183" t="n">
        <v>0</v>
      </c>
      <c r="E414" s="176" t="str">
        <f aca="false">IFERROR(VLOOKUP($B414,'Unit Cost Database'!$A:$H,3,FALSE()),"LS")</f>
        <v>LS</v>
      </c>
      <c r="F414" s="184" t="n">
        <f aca="false">IFERROR(VLOOKUP($B414,'Unit Cost Database'!$A:$H,8,FALSE()),0)</f>
        <v>340200</v>
      </c>
      <c r="G414" s="179" t="n">
        <f aca="false">$F$7</f>
        <v>0.1</v>
      </c>
      <c r="H414" s="180" t="n">
        <f aca="false">IF(OR(D414="",F414="",D414=0,F414=0),0,D414*F414*$H$8*(1+G414)*(1+$H$7))</f>
        <v>0</v>
      </c>
      <c r="I414" s="177" t="s">
        <v>361</v>
      </c>
      <c r="J414" s="185" t="s">
        <v>77</v>
      </c>
    </row>
    <row r="415" customFormat="false" ht="15" hidden="false" customHeight="true" outlineLevel="1" collapsed="false">
      <c r="A415" s="176" t="n">
        <v>10</v>
      </c>
      <c r="B415" s="195" t="s">
        <v>1009</v>
      </c>
      <c r="C415" s="195" t="s">
        <v>1010</v>
      </c>
      <c r="D415" s="183" t="n">
        <v>25650</v>
      </c>
      <c r="E415" s="176" t="str">
        <f aca="false">IFERROR(VLOOKUP($B415,'Unit Cost Database'!$A:$H,3,FALSE()),"LS")</f>
        <v>TON</v>
      </c>
      <c r="F415" s="184" t="n">
        <f aca="false">IFERROR(VLOOKUP($B415,'Unit Cost Database'!$A:$H,8,FALSE()),0)</f>
        <v>200</v>
      </c>
      <c r="G415" s="179" t="n">
        <f aca="false">$F$7</f>
        <v>0.1</v>
      </c>
      <c r="H415" s="180" t="n">
        <f aca="false">IF(OR(D415="",F415="",D415=0,F415=0),0,D415*F415*$H$8*(1+G415)*(1+$H$7))</f>
        <v>5840505</v>
      </c>
      <c r="I415" s="177" t="s">
        <v>361</v>
      </c>
      <c r="J415" s="185" t="s">
        <v>77</v>
      </c>
    </row>
    <row r="416" customFormat="false" ht="15" hidden="false" customHeight="true" outlineLevel="1" collapsed="false">
      <c r="A416" s="176"/>
      <c r="B416" s="195" t="s">
        <v>1011</v>
      </c>
      <c r="C416" s="195" t="s">
        <v>1012</v>
      </c>
      <c r="D416" s="183" t="n">
        <v>0</v>
      </c>
      <c r="E416" s="176" t="str">
        <f aca="false">IFERROR(VLOOKUP($B416,'Unit Cost Database'!$A:$H,3,FALSE()),"LS")</f>
        <v>LS</v>
      </c>
      <c r="F416" s="184" t="n">
        <f aca="false">IFERROR(VLOOKUP($B416,'Unit Cost Database'!$A:$H,8,FALSE()),0)</f>
        <v>3180600</v>
      </c>
      <c r="G416" s="179" t="n">
        <f aca="false">$F$7</f>
        <v>0.1</v>
      </c>
      <c r="H416" s="180" t="n">
        <f aca="false">IF(OR(D416="",F416="",D416=0,F416=0),0,D416*F416*$H$8*(1+G416)*(1+$H$7))</f>
        <v>0</v>
      </c>
      <c r="I416" s="177" t="s">
        <v>361</v>
      </c>
      <c r="J416" s="185" t="s">
        <v>77</v>
      </c>
    </row>
    <row r="417" customFormat="false" ht="15" hidden="false" customHeight="true" outlineLevel="1" collapsed="false">
      <c r="A417" s="176"/>
      <c r="B417" s="195" t="s">
        <v>1013</v>
      </c>
      <c r="C417" s="195" t="s">
        <v>1014</v>
      </c>
      <c r="D417" s="183" t="n">
        <v>0</v>
      </c>
      <c r="E417" s="176" t="str">
        <f aca="false">IFERROR(VLOOKUP($B417,'Unit Cost Database'!$A:$H,3,FALSE()),"LS")</f>
        <v>LS</v>
      </c>
      <c r="F417" s="184" t="n">
        <f aca="false">IFERROR(VLOOKUP($B417,'Unit Cost Database'!$A:$H,8,FALSE()),0)</f>
        <v>923400</v>
      </c>
      <c r="G417" s="179" t="n">
        <f aca="false">$F$7</f>
        <v>0.1</v>
      </c>
      <c r="H417" s="180" t="n">
        <f aca="false">IF(OR(D417="",F417="",D417=0,F417=0),0,D417*F417*$H$8*(1+G417)*(1+$H$7))</f>
        <v>0</v>
      </c>
      <c r="I417" s="177" t="s">
        <v>361</v>
      </c>
      <c r="J417" s="185" t="s">
        <v>77</v>
      </c>
    </row>
    <row r="418" customFormat="false" ht="15" hidden="false" customHeight="true" outlineLevel="1" collapsed="false">
      <c r="A418" s="176"/>
      <c r="B418" s="195" t="s">
        <v>1015</v>
      </c>
      <c r="C418" s="195" t="s">
        <v>1016</v>
      </c>
      <c r="D418" s="183" t="n">
        <v>0</v>
      </c>
      <c r="E418" s="176" t="str">
        <f aca="false">IFERROR(VLOOKUP($B418,'Unit Cost Database'!$A:$H,3,FALSE()),"LS")</f>
        <v>LS</v>
      </c>
      <c r="F418" s="184" t="n">
        <f aca="false">IFERROR(VLOOKUP($B418,'Unit Cost Database'!$A:$H,8,FALSE()),0)</f>
        <v>615600</v>
      </c>
      <c r="G418" s="179" t="n">
        <f aca="false">$F$7</f>
        <v>0.1</v>
      </c>
      <c r="H418" s="180" t="n">
        <f aca="false">IF(OR(D418="",F418="",D418=0,F418=0),0,D418*F418*$H$8*(1+G418)*(1+$H$7))</f>
        <v>0</v>
      </c>
      <c r="I418" s="177" t="s">
        <v>361</v>
      </c>
      <c r="J418" s="185" t="s">
        <v>77</v>
      </c>
    </row>
    <row r="419" customFormat="false" ht="15" hidden="false" customHeight="true" outlineLevel="1" collapsed="false">
      <c r="A419" s="176"/>
      <c r="B419" s="195" t="s">
        <v>1017</v>
      </c>
      <c r="C419" s="195" t="s">
        <v>1018</v>
      </c>
      <c r="D419" s="183" t="n">
        <v>0</v>
      </c>
      <c r="E419" s="176" t="str">
        <f aca="false">IFERROR(VLOOKUP($B419,'Unit Cost Database'!$A:$H,3,FALSE()),"LS")</f>
        <v>LS</v>
      </c>
      <c r="F419" s="184" t="n">
        <f aca="false">IFERROR(VLOOKUP($B419,'Unit Cost Database'!$A:$H,8,FALSE()),0)</f>
        <v>410400</v>
      </c>
      <c r="G419" s="179" t="n">
        <f aca="false">$F$7</f>
        <v>0.1</v>
      </c>
      <c r="H419" s="180" t="n">
        <f aca="false">IF(OR(D419="",F419="",D419=0,F419=0),0,D419*F419*$H$8*(1+G419)*(1+$H$7))</f>
        <v>0</v>
      </c>
      <c r="I419" s="177" t="s">
        <v>361</v>
      </c>
      <c r="J419" s="185" t="s">
        <v>77</v>
      </c>
    </row>
    <row r="420" customFormat="false" ht="15" hidden="false" customHeight="true" outlineLevel="1" collapsed="false">
      <c r="A420" s="176" t="n">
        <v>11</v>
      </c>
      <c r="B420" s="195" t="s">
        <v>1019</v>
      </c>
      <c r="C420" s="195" t="s">
        <v>1020</v>
      </c>
      <c r="D420" s="183" t="n">
        <f aca="false">$C$9*150*'Scenario &amp; Presets'!$C$45</f>
        <v>8100</v>
      </c>
      <c r="E420" s="176" t="str">
        <f aca="false">IFERROR(VLOOKUP($B420,'Unit Cost Database'!$A:$H,3,FALSE()),"LS")</f>
        <v>LF</v>
      </c>
      <c r="F420" s="184" t="n">
        <f aca="false">IFERROR(VLOOKUP($B420,'Unit Cost Database'!$A:$H,8,FALSE()),0)</f>
        <v>91</v>
      </c>
      <c r="G420" s="179" t="n">
        <f aca="false">$F$7</f>
        <v>0.1</v>
      </c>
      <c r="H420" s="180" t="n">
        <f aca="false">IF(OR(D420="",F420="",D420=0,F420=0),0,D420*F420*$H$8*(1+G420)*(1+$H$7))</f>
        <v>839188.35</v>
      </c>
      <c r="I420" s="177" t="s">
        <v>361</v>
      </c>
      <c r="J420" s="185" t="s">
        <v>77</v>
      </c>
    </row>
    <row r="421" customFormat="false" ht="15" hidden="false" customHeight="true" outlineLevel="1" collapsed="false">
      <c r="A421" s="176" t="n">
        <v>12</v>
      </c>
      <c r="B421" s="195" t="s">
        <v>1021</v>
      </c>
      <c r="C421" s="195" t="s">
        <v>1022</v>
      </c>
      <c r="D421" s="183" t="n">
        <f aca="false">$C$12*'Scenario &amp; Presets'!$C$45</f>
        <v>15390</v>
      </c>
      <c r="E421" s="176" t="str">
        <f aca="false">IFERROR(VLOOKUP($B421,'Unit Cost Database'!$A:$H,3,FALSE()),"LS")</f>
        <v>TON</v>
      </c>
      <c r="F421" s="184" t="n">
        <f aca="false">IFERROR(VLOOKUP($B421,'Unit Cost Database'!$A:$H,8,FALSE()),0)</f>
        <v>35</v>
      </c>
      <c r="G421" s="179" t="n">
        <f aca="false">$F$7</f>
        <v>0.1</v>
      </c>
      <c r="H421" s="180" t="n">
        <f aca="false">IF(OR(D421="",F421="",D421=0,F421=0),0,D421*F421*$H$8*(1+G421)*(1+$H$7))</f>
        <v>613253.025</v>
      </c>
      <c r="I421" s="177" t="s">
        <v>361</v>
      </c>
      <c r="J421" s="185" t="s">
        <v>77</v>
      </c>
    </row>
    <row r="422" customFormat="false" ht="15" hidden="false" customHeight="true" outlineLevel="1" collapsed="false">
      <c r="A422" s="176" t="n">
        <v>13</v>
      </c>
      <c r="B422" s="195" t="s">
        <v>1023</v>
      </c>
      <c r="C422" s="195" t="s">
        <v>1024</v>
      </c>
      <c r="D422" s="183" t="n">
        <v>10260</v>
      </c>
      <c r="E422" s="176" t="str">
        <f aca="false">IFERROR(VLOOKUP($B422,'Unit Cost Database'!$A:$H,3,FALSE()),"LS")</f>
        <v>TON</v>
      </c>
      <c r="F422" s="184" t="n">
        <f aca="false">IFERROR(VLOOKUP($B422,'Unit Cost Database'!$A:$H,8,FALSE()),0)</f>
        <v>600</v>
      </c>
      <c r="G422" s="179" t="n">
        <f aca="false">$F$7</f>
        <v>0.1</v>
      </c>
      <c r="H422" s="180" t="n">
        <f aca="false">IF(OR(D422="",F422="",D422=0,F422=0),0,D422*F422*$H$8*(1+G422)*(1+$H$7))</f>
        <v>7008606</v>
      </c>
      <c r="I422" s="177" t="s">
        <v>361</v>
      </c>
      <c r="J422" s="185" t="s">
        <v>77</v>
      </c>
    </row>
    <row r="423" customFormat="false" ht="15" hidden="false" customHeight="true" outlineLevel="1" collapsed="false">
      <c r="A423" s="176"/>
      <c r="B423" s="195" t="s">
        <v>1025</v>
      </c>
      <c r="C423" s="195" t="s">
        <v>1026</v>
      </c>
      <c r="D423" s="183" t="n">
        <v>0</v>
      </c>
      <c r="E423" s="176" t="str">
        <f aca="false">IFERROR(VLOOKUP($B423,'Unit Cost Database'!$A:$H,3,FALSE()),"LS")</f>
        <v>LS</v>
      </c>
      <c r="F423" s="184" t="n">
        <f aca="false">IFERROR(VLOOKUP($B423,'Unit Cost Database'!$A:$H,8,FALSE()),0)</f>
        <v>3816720</v>
      </c>
      <c r="G423" s="179" t="n">
        <f aca="false">$F$7</f>
        <v>0.1</v>
      </c>
      <c r="H423" s="180" t="n">
        <f aca="false">IF(OR(D423="",F423="",D423=0,F423=0),0,D423*F423*$H$8*(1+G423)*(1+$H$7))</f>
        <v>0</v>
      </c>
      <c r="I423" s="177" t="s">
        <v>361</v>
      </c>
      <c r="J423" s="185" t="s">
        <v>77</v>
      </c>
    </row>
    <row r="424" customFormat="false" ht="15" hidden="false" customHeight="true" outlineLevel="1" collapsed="false">
      <c r="A424" s="176"/>
      <c r="B424" s="195" t="s">
        <v>1027</v>
      </c>
      <c r="C424" s="195" t="s">
        <v>1028</v>
      </c>
      <c r="D424" s="183" t="n">
        <v>0</v>
      </c>
      <c r="E424" s="176" t="str">
        <f aca="false">IFERROR(VLOOKUP($B424,'Unit Cost Database'!$A:$H,3,FALSE()),"LS")</f>
        <v>LS</v>
      </c>
      <c r="F424" s="184" t="n">
        <f aca="false">IFERROR(VLOOKUP($B424,'Unit Cost Database'!$A:$H,8,FALSE()),0)</f>
        <v>1108080</v>
      </c>
      <c r="G424" s="179" t="n">
        <f aca="false">$F$7</f>
        <v>0.1</v>
      </c>
      <c r="H424" s="180" t="n">
        <f aca="false">IF(OR(D424="",F424="",D424=0,F424=0),0,D424*F424*$H$8*(1+G424)*(1+$H$7))</f>
        <v>0</v>
      </c>
      <c r="I424" s="177" t="s">
        <v>361</v>
      </c>
      <c r="J424" s="185" t="s">
        <v>77</v>
      </c>
    </row>
    <row r="425" customFormat="false" ht="15" hidden="false" customHeight="true" outlineLevel="1" collapsed="false">
      <c r="A425" s="176"/>
      <c r="B425" s="195" t="s">
        <v>1029</v>
      </c>
      <c r="C425" s="195" t="s">
        <v>1030</v>
      </c>
      <c r="D425" s="183" t="n">
        <v>0</v>
      </c>
      <c r="E425" s="176" t="str">
        <f aca="false">IFERROR(VLOOKUP($B425,'Unit Cost Database'!$A:$H,3,FALSE()),"LS")</f>
        <v>LS</v>
      </c>
      <c r="F425" s="184" t="n">
        <f aca="false">IFERROR(VLOOKUP($B425,'Unit Cost Database'!$A:$H,8,FALSE()),0)</f>
        <v>738720</v>
      </c>
      <c r="G425" s="179" t="n">
        <f aca="false">$F$7</f>
        <v>0.1</v>
      </c>
      <c r="H425" s="180" t="n">
        <f aca="false">IF(OR(D425="",F425="",D425=0,F425=0),0,D425*F425*$H$8*(1+G425)*(1+$H$7))</f>
        <v>0</v>
      </c>
      <c r="I425" s="177" t="s">
        <v>361</v>
      </c>
      <c r="J425" s="185" t="s">
        <v>77</v>
      </c>
    </row>
    <row r="426" customFormat="false" ht="15" hidden="false" customHeight="true" outlineLevel="1" collapsed="false">
      <c r="A426" s="176"/>
      <c r="B426" s="195" t="s">
        <v>1031</v>
      </c>
      <c r="C426" s="195" t="s">
        <v>1032</v>
      </c>
      <c r="D426" s="183" t="n">
        <v>0</v>
      </c>
      <c r="E426" s="176" t="str">
        <f aca="false">IFERROR(VLOOKUP($B426,'Unit Cost Database'!$A:$H,3,FALSE()),"LS")</f>
        <v>LS</v>
      </c>
      <c r="F426" s="184" t="n">
        <f aca="false">IFERROR(VLOOKUP($B426,'Unit Cost Database'!$A:$H,8,FALSE()),0)</f>
        <v>492480</v>
      </c>
      <c r="G426" s="179" t="n">
        <f aca="false">$F$7</f>
        <v>0.1</v>
      </c>
      <c r="H426" s="180" t="n">
        <f aca="false">IF(OR(D426="",F426="",D426=0,F426=0),0,D426*F426*$H$8*(1+G426)*(1+$H$7))</f>
        <v>0</v>
      </c>
      <c r="I426" s="177" t="s">
        <v>361</v>
      </c>
      <c r="J426" s="185" t="s">
        <v>77</v>
      </c>
    </row>
    <row r="427" customFormat="false" ht="15" hidden="false" customHeight="true" outlineLevel="1" collapsed="false">
      <c r="A427" s="176" t="n">
        <v>14</v>
      </c>
      <c r="B427" s="195" t="s">
        <v>1033</v>
      </c>
      <c r="C427" s="195" t="s">
        <v>1034</v>
      </c>
      <c r="D427" s="183" t="n">
        <f aca="false">2200*'Scenario &amp; Presets'!$B$45</f>
        <v>880</v>
      </c>
      <c r="E427" s="176" t="str">
        <f aca="false">IFERROR(VLOOKUP($B427,'Unit Cost Database'!$A:$H,3,FALSE()),"LS")</f>
        <v>EA</v>
      </c>
      <c r="F427" s="184" t="n">
        <f aca="false">IFERROR(VLOOKUP($B427,'Unit Cost Database'!$A:$H,8,FALSE()),0)</f>
        <v>52500</v>
      </c>
      <c r="G427" s="179" t="n">
        <f aca="false">$F$7</f>
        <v>0.1</v>
      </c>
      <c r="H427" s="180" t="n">
        <f aca="false">IF(OR(D427="",F427="",D427=0,F427=0),0,D427*F427*$H$8*(1+G427)*(1+$H$7))</f>
        <v>52598700</v>
      </c>
      <c r="I427" s="177" t="s">
        <v>361</v>
      </c>
      <c r="J427" s="185" t="s">
        <v>77</v>
      </c>
    </row>
    <row r="428" customFormat="false" ht="15" hidden="false" customHeight="true" outlineLevel="1" collapsed="false">
      <c r="A428" s="176"/>
      <c r="B428" s="195" t="s">
        <v>1035</v>
      </c>
      <c r="C428" s="195" t="s">
        <v>1036</v>
      </c>
      <c r="D428" s="183" t="n">
        <v>0</v>
      </c>
      <c r="E428" s="176" t="str">
        <f aca="false">IFERROR(VLOOKUP($B428,'Unit Cost Database'!$A:$H,3,FALSE()),"LS")</f>
        <v>LS</v>
      </c>
      <c r="F428" s="194" t="n">
        <f aca="false">IFERROR(VLOOKUP($B428,'Unit Cost Database'!$A:$H,8,FALSE()),0)</f>
        <v>63525000</v>
      </c>
      <c r="G428" s="179" t="n">
        <f aca="false">$F$7</f>
        <v>0.1</v>
      </c>
      <c r="H428" s="180" t="n">
        <f aca="false">IF(OR(D428="",F428="",D428=0,F428=0),0,D428*F428*$H$8*(1+G428)*(1+$H$7))</f>
        <v>0</v>
      </c>
      <c r="I428" s="177" t="s">
        <v>361</v>
      </c>
      <c r="J428" s="185" t="s">
        <v>77</v>
      </c>
    </row>
    <row r="429" customFormat="false" ht="15" hidden="false" customHeight="true" outlineLevel="1" collapsed="false">
      <c r="A429" s="176"/>
      <c r="B429" s="195" t="s">
        <v>1037</v>
      </c>
      <c r="C429" s="195" t="s">
        <v>1038</v>
      </c>
      <c r="D429" s="183" t="n">
        <v>0</v>
      </c>
      <c r="E429" s="176" t="str">
        <f aca="false">IFERROR(VLOOKUP($B429,'Unit Cost Database'!$A:$H,3,FALSE()),"LS")</f>
        <v>LS</v>
      </c>
      <c r="F429" s="194" t="n">
        <f aca="false">IFERROR(VLOOKUP($B429,'Unit Cost Database'!$A:$H,8,FALSE()),0)</f>
        <v>20790000</v>
      </c>
      <c r="G429" s="179" t="n">
        <f aca="false">$F$7</f>
        <v>0.1</v>
      </c>
      <c r="H429" s="180" t="n">
        <f aca="false">IF(OR(D429="",F429="",D429=0,F429=0),0,D429*F429*$H$8*(1+G429)*(1+$H$7))</f>
        <v>0</v>
      </c>
      <c r="I429" s="177" t="s">
        <v>361</v>
      </c>
      <c r="J429" s="185" t="s">
        <v>77</v>
      </c>
    </row>
    <row r="430" customFormat="false" ht="15" hidden="false" customHeight="true" outlineLevel="1" collapsed="false">
      <c r="A430" s="176"/>
      <c r="B430" s="195" t="s">
        <v>1039</v>
      </c>
      <c r="C430" s="195" t="s">
        <v>1040</v>
      </c>
      <c r="D430" s="183" t="n">
        <v>0</v>
      </c>
      <c r="E430" s="176" t="str">
        <f aca="false">IFERROR(VLOOKUP($B430,'Unit Cost Database'!$A:$H,3,FALSE()),"LS")</f>
        <v>LS</v>
      </c>
      <c r="F430" s="194" t="n">
        <f aca="false">IFERROR(VLOOKUP($B430,'Unit Cost Database'!$A:$H,8,FALSE()),0)</f>
        <v>13860000</v>
      </c>
      <c r="G430" s="179" t="n">
        <f aca="false">$F$7</f>
        <v>0.1</v>
      </c>
      <c r="H430" s="180" t="n">
        <f aca="false">IF(OR(D430="",F430="",D430=0,F430=0),0,D430*F430*$H$8*(1+G430)*(1+$H$7))</f>
        <v>0</v>
      </c>
      <c r="I430" s="177" t="s">
        <v>361</v>
      </c>
      <c r="J430" s="185" t="s">
        <v>77</v>
      </c>
    </row>
    <row r="431" customFormat="false" ht="15" hidden="false" customHeight="true" outlineLevel="1" collapsed="false">
      <c r="A431" s="176"/>
      <c r="B431" s="195" t="s">
        <v>1041</v>
      </c>
      <c r="C431" s="195" t="s">
        <v>1042</v>
      </c>
      <c r="D431" s="183" t="n">
        <v>0</v>
      </c>
      <c r="E431" s="176" t="str">
        <f aca="false">IFERROR(VLOOKUP($B431,'Unit Cost Database'!$A:$H,3,FALSE()),"LS")</f>
        <v>LS</v>
      </c>
      <c r="F431" s="194" t="n">
        <f aca="false">IFERROR(VLOOKUP($B431,'Unit Cost Database'!$A:$H,8,FALSE()),0)</f>
        <v>11550000</v>
      </c>
      <c r="G431" s="179" t="n">
        <f aca="false">$F$7</f>
        <v>0.1</v>
      </c>
      <c r="H431" s="180" t="n">
        <f aca="false">IF(OR(D431="",F431="",D431=0,F431=0),0,D431*F431*$H$8*(1+G431)*(1+$H$7))</f>
        <v>0</v>
      </c>
      <c r="I431" s="177" t="s">
        <v>361</v>
      </c>
      <c r="J431" s="185" t="s">
        <v>77</v>
      </c>
    </row>
    <row r="432" customFormat="false" ht="15" hidden="false" customHeight="true" outlineLevel="1" collapsed="false">
      <c r="A432" s="176"/>
      <c r="B432" s="195" t="s">
        <v>1043</v>
      </c>
      <c r="C432" s="195" t="s">
        <v>1044</v>
      </c>
      <c r="D432" s="183" t="n">
        <v>0</v>
      </c>
      <c r="E432" s="176" t="str">
        <f aca="false">IFERROR(VLOOKUP($B432,'Unit Cost Database'!$A:$H,3,FALSE()),"LS")</f>
        <v>LS</v>
      </c>
      <c r="F432" s="194" t="n">
        <f aca="false">IFERROR(VLOOKUP($B432,'Unit Cost Database'!$A:$H,8,FALSE()),0)</f>
        <v>5775000</v>
      </c>
      <c r="G432" s="179" t="n">
        <f aca="false">$F$7</f>
        <v>0.1</v>
      </c>
      <c r="H432" s="180" t="n">
        <f aca="false">IF(OR(D432="",F432="",D432=0,F432=0),0,D432*F432*$H$8*(1+G432)*(1+$H$7))</f>
        <v>0</v>
      </c>
      <c r="I432" s="177" t="s">
        <v>361</v>
      </c>
      <c r="J432" s="185" t="s">
        <v>77</v>
      </c>
    </row>
    <row r="433" customFormat="false" ht="15" hidden="false" customHeight="true" outlineLevel="1" collapsed="false">
      <c r="A433" s="176" t="n">
        <v>15</v>
      </c>
      <c r="B433" s="195" t="s">
        <v>1045</v>
      </c>
      <c r="C433" s="195" t="s">
        <v>1046</v>
      </c>
      <c r="D433" s="183" t="n">
        <f aca="false">$C$13/500*'Scenario &amp; Presets'!$D$45</f>
        <v>880</v>
      </c>
      <c r="E433" s="176" t="str">
        <f aca="false">IFERROR(VLOOKUP($B433,'Unit Cost Database'!$A:$H,3,FALSE()),"LS")</f>
        <v>EA</v>
      </c>
      <c r="F433" s="184" t="n">
        <f aca="false">IFERROR(VLOOKUP($B433,'Unit Cost Database'!$A:$H,8,FALSE()),0)</f>
        <v>24500</v>
      </c>
      <c r="G433" s="179" t="n">
        <f aca="false">$F$7</f>
        <v>0.1</v>
      </c>
      <c r="H433" s="180" t="n">
        <f aca="false">IF(OR(D433="",F433="",D433=0,F433=0),0,D433*F433*$H$8*(1+G433)*(1+$H$7))</f>
        <v>24546060</v>
      </c>
      <c r="I433" s="177" t="s">
        <v>361</v>
      </c>
      <c r="J433" s="185" t="s">
        <v>77</v>
      </c>
    </row>
    <row r="434" customFormat="false" ht="15" hidden="false" customHeight="true" outlineLevel="1" collapsed="false">
      <c r="A434" s="176" t="n">
        <v>16</v>
      </c>
      <c r="B434" s="195" t="s">
        <v>1047</v>
      </c>
      <c r="C434" s="195" t="s">
        <v>1048</v>
      </c>
      <c r="D434" s="183" t="n">
        <v>5550.85927603518</v>
      </c>
      <c r="E434" s="176" t="str">
        <f aca="false">IFERROR(VLOOKUP($B434,'Unit Cost Database'!$A:$H,3,FALSE()),"LS")</f>
        <v>CAB</v>
      </c>
      <c r="F434" s="184" t="n">
        <f aca="false">IFERROR(VLOOKUP($B434,'Unit Cost Database'!$A:$H,8,FALSE()),0)</f>
        <v>800</v>
      </c>
      <c r="G434" s="179" t="n">
        <f aca="false">$F$7</f>
        <v>0.1</v>
      </c>
      <c r="H434" s="180" t="n">
        <f aca="false">IF(OR(D434="",F434="",D434=0,F434=0),0,D434*F434*$H$8*(1+G434)*(1+$H$7))</f>
        <v>5055722.62861284</v>
      </c>
      <c r="I434" s="177" t="s">
        <v>361</v>
      </c>
      <c r="J434" s="185" t="s">
        <v>77</v>
      </c>
    </row>
    <row r="435" customFormat="false" ht="15" hidden="false" customHeight="true" outlineLevel="1" collapsed="false">
      <c r="A435" s="176"/>
      <c r="B435" s="195" t="s">
        <v>1049</v>
      </c>
      <c r="C435" s="195" t="s">
        <v>1050</v>
      </c>
      <c r="D435" s="183" t="n">
        <v>0</v>
      </c>
      <c r="E435" s="176" t="str">
        <f aca="false">IFERROR(VLOOKUP($B435,'Unit Cost Database'!$A:$H,3,FALSE()),"LS")</f>
        <v>LS</v>
      </c>
      <c r="F435" s="194" t="n">
        <f aca="false">IFERROR(VLOOKUP($B435,'Unit Cost Database'!$A:$H,8,FALSE()),0)</f>
        <v>2664412.45255685</v>
      </c>
      <c r="G435" s="179" t="n">
        <f aca="false">$F$7</f>
        <v>0.1</v>
      </c>
      <c r="H435" s="180" t="n">
        <f aca="false">IF(OR(D435="",F435="",D435=0,F435=0),0,D435*F435*$H$8*(1+G435)*(1+$H$7))</f>
        <v>0</v>
      </c>
      <c r="I435" s="177" t="s">
        <v>361</v>
      </c>
      <c r="J435" s="185" t="s">
        <v>77</v>
      </c>
    </row>
    <row r="436" customFormat="false" ht="15" hidden="false" customHeight="true" outlineLevel="1" collapsed="false">
      <c r="A436" s="176"/>
      <c r="B436" s="195" t="s">
        <v>1051</v>
      </c>
      <c r="C436" s="195" t="s">
        <v>1052</v>
      </c>
      <c r="D436" s="183" t="n">
        <v>0</v>
      </c>
      <c r="E436" s="176" t="str">
        <f aca="false">IFERROR(VLOOKUP($B436,'Unit Cost Database'!$A:$H,3,FALSE()),"LS")</f>
        <v>LS</v>
      </c>
      <c r="F436" s="194" t="n">
        <f aca="false">IFERROR(VLOOKUP($B436,'Unit Cost Database'!$A:$H,8,FALSE()),0)</f>
        <v>1110171.85518205</v>
      </c>
      <c r="G436" s="179" t="n">
        <f aca="false">$F$7</f>
        <v>0.1</v>
      </c>
      <c r="H436" s="180" t="n">
        <f aca="false">IF(OR(D436="",F436="",D436=0,F436=0),0,D436*F436*$H$8*(1+G436)*(1+$H$7))</f>
        <v>0</v>
      </c>
      <c r="I436" s="177" t="s">
        <v>361</v>
      </c>
      <c r="J436" s="185" t="s">
        <v>77</v>
      </c>
    </row>
    <row r="437" customFormat="false" ht="15" hidden="false" customHeight="true" outlineLevel="1" collapsed="false">
      <c r="A437" s="176"/>
      <c r="B437" s="195" t="s">
        <v>1053</v>
      </c>
      <c r="C437" s="195" t="s">
        <v>1054</v>
      </c>
      <c r="D437" s="183" t="n">
        <v>0</v>
      </c>
      <c r="E437" s="176" t="str">
        <f aca="false">IFERROR(VLOOKUP($B437,'Unit Cost Database'!$A:$H,3,FALSE()),"LS")</f>
        <v>LS</v>
      </c>
      <c r="F437" s="194" t="n">
        <f aca="false">IFERROR(VLOOKUP($B437,'Unit Cost Database'!$A:$H,8,FALSE()),0)</f>
        <v>666103.113089241</v>
      </c>
      <c r="G437" s="179" t="n">
        <f aca="false">$F$7</f>
        <v>0.1</v>
      </c>
      <c r="H437" s="180" t="n">
        <f aca="false">IF(OR(D437="",F437="",D437=0,F437=0),0,D437*F437*$H$8*(1+G437)*(1+$H$7))</f>
        <v>0</v>
      </c>
      <c r="I437" s="177" t="s">
        <v>361</v>
      </c>
      <c r="J437" s="185" t="s">
        <v>77</v>
      </c>
    </row>
    <row r="438" customFormat="false" ht="15" hidden="false" customHeight="true" outlineLevel="1" collapsed="false">
      <c r="A438" s="176" t="n">
        <v>17</v>
      </c>
      <c r="B438" s="195" t="s">
        <v>1055</v>
      </c>
      <c r="C438" s="195" t="s">
        <v>1056</v>
      </c>
      <c r="D438" s="183" t="n">
        <v>0</v>
      </c>
      <c r="E438" s="176" t="str">
        <f aca="false">IFERROR(VLOOKUP($B438,'Unit Cost Database'!$A:$H,3,FALSE()),"LS")</f>
        <v>LS</v>
      </c>
      <c r="F438" s="184" t="n">
        <f aca="false">IFERROR(VLOOKUP($B438,'Unit Cost Database'!$A:$H,8,FALSE()),0)</f>
        <v>0</v>
      </c>
      <c r="G438" s="179" t="n">
        <f aca="false">$F$7</f>
        <v>0.1</v>
      </c>
      <c r="H438" s="180" t="n">
        <f aca="false">IF(OR(D438="",F438="",D438=0,F438=0),0,D438*F438*$H$8*(1+G438)*(1+$H$7))</f>
        <v>0</v>
      </c>
      <c r="I438" s="177" t="s">
        <v>361</v>
      </c>
      <c r="J438" s="185" t="s">
        <v>77</v>
      </c>
    </row>
    <row r="439" customFormat="false" ht="15" hidden="false" customHeight="true" outlineLevel="1" collapsed="false">
      <c r="A439" s="176" t="n">
        <v>18</v>
      </c>
      <c r="B439" s="195" t="s">
        <v>1057</v>
      </c>
      <c r="C439" s="195" t="s">
        <v>1058</v>
      </c>
      <c r="D439" s="183" t="n">
        <v>25650</v>
      </c>
      <c r="E439" s="176" t="str">
        <f aca="false">IFERROR(VLOOKUP($B439,'Unit Cost Database'!$A:$H,3,FALSE()),"LS")</f>
        <v>TON</v>
      </c>
      <c r="F439" s="184" t="n">
        <f aca="false">IFERROR(VLOOKUP($B439,'Unit Cost Database'!$A:$H,8,FALSE()),0)</f>
        <v>100</v>
      </c>
      <c r="G439" s="179" t="n">
        <f aca="false">$F$7</f>
        <v>0.1</v>
      </c>
      <c r="H439" s="180" t="n">
        <f aca="false">IF(OR(D439="",F439="",D439=0,F439=0),0,D439*F439*$H$8*(1+G439)*(1+$H$7))</f>
        <v>2920252.5</v>
      </c>
      <c r="I439" s="177" t="s">
        <v>361</v>
      </c>
      <c r="J439" s="185" t="s">
        <v>77</v>
      </c>
    </row>
    <row r="440" customFormat="false" ht="15" hidden="false" customHeight="true" outlineLevel="1" collapsed="false">
      <c r="A440" s="176"/>
      <c r="B440" s="195" t="s">
        <v>1059</v>
      </c>
      <c r="C440" s="195" t="s">
        <v>1060</v>
      </c>
      <c r="D440" s="183" t="n">
        <v>0</v>
      </c>
      <c r="E440" s="176" t="str">
        <f aca="false">IFERROR(VLOOKUP($B440,'Unit Cost Database'!$A:$H,3,FALSE()),"LS")</f>
        <v>LS</v>
      </c>
      <c r="F440" s="194" t="n">
        <f aca="false">IFERROR(VLOOKUP($B440,'Unit Cost Database'!$A:$H,8,FALSE()),0)</f>
        <v>1410750</v>
      </c>
      <c r="G440" s="179" t="n">
        <f aca="false">$F$7</f>
        <v>0.1</v>
      </c>
      <c r="H440" s="180" t="n">
        <f aca="false">IF(OR(D440="",F440="",D440=0,F440=0),0,D440*F440*$H$8*(1+G440)*(1+$H$7))</f>
        <v>0</v>
      </c>
      <c r="I440" s="177" t="s">
        <v>361</v>
      </c>
      <c r="J440" s="185" t="s">
        <v>77</v>
      </c>
    </row>
    <row r="441" customFormat="false" ht="15" hidden="false" customHeight="true" outlineLevel="1" collapsed="false">
      <c r="A441" s="176"/>
      <c r="B441" s="195" t="s">
        <v>1061</v>
      </c>
      <c r="C441" s="195" t="s">
        <v>1062</v>
      </c>
      <c r="D441" s="183" t="n">
        <v>0</v>
      </c>
      <c r="E441" s="176" t="str">
        <f aca="false">IFERROR(VLOOKUP($B441,'Unit Cost Database'!$A:$H,3,FALSE()),"LS")</f>
        <v>LS</v>
      </c>
      <c r="F441" s="194" t="n">
        <f aca="false">IFERROR(VLOOKUP($B441,'Unit Cost Database'!$A:$H,8,FALSE()),0)</f>
        <v>641250</v>
      </c>
      <c r="G441" s="179" t="n">
        <f aca="false">$F$7</f>
        <v>0.1</v>
      </c>
      <c r="H441" s="180" t="n">
        <f aca="false">IF(OR(D441="",F441="",D441=0,F441=0),0,D441*F441*$H$8*(1+G441)*(1+$H$7))</f>
        <v>0</v>
      </c>
      <c r="I441" s="177" t="s">
        <v>361</v>
      </c>
      <c r="J441" s="185" t="s">
        <v>77</v>
      </c>
    </row>
    <row r="442" customFormat="false" ht="15" hidden="false" customHeight="true" outlineLevel="1" collapsed="false">
      <c r="A442" s="176"/>
      <c r="B442" s="195" t="s">
        <v>1063</v>
      </c>
      <c r="C442" s="195" t="s">
        <v>1064</v>
      </c>
      <c r="D442" s="183" t="n">
        <v>0</v>
      </c>
      <c r="E442" s="176" t="str">
        <f aca="false">IFERROR(VLOOKUP($B442,'Unit Cost Database'!$A:$H,3,FALSE()),"LS")</f>
        <v>LS</v>
      </c>
      <c r="F442" s="194" t="n">
        <f aca="false">IFERROR(VLOOKUP($B442,'Unit Cost Database'!$A:$H,8,FALSE()),0)</f>
        <v>513000</v>
      </c>
      <c r="G442" s="179" t="n">
        <f aca="false">$F$7</f>
        <v>0.1</v>
      </c>
      <c r="H442" s="180" t="n">
        <f aca="false">IF(OR(D442="",F442="",D442=0,F442=0),0,D442*F442*$H$8*(1+G442)*(1+$H$7))</f>
        <v>0</v>
      </c>
      <c r="I442" s="177" t="s">
        <v>361</v>
      </c>
      <c r="J442" s="185" t="s">
        <v>77</v>
      </c>
    </row>
    <row r="443" customFormat="false" ht="15" hidden="false" customHeight="true" outlineLevel="1" collapsed="false">
      <c r="A443" s="176" t="n">
        <v>19</v>
      </c>
      <c r="B443" s="195" t="s">
        <v>1065</v>
      </c>
      <c r="C443" s="195" t="s">
        <v>1066</v>
      </c>
      <c r="D443" s="183" t="n">
        <f aca="false">$C$12*0.3*'Scenario &amp; Presets'!$B$45</f>
        <v>3078</v>
      </c>
      <c r="E443" s="176" t="str">
        <f aca="false">IFERROR(VLOOKUP($B443,'Unit Cost Database'!$A:$H,3,FALSE()),"LS")</f>
        <v>TON</v>
      </c>
      <c r="F443" s="184" t="n">
        <f aca="false">IFERROR(VLOOKUP($B443,'Unit Cost Database'!$A:$H,8,FALSE()),0)</f>
        <v>175</v>
      </c>
      <c r="G443" s="179" t="n">
        <f aca="false">$F$7</f>
        <v>0.1</v>
      </c>
      <c r="H443" s="180" t="n">
        <f aca="false">IF(OR(D443="",F443="",D443=0,F443=0),0,D443*F443*$H$8*(1+G443)*(1+$H$7))</f>
        <v>613253.025</v>
      </c>
      <c r="I443" s="177" t="s">
        <v>361</v>
      </c>
      <c r="J443" s="185" t="s">
        <v>77</v>
      </c>
    </row>
    <row r="444" customFormat="false" ht="15" hidden="false" customHeight="true" outlineLevel="1" collapsed="false">
      <c r="A444" s="176" t="n">
        <v>20</v>
      </c>
      <c r="B444" s="195" t="s">
        <v>1067</v>
      </c>
      <c r="C444" s="195" t="s">
        <v>1068</v>
      </c>
      <c r="D444" s="183" t="n">
        <f aca="false">$C$6*0.1</f>
        <v>80000</v>
      </c>
      <c r="E444" s="176" t="str">
        <f aca="false">IFERROR(VLOOKUP($B444,'Unit Cost Database'!$A:$H,3,FALSE()),"LS")</f>
        <v>SF</v>
      </c>
      <c r="F444" s="184" t="n">
        <f aca="false">IFERROR(VLOOKUP($B444,'Unit Cost Database'!$A:$H,8,FALSE()),0)</f>
        <v>12.6</v>
      </c>
      <c r="G444" s="179" t="n">
        <f aca="false">$F$7</f>
        <v>0.1</v>
      </c>
      <c r="H444" s="180" t="n">
        <f aca="false">IF(OR(D444="",F444="",D444=0,F444=0),0,D444*F444*$H$8*(1+G444)*(1+$H$7))</f>
        <v>1147608</v>
      </c>
      <c r="I444" s="177" t="s">
        <v>361</v>
      </c>
      <c r="J444" s="185" t="s">
        <v>77</v>
      </c>
    </row>
    <row r="445" customFormat="false" ht="15" hidden="false" customHeight="true" outlineLevel="1" collapsed="false">
      <c r="A445" s="176" t="n">
        <v>21</v>
      </c>
      <c r="B445" s="195" t="s">
        <v>1069</v>
      </c>
      <c r="C445" s="195" t="s">
        <v>1070</v>
      </c>
      <c r="D445" s="183" t="n">
        <f aca="false">$C$6*0.3</f>
        <v>240000</v>
      </c>
      <c r="E445" s="176" t="str">
        <f aca="false">IFERROR(VLOOKUP($B445,'Unit Cost Database'!$A:$H,3,FALSE()),"LS")</f>
        <v>SF</v>
      </c>
      <c r="F445" s="184" t="n">
        <f aca="false">IFERROR(VLOOKUP($B445,'Unit Cost Database'!$A:$H,8,FALSE()),0)</f>
        <v>5.6</v>
      </c>
      <c r="G445" s="179" t="n">
        <f aca="false">$F$7</f>
        <v>0.1</v>
      </c>
      <c r="H445" s="180" t="n">
        <f aca="false">IF(OR(D445="",F445="",D445=0,F445=0),0,D445*F445*$H$8*(1+G445)*(1+$H$7))</f>
        <v>1530144</v>
      </c>
      <c r="I445" s="177" t="s">
        <v>361</v>
      </c>
      <c r="J445" s="185" t="s">
        <v>77</v>
      </c>
    </row>
    <row r="446" customFormat="false" ht="15" hidden="false" customHeight="true" outlineLevel="1" collapsed="false">
      <c r="A446" s="176" t="n">
        <v>22</v>
      </c>
      <c r="B446" s="195" t="s">
        <v>1071</v>
      </c>
      <c r="C446" s="195" t="s">
        <v>1072</v>
      </c>
      <c r="D446" s="183" t="n">
        <f aca="false">20</f>
        <v>20</v>
      </c>
      <c r="E446" s="176" t="str">
        <f aca="false">IFERROR(VLOOKUP($B446,'Unit Cost Database'!$A:$H,3,FALSE()),"LS")</f>
        <v>EA</v>
      </c>
      <c r="F446" s="184" t="n">
        <f aca="false">IFERROR(VLOOKUP($B446,'Unit Cost Database'!$A:$H,8,FALSE()),0)</f>
        <v>24500</v>
      </c>
      <c r="G446" s="179" t="n">
        <f aca="false">$F$7</f>
        <v>0.1</v>
      </c>
      <c r="H446" s="180" t="n">
        <f aca="false">IF(OR(D446="",F446="",D446=0,F446=0),0,D446*F446*$H$8*(1+G446)*(1+$H$7))</f>
        <v>557865</v>
      </c>
      <c r="I446" s="177" t="s">
        <v>361</v>
      </c>
      <c r="J446" s="185" t="s">
        <v>77</v>
      </c>
    </row>
    <row r="447" customFormat="false" ht="15" hidden="false" customHeight="true" outlineLevel="1" collapsed="false">
      <c r="A447" s="176" t="n">
        <v>23</v>
      </c>
      <c r="B447" s="195" t="s">
        <v>1073</v>
      </c>
      <c r="C447" s="195" t="s">
        <v>1074</v>
      </c>
      <c r="D447" s="183" t="n">
        <v>440000</v>
      </c>
      <c r="E447" s="176" t="str">
        <f aca="false">IFERROR(VLOOKUP($B447,'Unit Cost Database'!$A:$H,3,FALSE()),"LS")</f>
        <v>SF</v>
      </c>
      <c r="F447" s="184" t="n">
        <f aca="false">IFERROR(VLOOKUP($B447,'Unit Cost Database'!$A:$H,8,FALSE()),0)</f>
        <v>5.6</v>
      </c>
      <c r="G447" s="179" t="n">
        <f aca="false">$F$7</f>
        <v>0.1</v>
      </c>
      <c r="H447" s="180" t="n">
        <f aca="false">IF(OR(D447="",F447="",D447=0,F447=0),0,D447*F447*$H$8*(1+G447)*(1+$H$7))</f>
        <v>2805264</v>
      </c>
      <c r="I447" s="177" t="s">
        <v>361</v>
      </c>
      <c r="J447" s="185" t="s">
        <v>77</v>
      </c>
    </row>
    <row r="448" customFormat="false" ht="15" hidden="false" customHeight="true" outlineLevel="1" collapsed="false">
      <c r="A448" s="176"/>
      <c r="B448" s="195" t="s">
        <v>1075</v>
      </c>
      <c r="C448" s="195" t="s">
        <v>1076</v>
      </c>
      <c r="D448" s="183" t="n">
        <v>0</v>
      </c>
      <c r="E448" s="176" t="str">
        <f aca="false">IFERROR(VLOOKUP($B448,'Unit Cost Database'!$A:$H,3,FALSE()),"LS")</f>
        <v>LS</v>
      </c>
      <c r="F448" s="184" t="n">
        <f aca="false">IFERROR(VLOOKUP($B448,'Unit Cost Database'!$A:$H,8,FALSE()),0)</f>
        <v>1478400</v>
      </c>
      <c r="G448" s="179" t="n">
        <f aca="false">$F$7</f>
        <v>0.1</v>
      </c>
      <c r="H448" s="180" t="n">
        <f aca="false">IF(OR(D448="",F448="",D448=0,F448=0),0,D448*F448*$H$8*(1+G448)*(1+$H$7))</f>
        <v>0</v>
      </c>
      <c r="I448" s="177" t="s">
        <v>361</v>
      </c>
      <c r="J448" s="185" t="s">
        <v>77</v>
      </c>
    </row>
    <row r="449" customFormat="false" ht="15" hidden="false" customHeight="true" outlineLevel="1" collapsed="false">
      <c r="A449" s="176"/>
      <c r="B449" s="195" t="s">
        <v>1077</v>
      </c>
      <c r="C449" s="195" t="s">
        <v>1078</v>
      </c>
      <c r="D449" s="183" t="n">
        <v>0</v>
      </c>
      <c r="E449" s="176" t="str">
        <f aca="false">IFERROR(VLOOKUP($B449,'Unit Cost Database'!$A:$H,3,FALSE()),"LS")</f>
        <v>LS</v>
      </c>
      <c r="F449" s="184" t="n">
        <f aca="false">IFERROR(VLOOKUP($B449,'Unit Cost Database'!$A:$H,8,FALSE()),0)</f>
        <v>616000</v>
      </c>
      <c r="G449" s="179" t="n">
        <f aca="false">$F$7</f>
        <v>0.1</v>
      </c>
      <c r="H449" s="180" t="n">
        <f aca="false">IF(OR(D449="",F449="",D449=0,F449=0),0,D449*F449*$H$8*(1+G449)*(1+$H$7))</f>
        <v>0</v>
      </c>
      <c r="I449" s="177" t="s">
        <v>361</v>
      </c>
      <c r="J449" s="185" t="s">
        <v>77</v>
      </c>
    </row>
    <row r="450" customFormat="false" ht="15" hidden="false" customHeight="true" outlineLevel="1" collapsed="false">
      <c r="A450" s="176"/>
      <c r="B450" s="195" t="s">
        <v>1079</v>
      </c>
      <c r="C450" s="195" t="s">
        <v>1080</v>
      </c>
      <c r="D450" s="183" t="n">
        <v>0</v>
      </c>
      <c r="E450" s="176" t="str">
        <f aca="false">IFERROR(VLOOKUP($B450,'Unit Cost Database'!$A:$H,3,FALSE()),"LS")</f>
        <v>LS</v>
      </c>
      <c r="F450" s="184" t="n">
        <f aca="false">IFERROR(VLOOKUP($B450,'Unit Cost Database'!$A:$H,8,FALSE()),0)</f>
        <v>369600</v>
      </c>
      <c r="G450" s="179" t="n">
        <f aca="false">$F$7</f>
        <v>0.1</v>
      </c>
      <c r="H450" s="180" t="n">
        <f aca="false">IF(OR(D450="",F450="",D450=0,F450=0),0,D450*F450*$H$8*(1+G450)*(1+$H$7))</f>
        <v>0</v>
      </c>
      <c r="I450" s="177" t="s">
        <v>361</v>
      </c>
      <c r="J450" s="185" t="s">
        <v>77</v>
      </c>
    </row>
    <row r="451" customFormat="false" ht="15" hidden="false" customHeight="true" outlineLevel="1" collapsed="false">
      <c r="A451" s="176" t="n">
        <v>24</v>
      </c>
      <c r="B451" s="195" t="s">
        <v>1081</v>
      </c>
      <c r="C451" s="195" t="s">
        <v>1082</v>
      </c>
      <c r="D451" s="183" t="n">
        <f aca="false">$C$13</f>
        <v>440000</v>
      </c>
      <c r="E451" s="176" t="str">
        <f aca="false">IFERROR(VLOOKUP($B451,'Unit Cost Database'!$A:$H,3,FALSE()),"LS")</f>
        <v>SF</v>
      </c>
      <c r="F451" s="184" t="n">
        <f aca="false">IFERROR(VLOOKUP($B451,'Unit Cost Database'!$A:$H,8,FALSE()),0)</f>
        <v>3.5</v>
      </c>
      <c r="G451" s="179" t="n">
        <f aca="false">$F$7</f>
        <v>0.1</v>
      </c>
      <c r="H451" s="180" t="n">
        <f aca="false">IF(OR(D451="",F451="",D451=0,F451=0),0,D451*F451*$H$8*(1+G451)*(1+$H$7))</f>
        <v>1753290</v>
      </c>
      <c r="I451" s="177" t="s">
        <v>361</v>
      </c>
      <c r="J451" s="185" t="s">
        <v>77</v>
      </c>
    </row>
    <row r="452" customFormat="false" ht="15" hidden="false" customHeight="true" outlineLevel="1" collapsed="false">
      <c r="A452" s="176" t="n">
        <v>25</v>
      </c>
      <c r="B452" s="195" t="s">
        <v>1083</v>
      </c>
      <c r="C452" s="195" t="s">
        <v>1084</v>
      </c>
      <c r="D452" s="183" t="n">
        <f aca="false">$C$9*100</f>
        <v>9000</v>
      </c>
      <c r="E452" s="176" t="str">
        <f aca="false">IFERROR(VLOOKUP($B452,'Unit Cost Database'!$A:$H,3,FALSE()),"LS")</f>
        <v>LF</v>
      </c>
      <c r="F452" s="184" t="n">
        <f aca="false">IFERROR(VLOOKUP($B452,'Unit Cost Database'!$A:$H,8,FALSE()),0)</f>
        <v>56</v>
      </c>
      <c r="G452" s="179" t="n">
        <f aca="false">$F$7</f>
        <v>0.1</v>
      </c>
      <c r="H452" s="180" t="n">
        <f aca="false">IF(OR(D452="",F452="",D452=0,F452=0),0,D452*F452*$H$8*(1+G452)*(1+$H$7))</f>
        <v>573804</v>
      </c>
      <c r="I452" s="177" t="s">
        <v>361</v>
      </c>
      <c r="J452" s="185" t="s">
        <v>77</v>
      </c>
    </row>
    <row r="453" customFormat="false" ht="15" hidden="false" customHeight="true" outlineLevel="1" collapsed="false">
      <c r="A453" s="176" t="n">
        <v>26</v>
      </c>
      <c r="B453" s="195" t="s">
        <v>1085</v>
      </c>
      <c r="C453" s="195" t="s">
        <v>1086</v>
      </c>
      <c r="D453" s="183" t="n">
        <v>7695</v>
      </c>
      <c r="E453" s="176" t="str">
        <f aca="false">IFERROR(VLOOKUP($B453,'Unit Cost Database'!$A:$H,3,FALSE()),"LS")</f>
        <v>GPM</v>
      </c>
      <c r="F453" s="184" t="n">
        <f aca="false">IFERROR(VLOOKUP($B453,'Unit Cost Database'!$A:$H,8,FALSE()),0)</f>
        <v>420</v>
      </c>
      <c r="G453" s="179" t="n">
        <f aca="false">$F$7</f>
        <v>0.1</v>
      </c>
      <c r="H453" s="180" t="n">
        <f aca="false">IF(OR(D453="",F453="",D453=0,F453=0),0,D453*F453*$H$8*(1+G453)*(1+$H$7))</f>
        <v>3679518.15</v>
      </c>
      <c r="I453" s="177" t="s">
        <v>361</v>
      </c>
      <c r="J453" s="185" t="s">
        <v>77</v>
      </c>
    </row>
    <row r="454" customFormat="false" ht="15" hidden="false" customHeight="true" outlineLevel="1" collapsed="false">
      <c r="A454" s="176"/>
      <c r="B454" s="195" t="s">
        <v>1087</v>
      </c>
      <c r="C454" s="195" t="s">
        <v>1088</v>
      </c>
      <c r="D454" s="183" t="n">
        <v>0</v>
      </c>
      <c r="E454" s="176" t="str">
        <f aca="false">IFERROR(VLOOKUP($B454,'Unit Cost Database'!$A:$H,3,FALSE()),"LS")</f>
        <v>LS</v>
      </c>
      <c r="F454" s="184" t="n">
        <f aca="false">IFERROR(VLOOKUP($B454,'Unit Cost Database'!$A:$H,8,FALSE()),0)</f>
        <v>1292760</v>
      </c>
      <c r="G454" s="179" t="n">
        <f aca="false">$F$7</f>
        <v>0.1</v>
      </c>
      <c r="H454" s="180" t="n">
        <f aca="false">IF(OR(D454="",F454="",D454=0,F454=0),0,D454*F454*$H$8*(1+G454)*(1+$H$7))</f>
        <v>0</v>
      </c>
      <c r="I454" s="177" t="s">
        <v>361</v>
      </c>
      <c r="J454" s="185" t="s">
        <v>77</v>
      </c>
    </row>
    <row r="455" customFormat="false" ht="15" hidden="false" customHeight="true" outlineLevel="1" collapsed="false">
      <c r="A455" s="176"/>
      <c r="B455" s="195" t="s">
        <v>1089</v>
      </c>
      <c r="C455" s="195" t="s">
        <v>1090</v>
      </c>
      <c r="D455" s="183" t="n">
        <v>0</v>
      </c>
      <c r="E455" s="176" t="str">
        <f aca="false">IFERROR(VLOOKUP($B455,'Unit Cost Database'!$A:$H,3,FALSE()),"LS")</f>
        <v>LS</v>
      </c>
      <c r="F455" s="184" t="n">
        <f aca="false">IFERROR(VLOOKUP($B455,'Unit Cost Database'!$A:$H,8,FALSE()),0)</f>
        <v>969570</v>
      </c>
      <c r="G455" s="179" t="n">
        <f aca="false">$F$7</f>
        <v>0.1</v>
      </c>
      <c r="H455" s="180" t="n">
        <f aca="false">IF(OR(D455="",F455="",D455=0,F455=0),0,D455*F455*$H$8*(1+G455)*(1+$H$7))</f>
        <v>0</v>
      </c>
      <c r="I455" s="177" t="s">
        <v>361</v>
      </c>
      <c r="J455" s="185" t="s">
        <v>77</v>
      </c>
    </row>
    <row r="456" customFormat="false" ht="15" hidden="false" customHeight="true" outlineLevel="1" collapsed="false">
      <c r="A456" s="176"/>
      <c r="B456" s="195" t="s">
        <v>1091</v>
      </c>
      <c r="C456" s="195" t="s">
        <v>1092</v>
      </c>
      <c r="D456" s="183" t="n">
        <v>0</v>
      </c>
      <c r="E456" s="176" t="str">
        <f aca="false">IFERROR(VLOOKUP($B456,'Unit Cost Database'!$A:$H,3,FALSE()),"LS")</f>
        <v>LS</v>
      </c>
      <c r="F456" s="184" t="n">
        <f aca="false">IFERROR(VLOOKUP($B456,'Unit Cost Database'!$A:$H,8,FALSE()),0)</f>
        <v>646380</v>
      </c>
      <c r="G456" s="179" t="n">
        <f aca="false">$F$7</f>
        <v>0.1</v>
      </c>
      <c r="H456" s="180" t="n">
        <f aca="false">IF(OR(D456="",F456="",D456=0,F456=0),0,D456*F456*$H$8*(1+G456)*(1+$H$7))</f>
        <v>0</v>
      </c>
      <c r="I456" s="177" t="s">
        <v>361</v>
      </c>
      <c r="J456" s="185" t="s">
        <v>77</v>
      </c>
    </row>
    <row r="457" customFormat="false" ht="15" hidden="false" customHeight="true" outlineLevel="1" collapsed="false">
      <c r="A457" s="176"/>
      <c r="B457" s="195" t="s">
        <v>1093</v>
      </c>
      <c r="C457" s="195" t="s">
        <v>1094</v>
      </c>
      <c r="D457" s="183" t="n">
        <v>0</v>
      </c>
      <c r="E457" s="176" t="str">
        <f aca="false">IFERROR(VLOOKUP($B457,'Unit Cost Database'!$A:$H,3,FALSE()),"LS")</f>
        <v>LS</v>
      </c>
      <c r="F457" s="184" t="n">
        <f aca="false">IFERROR(VLOOKUP($B457,'Unit Cost Database'!$A:$H,8,FALSE()),0)</f>
        <v>323190</v>
      </c>
      <c r="G457" s="179" t="n">
        <f aca="false">$F$7</f>
        <v>0.1</v>
      </c>
      <c r="H457" s="180" t="n">
        <f aca="false">IF(OR(D457="",F457="",D457=0,F457=0),0,D457*F457*$H$8*(1+G457)*(1+$H$7))</f>
        <v>0</v>
      </c>
      <c r="I457" s="177" t="s">
        <v>361</v>
      </c>
      <c r="J457" s="185" t="s">
        <v>77</v>
      </c>
    </row>
    <row r="458" customFormat="false" ht="15" hidden="false" customHeight="true" outlineLevel="1" collapsed="false">
      <c r="A458" s="176" t="n">
        <v>27</v>
      </c>
      <c r="B458" s="195" t="s">
        <v>1095</v>
      </c>
      <c r="C458" s="195" t="s">
        <v>1096</v>
      </c>
      <c r="D458" s="183" t="n">
        <v>90</v>
      </c>
      <c r="E458" s="176" t="str">
        <f aca="false">IFERROR(VLOOKUP($B458,'Unit Cost Database'!$A:$H,3,FALSE()),"LS")</f>
        <v>MW</v>
      </c>
      <c r="F458" s="184" t="n">
        <f aca="false">IFERROR(VLOOKUP($B458,'Unit Cost Database'!$A:$H,8,FALSE()),0)</f>
        <v>24500</v>
      </c>
      <c r="G458" s="179" t="n">
        <f aca="false">$F$7</f>
        <v>0.1</v>
      </c>
      <c r="H458" s="180" t="n">
        <f aca="false">IF(OR(D458="",F458="",D458=0,F458=0),0,D458*F458*$H$8*(1+G458)*(1+$H$7))</f>
        <v>2510392.5</v>
      </c>
      <c r="I458" s="177" t="s">
        <v>361</v>
      </c>
      <c r="J458" s="185" t="s">
        <v>77</v>
      </c>
    </row>
    <row r="459" customFormat="false" ht="15" hidden="false" customHeight="true" outlineLevel="1" collapsed="false">
      <c r="A459" s="176"/>
      <c r="B459" s="195" t="s">
        <v>1097</v>
      </c>
      <c r="C459" s="195" t="s">
        <v>1098</v>
      </c>
      <c r="D459" s="183" t="n">
        <v>0</v>
      </c>
      <c r="E459" s="176" t="str">
        <f aca="false">IFERROR(VLOOKUP($B459,'Unit Cost Database'!$A:$H,3,FALSE()),"LS")</f>
        <v>LS</v>
      </c>
      <c r="F459" s="184" t="n">
        <f aca="false">IFERROR(VLOOKUP($B459,'Unit Cost Database'!$A:$H,8,FALSE()),0)</f>
        <v>992250</v>
      </c>
      <c r="G459" s="179" t="n">
        <f aca="false">$F$7</f>
        <v>0.1</v>
      </c>
      <c r="H459" s="180" t="n">
        <f aca="false">IF(OR(D459="",F459="",D459=0,F459=0),0,D459*F459*$H$8*(1+G459)*(1+$H$7))</f>
        <v>0</v>
      </c>
      <c r="I459" s="177" t="s">
        <v>361</v>
      </c>
      <c r="J459" s="185" t="s">
        <v>77</v>
      </c>
    </row>
    <row r="460" customFormat="false" ht="15" hidden="false" customHeight="true" outlineLevel="1" collapsed="false">
      <c r="A460" s="176"/>
      <c r="B460" s="195" t="s">
        <v>1099</v>
      </c>
      <c r="C460" s="195" t="s">
        <v>1100</v>
      </c>
      <c r="D460" s="183" t="n">
        <v>0</v>
      </c>
      <c r="E460" s="176" t="str">
        <f aca="false">IFERROR(VLOOKUP($B460,'Unit Cost Database'!$A:$H,3,FALSE()),"LS")</f>
        <v>LS</v>
      </c>
      <c r="F460" s="184" t="n">
        <f aca="false">IFERROR(VLOOKUP($B460,'Unit Cost Database'!$A:$H,8,FALSE()),0)</f>
        <v>771750</v>
      </c>
      <c r="G460" s="179" t="n">
        <f aca="false">$F$7</f>
        <v>0.1</v>
      </c>
      <c r="H460" s="180" t="n">
        <f aca="false">IF(OR(D460="",F460="",D460=0,F460=0),0,D460*F460*$H$8*(1+G460)*(1+$H$7))</f>
        <v>0</v>
      </c>
      <c r="I460" s="177" t="s">
        <v>361</v>
      </c>
      <c r="J460" s="185" t="s">
        <v>77</v>
      </c>
    </row>
    <row r="461" customFormat="false" ht="15" hidden="false" customHeight="true" outlineLevel="1" collapsed="false">
      <c r="A461" s="176"/>
      <c r="B461" s="195" t="s">
        <v>1101</v>
      </c>
      <c r="C461" s="195" t="s">
        <v>1102</v>
      </c>
      <c r="D461" s="183" t="n">
        <v>0</v>
      </c>
      <c r="E461" s="176" t="str">
        <f aca="false">IFERROR(VLOOKUP($B461,'Unit Cost Database'!$A:$H,3,FALSE()),"LS")</f>
        <v>LS</v>
      </c>
      <c r="F461" s="184" t="n">
        <f aca="false">IFERROR(VLOOKUP($B461,'Unit Cost Database'!$A:$H,8,FALSE()),0)</f>
        <v>441000</v>
      </c>
      <c r="G461" s="179" t="n">
        <f aca="false">$F$7</f>
        <v>0.1</v>
      </c>
      <c r="H461" s="180" t="n">
        <f aca="false">IF(OR(D461="",F461="",D461=0,F461=0),0,D461*F461*$H$8*(1+G461)*(1+$H$7))</f>
        <v>0</v>
      </c>
      <c r="I461" s="177" t="s">
        <v>361</v>
      </c>
      <c r="J461" s="185" t="s">
        <v>77</v>
      </c>
    </row>
    <row r="462" customFormat="false" ht="15" hidden="false" customHeight="true" outlineLevel="1" collapsed="false">
      <c r="A462" s="176" t="n">
        <v>28</v>
      </c>
      <c r="B462" s="195" t="s">
        <v>1103</v>
      </c>
      <c r="C462" s="195" t="s">
        <v>1104</v>
      </c>
      <c r="D462" s="183" t="n">
        <f aca="false">$C$9*1000*'Scenario &amp; Presets'!$D$45</f>
        <v>90000</v>
      </c>
      <c r="E462" s="176" t="str">
        <f aca="false">IFERROR(VLOOKUP($B462,'Unit Cost Database'!$A:$H,3,FALSE()),"LS")</f>
        <v>kW</v>
      </c>
      <c r="F462" s="184" t="n">
        <f aca="false">IFERROR(VLOOKUP($B462,'Unit Cost Database'!$A:$H,8,FALSE()),0)</f>
        <v>150</v>
      </c>
      <c r="G462" s="179" t="n">
        <f aca="false">$F$7</f>
        <v>0.1</v>
      </c>
      <c r="H462" s="180" t="n">
        <f aca="false">IF(OR(D462="",F462="",D462=0,F462=0),0,D462*F462*$H$8*(1+G462)*(1+$H$7))</f>
        <v>15369750</v>
      </c>
      <c r="I462" s="177" t="s">
        <v>361</v>
      </c>
      <c r="J462" s="185" t="s">
        <v>77</v>
      </c>
    </row>
    <row r="463" customFormat="false" ht="15" hidden="false" customHeight="true" outlineLevel="1" collapsed="false">
      <c r="A463" s="176" t="n">
        <v>29</v>
      </c>
      <c r="B463" s="195" t="s">
        <v>1105</v>
      </c>
      <c r="C463" s="195" t="s">
        <v>1106</v>
      </c>
      <c r="D463" s="183" t="n">
        <f aca="false">$C$9/2*'Scenario &amp; Presets'!$D$45</f>
        <v>45</v>
      </c>
      <c r="E463" s="176" t="str">
        <f aca="false">IFERROR(VLOOKUP($B463,'Unit Cost Database'!$A:$H,3,FALSE()),"LS")</f>
        <v>EA</v>
      </c>
      <c r="F463" s="184" t="n">
        <f aca="false">IFERROR(VLOOKUP($B463,'Unit Cost Database'!$A:$H,8,FALSE()),0)</f>
        <v>175000</v>
      </c>
      <c r="G463" s="179" t="n">
        <f aca="false">$F$7</f>
        <v>0.1</v>
      </c>
      <c r="H463" s="180" t="n">
        <f aca="false">IF(OR(D463="",F463="",D463=0,F463=0),0,D463*F463*$H$8*(1+G463)*(1+$H$7))</f>
        <v>8965687.5</v>
      </c>
      <c r="I463" s="177" t="s">
        <v>361</v>
      </c>
      <c r="J463" s="185" t="s">
        <v>77</v>
      </c>
    </row>
    <row r="464" customFormat="false" ht="15" hidden="false" customHeight="true" outlineLevel="1" collapsed="false">
      <c r="A464" s="176" t="n">
        <v>30</v>
      </c>
      <c r="B464" s="195" t="s">
        <v>1107</v>
      </c>
      <c r="C464" s="195" t="s">
        <v>1108</v>
      </c>
      <c r="D464" s="183" t="n">
        <v>45000</v>
      </c>
      <c r="E464" s="176" t="str">
        <f aca="false">IFERROR(VLOOKUP($B464,'Unit Cost Database'!$A:$H,3,FALSE()),"LS")</f>
        <v>kWh</v>
      </c>
      <c r="F464" s="184" t="n">
        <f aca="false">IFERROR(VLOOKUP($B464,'Unit Cost Database'!$A:$H,8,FALSE()),0)</f>
        <v>560</v>
      </c>
      <c r="G464" s="179" t="n">
        <f aca="false">$F$7</f>
        <v>0.1</v>
      </c>
      <c r="H464" s="180" t="n">
        <f aca="false">IF(OR(D464="",F464="",D464=0,F464=0),0,D464*F464*$H$8*(1+G464)*(1+$H$7))</f>
        <v>28690200</v>
      </c>
      <c r="I464" s="177" t="s">
        <v>361</v>
      </c>
      <c r="J464" s="185" t="s">
        <v>77</v>
      </c>
    </row>
    <row r="465" customFormat="false" ht="15" hidden="false" customHeight="true" outlineLevel="1" collapsed="false">
      <c r="A465" s="176"/>
      <c r="B465" s="195" t="s">
        <v>1109</v>
      </c>
      <c r="C465" s="195" t="s">
        <v>1110</v>
      </c>
      <c r="D465" s="183" t="n">
        <v>0</v>
      </c>
      <c r="E465" s="176" t="str">
        <f aca="false">IFERROR(VLOOKUP($B465,'Unit Cost Database'!$A:$H,3,FALSE()),"LS")</f>
        <v>LS</v>
      </c>
      <c r="F465" s="194" t="n">
        <f aca="false">IFERROR(VLOOKUP($B465,'Unit Cost Database'!$A:$H,8,FALSE()),0)</f>
        <v>12600000</v>
      </c>
      <c r="G465" s="179" t="n">
        <f aca="false">$F$7</f>
        <v>0.1</v>
      </c>
      <c r="H465" s="180" t="n">
        <f aca="false">IF(OR(D465="",F465="",D465=0,F465=0),0,D465*F465*$H$8*(1+G465)*(1+$H$7))</f>
        <v>0</v>
      </c>
      <c r="I465" s="177" t="s">
        <v>361</v>
      </c>
      <c r="J465" s="185" t="s">
        <v>77</v>
      </c>
    </row>
    <row r="466" customFormat="false" ht="15" hidden="false" customHeight="true" outlineLevel="1" collapsed="false">
      <c r="A466" s="176"/>
      <c r="B466" s="195" t="s">
        <v>1111</v>
      </c>
      <c r="C466" s="195" t="s">
        <v>1112</v>
      </c>
      <c r="D466" s="183" t="n">
        <v>0</v>
      </c>
      <c r="E466" s="176" t="str">
        <f aca="false">IFERROR(VLOOKUP($B466,'Unit Cost Database'!$A:$H,3,FALSE()),"LS")</f>
        <v>LS</v>
      </c>
      <c r="F466" s="194" t="n">
        <f aca="false">IFERROR(VLOOKUP($B466,'Unit Cost Database'!$A:$H,8,FALSE()),0)</f>
        <v>3780000</v>
      </c>
      <c r="G466" s="179" t="n">
        <f aca="false">$F$7</f>
        <v>0.1</v>
      </c>
      <c r="H466" s="180" t="n">
        <f aca="false">IF(OR(D466="",F466="",D466=0,F466=0),0,D466*F466*$H$8*(1+G466)*(1+$H$7))</f>
        <v>0</v>
      </c>
      <c r="I466" s="177" t="s">
        <v>361</v>
      </c>
      <c r="J466" s="185" t="s">
        <v>77</v>
      </c>
    </row>
    <row r="467" customFormat="false" ht="15" hidden="false" customHeight="true" outlineLevel="1" collapsed="false">
      <c r="A467" s="176"/>
      <c r="B467" s="195" t="s">
        <v>1113</v>
      </c>
      <c r="C467" s="195" t="s">
        <v>1114</v>
      </c>
      <c r="D467" s="183" t="n">
        <v>0</v>
      </c>
      <c r="E467" s="176" t="str">
        <f aca="false">IFERROR(VLOOKUP($B467,'Unit Cost Database'!$A:$H,3,FALSE()),"LS")</f>
        <v>LS</v>
      </c>
      <c r="F467" s="194" t="n">
        <f aca="false">IFERROR(VLOOKUP($B467,'Unit Cost Database'!$A:$H,8,FALSE()),0)</f>
        <v>5040000</v>
      </c>
      <c r="G467" s="179" t="n">
        <f aca="false">$F$7</f>
        <v>0.1</v>
      </c>
      <c r="H467" s="180" t="n">
        <f aca="false">IF(OR(D467="",F467="",D467=0,F467=0),0,D467*F467*$H$8*(1+G467)*(1+$H$7))</f>
        <v>0</v>
      </c>
      <c r="I467" s="177" t="s">
        <v>361</v>
      </c>
      <c r="J467" s="185" t="s">
        <v>77</v>
      </c>
    </row>
    <row r="468" customFormat="false" ht="15" hidden="false" customHeight="true" outlineLevel="1" collapsed="false">
      <c r="A468" s="176"/>
      <c r="B468" s="195" t="s">
        <v>1115</v>
      </c>
      <c r="C468" s="195" t="s">
        <v>1116</v>
      </c>
      <c r="D468" s="183" t="n">
        <v>0</v>
      </c>
      <c r="E468" s="176" t="str">
        <f aca="false">IFERROR(VLOOKUP($B468,'Unit Cost Database'!$A:$H,3,FALSE()),"LS")</f>
        <v>LS</v>
      </c>
      <c r="F468" s="194" t="n">
        <f aca="false">IFERROR(VLOOKUP($B468,'Unit Cost Database'!$A:$H,8,FALSE()),0)</f>
        <v>2520000</v>
      </c>
      <c r="G468" s="179" t="n">
        <f aca="false">$F$7</f>
        <v>0.1</v>
      </c>
      <c r="H468" s="180" t="n">
        <f aca="false">IF(OR(D468="",F468="",D468=0,F468=0),0,D468*F468*$H$8*(1+G468)*(1+$H$7))</f>
        <v>0</v>
      </c>
      <c r="I468" s="177" t="s">
        <v>361</v>
      </c>
      <c r="J468" s="185" t="s">
        <v>77</v>
      </c>
    </row>
    <row r="469" customFormat="false" ht="15" hidden="false" customHeight="true" outlineLevel="1" collapsed="false">
      <c r="A469" s="176"/>
      <c r="B469" s="195" t="s">
        <v>1117</v>
      </c>
      <c r="C469" s="195" t="s">
        <v>1118</v>
      </c>
      <c r="D469" s="183" t="n">
        <v>0</v>
      </c>
      <c r="E469" s="176" t="str">
        <f aca="false">IFERROR(VLOOKUP($B469,'Unit Cost Database'!$A:$H,3,FALSE()),"LS")</f>
        <v>LS</v>
      </c>
      <c r="F469" s="194" t="n">
        <f aca="false">IFERROR(VLOOKUP($B469,'Unit Cost Database'!$A:$H,8,FALSE()),0)</f>
        <v>1260000</v>
      </c>
      <c r="G469" s="179" t="n">
        <f aca="false">$F$7</f>
        <v>0.1</v>
      </c>
      <c r="H469" s="180" t="n">
        <f aca="false">IF(OR(D469="",F469="",D469=0,F469=0),0,D469*F469*$H$8*(1+G469)*(1+$H$7))</f>
        <v>0</v>
      </c>
      <c r="I469" s="177" t="s">
        <v>361</v>
      </c>
      <c r="J469" s="185" t="s">
        <v>77</v>
      </c>
    </row>
    <row r="470" customFormat="false" ht="15" hidden="false" customHeight="true" outlineLevel="1" collapsed="false">
      <c r="A470" s="176" t="n">
        <v>31</v>
      </c>
      <c r="B470" s="195" t="s">
        <v>1119</v>
      </c>
      <c r="C470" s="195" t="s">
        <v>1120</v>
      </c>
      <c r="D470" s="183" t="n">
        <v>181.664485394032</v>
      </c>
      <c r="E470" s="176" t="str">
        <f aca="false">IFERROR(VLOOKUP($B470,'Unit Cost Database'!$A:$H,3,FALSE()),"LS")</f>
        <v>EA</v>
      </c>
      <c r="F470" s="184" t="n">
        <f aca="false">IFERROR(VLOOKUP($B470,'Unit Cost Database'!$A:$H,8,FALSE()),0)</f>
        <v>18000</v>
      </c>
      <c r="G470" s="179" t="n">
        <f aca="false">$F$7</f>
        <v>0.1</v>
      </c>
      <c r="H470" s="180" t="n">
        <f aca="false">IF(OR(D470="",F470="",D470=0,F470=0),0,D470*F470*$H$8*(1+G470)*(1+$H$7))</f>
        <v>3722850.2991799</v>
      </c>
      <c r="I470" s="177" t="s">
        <v>361</v>
      </c>
      <c r="J470" s="185" t="s">
        <v>77</v>
      </c>
    </row>
    <row r="471" customFormat="false" ht="15" hidden="false" customHeight="true" outlineLevel="1" collapsed="false">
      <c r="A471" s="176"/>
      <c r="B471" s="195" t="s">
        <v>1121</v>
      </c>
      <c r="C471" s="195" t="s">
        <v>1122</v>
      </c>
      <c r="D471" s="183" t="n">
        <v>0</v>
      </c>
      <c r="E471" s="176" t="str">
        <f aca="false">IFERROR(VLOOKUP($B471,'Unit Cost Database'!$A:$H,3,FALSE()),"LS")</f>
        <v>LS</v>
      </c>
      <c r="F471" s="184" t="n">
        <f aca="false">IFERROR(VLOOKUP($B471,'Unit Cost Database'!$A:$H,8,FALSE()),0)</f>
        <v>2288972.51602477</v>
      </c>
      <c r="G471" s="179" t="n">
        <f aca="false">$F$7</f>
        <v>0.1</v>
      </c>
      <c r="H471" s="180" t="n">
        <f aca="false">IF(OR(D471="",F471="",D471=0,F471=0),0,D471*F471*$H$8*(1+G471)*(1+$H$7))</f>
        <v>0</v>
      </c>
      <c r="I471" s="177" t="s">
        <v>361</v>
      </c>
      <c r="J471" s="185" t="s">
        <v>77</v>
      </c>
    </row>
    <row r="472" customFormat="false" ht="15" hidden="false" customHeight="true" outlineLevel="1" collapsed="false">
      <c r="A472" s="176"/>
      <c r="B472" s="195" t="s">
        <v>1123</v>
      </c>
      <c r="C472" s="195" t="s">
        <v>1124</v>
      </c>
      <c r="D472" s="183" t="n">
        <v>0</v>
      </c>
      <c r="E472" s="176" t="str">
        <f aca="false">IFERROR(VLOOKUP($B472,'Unit Cost Database'!$A:$H,3,FALSE()),"LS")</f>
        <v>LS</v>
      </c>
      <c r="F472" s="184" t="n">
        <f aca="false">IFERROR(VLOOKUP($B472,'Unit Cost Database'!$A:$H,8,FALSE()),0)</f>
        <v>490494.110533903</v>
      </c>
      <c r="G472" s="179" t="n">
        <f aca="false">$F$7</f>
        <v>0.1</v>
      </c>
      <c r="H472" s="180" t="n">
        <f aca="false">IF(OR(D472="",F472="",D472=0,F472=0),0,D472*F472*$H$8*(1+G472)*(1+$H$7))</f>
        <v>0</v>
      </c>
      <c r="I472" s="177" t="s">
        <v>361</v>
      </c>
      <c r="J472" s="185" t="s">
        <v>77</v>
      </c>
    </row>
    <row r="473" customFormat="false" ht="15" hidden="false" customHeight="true" outlineLevel="1" collapsed="false">
      <c r="A473" s="176"/>
      <c r="B473" s="195" t="s">
        <v>1125</v>
      </c>
      <c r="C473" s="195" t="s">
        <v>1126</v>
      </c>
      <c r="D473" s="183" t="n">
        <v>0</v>
      </c>
      <c r="E473" s="176" t="str">
        <f aca="false">IFERROR(VLOOKUP($B473,'Unit Cost Database'!$A:$H,3,FALSE()),"LS")</f>
        <v>LS</v>
      </c>
      <c r="F473" s="184" t="n">
        <f aca="false">IFERROR(VLOOKUP($B473,'Unit Cost Database'!$A:$H,8,FALSE()),0)</f>
        <v>490494.110533903</v>
      </c>
      <c r="G473" s="179" t="n">
        <f aca="false">$F$7</f>
        <v>0.1</v>
      </c>
      <c r="H473" s="180" t="n">
        <f aca="false">IF(OR(D473="",F473="",D473=0,F473=0),0,D473*F473*$H$8*(1+G473)*(1+$H$7))</f>
        <v>0</v>
      </c>
      <c r="I473" s="177" t="s">
        <v>361</v>
      </c>
      <c r="J473" s="185" t="s">
        <v>77</v>
      </c>
    </row>
    <row r="474" customFormat="false" ht="15" hidden="false" customHeight="true" outlineLevel="1" collapsed="false">
      <c r="A474" s="176" t="n">
        <v>32</v>
      </c>
      <c r="B474" s="195" t="s">
        <v>1127</v>
      </c>
      <c r="C474" s="195" t="s">
        <v>1128</v>
      </c>
      <c r="D474" s="183" t="n">
        <v>90</v>
      </c>
      <c r="E474" s="176" t="str">
        <f aca="false">IFERROR(VLOOKUP($B474,'Unit Cost Database'!$A:$H,3,FALSE()),"LS")</f>
        <v>EA</v>
      </c>
      <c r="F474" s="184" t="n">
        <f aca="false">IFERROR(VLOOKUP($B474,'Unit Cost Database'!$A:$H,8,FALSE()),0)</f>
        <v>22000</v>
      </c>
      <c r="G474" s="179" t="n">
        <f aca="false">$F$7</f>
        <v>0.1</v>
      </c>
      <c r="H474" s="180" t="n">
        <f aca="false">IF(OR(D474="",F474="",D474=0,F474=0),0,D474*F474*$H$8*(1+G474)*(1+$H$7))</f>
        <v>2254230</v>
      </c>
      <c r="I474" s="177" t="s">
        <v>361</v>
      </c>
      <c r="J474" s="185" t="s">
        <v>77</v>
      </c>
    </row>
    <row r="475" customFormat="false" ht="15" hidden="false" customHeight="true" outlineLevel="1" collapsed="false">
      <c r="A475" s="176"/>
      <c r="B475" s="195" t="s">
        <v>1129</v>
      </c>
      <c r="C475" s="195" t="s">
        <v>1130</v>
      </c>
      <c r="D475" s="183" t="n">
        <v>0</v>
      </c>
      <c r="E475" s="176" t="str">
        <f aca="false">IFERROR(VLOOKUP($B475,'Unit Cost Database'!$A:$H,3,FALSE()),"LS")</f>
        <v>LS</v>
      </c>
      <c r="F475" s="184" t="n">
        <f aca="false">IFERROR(VLOOKUP($B475,'Unit Cost Database'!$A:$H,8,FALSE()),0)</f>
        <v>1089000</v>
      </c>
      <c r="G475" s="179" t="n">
        <f aca="false">$F$7</f>
        <v>0.1</v>
      </c>
      <c r="H475" s="180" t="n">
        <f aca="false">IF(OR(D475="",F475="",D475=0,F475=0),0,D475*F475*$H$8*(1+G475)*(1+$H$7))</f>
        <v>0</v>
      </c>
      <c r="I475" s="177" t="s">
        <v>361</v>
      </c>
      <c r="J475" s="185" t="s">
        <v>77</v>
      </c>
    </row>
    <row r="476" customFormat="false" ht="15" hidden="false" customHeight="true" outlineLevel="1" collapsed="false">
      <c r="A476" s="176"/>
      <c r="B476" s="195" t="s">
        <v>1131</v>
      </c>
      <c r="C476" s="195" t="s">
        <v>1132</v>
      </c>
      <c r="D476" s="183" t="n">
        <v>0</v>
      </c>
      <c r="E476" s="176" t="str">
        <f aca="false">IFERROR(VLOOKUP($B476,'Unit Cost Database'!$A:$H,3,FALSE()),"LS")</f>
        <v>LS</v>
      </c>
      <c r="F476" s="184" t="n">
        <f aca="false">IFERROR(VLOOKUP($B476,'Unit Cost Database'!$A:$H,8,FALSE()),0)</f>
        <v>594000</v>
      </c>
      <c r="G476" s="179" t="n">
        <f aca="false">$F$7</f>
        <v>0.1</v>
      </c>
      <c r="H476" s="180" t="n">
        <f aca="false">IF(OR(D476="",F476="",D476=0,F476=0),0,D476*F476*$H$8*(1+G476)*(1+$H$7))</f>
        <v>0</v>
      </c>
      <c r="I476" s="177" t="s">
        <v>361</v>
      </c>
      <c r="J476" s="185" t="s">
        <v>77</v>
      </c>
    </row>
    <row r="477" customFormat="false" ht="15" hidden="false" customHeight="true" outlineLevel="1" collapsed="false">
      <c r="A477" s="176"/>
      <c r="B477" s="195" t="s">
        <v>1133</v>
      </c>
      <c r="C477" s="195" t="s">
        <v>1134</v>
      </c>
      <c r="D477" s="183" t="n">
        <v>0</v>
      </c>
      <c r="E477" s="176" t="str">
        <f aca="false">IFERROR(VLOOKUP($B477,'Unit Cost Database'!$A:$H,3,FALSE()),"LS")</f>
        <v>LS</v>
      </c>
      <c r="F477" s="184" t="n">
        <f aca="false">IFERROR(VLOOKUP($B477,'Unit Cost Database'!$A:$H,8,FALSE()),0)</f>
        <v>297000</v>
      </c>
      <c r="G477" s="179" t="n">
        <f aca="false">$F$7</f>
        <v>0.1</v>
      </c>
      <c r="H477" s="180" t="n">
        <f aca="false">IF(OR(D477="",F477="",D477=0,F477=0),0,D477*F477*$H$8*(1+G477)*(1+$H$7))</f>
        <v>0</v>
      </c>
      <c r="I477" s="177" t="s">
        <v>361</v>
      </c>
      <c r="J477" s="185" t="s">
        <v>77</v>
      </c>
    </row>
    <row r="478" customFormat="false" ht="15" hidden="false" customHeight="true" outlineLevel="1" collapsed="false">
      <c r="A478" s="176" t="n">
        <v>33</v>
      </c>
      <c r="B478" s="195" t="s">
        <v>1135</v>
      </c>
      <c r="C478" s="195" t="s">
        <v>1136</v>
      </c>
      <c r="D478" s="183" t="n">
        <v>1</v>
      </c>
      <c r="E478" s="176" t="str">
        <f aca="false">IFERROR(VLOOKUP($B478,'Unit Cost Database'!$A:$H,3,FALSE()),"LS")</f>
        <v>LS</v>
      </c>
      <c r="F478" s="184" t="n">
        <f aca="false">IFERROR(VLOOKUP($B478,'Unit Cost Database'!$A:$H,8,FALSE()),0)</f>
        <v>480000</v>
      </c>
      <c r="G478" s="179" t="n">
        <f aca="false">$F$7</f>
        <v>0.1</v>
      </c>
      <c r="H478" s="180" t="n">
        <f aca="false">IF(OR(D478="",F478="",D478=0,F478=0),0,D478*F478*$H$8*(1+G478)*(1+$H$7))</f>
        <v>546480</v>
      </c>
      <c r="I478" s="177" t="s">
        <v>361</v>
      </c>
      <c r="J478" s="185" t="s">
        <v>77</v>
      </c>
    </row>
    <row r="479" customFormat="false" ht="15" hidden="false" customHeight="true" outlineLevel="1" collapsed="false">
      <c r="A479" s="176" t="n">
        <v>34</v>
      </c>
      <c r="B479" s="195" t="s">
        <v>1137</v>
      </c>
      <c r="C479" s="195" t="s">
        <v>1138</v>
      </c>
      <c r="D479" s="183" t="n">
        <v>240</v>
      </c>
      <c r="E479" s="176" t="str">
        <f aca="false">IFERROR(VLOOKUP($B479,'Unit Cost Database'!$A:$H,3,FALSE()),"LS")</f>
        <v>EA</v>
      </c>
      <c r="F479" s="184" t="n">
        <f aca="false">IFERROR(VLOOKUP($B479,'Unit Cost Database'!$A:$H,8,FALSE()),0)</f>
        <v>1800</v>
      </c>
      <c r="G479" s="179" t="n">
        <f aca="false">$F$7</f>
        <v>0.1</v>
      </c>
      <c r="H479" s="180" t="n">
        <f aca="false">IF(OR(D479="",F479="",D479=0,F479=0),0,D479*F479*$H$8*(1+G479)*(1+$H$7))</f>
        <v>491832</v>
      </c>
      <c r="I479" s="177" t="s">
        <v>361</v>
      </c>
      <c r="J479" s="185" t="s">
        <v>77</v>
      </c>
    </row>
    <row r="480" customFormat="false" ht="15" hidden="false" customHeight="true" outlineLevel="1" collapsed="false">
      <c r="A480" s="176" t="n">
        <v>35</v>
      </c>
      <c r="B480" s="195" t="s">
        <v>1139</v>
      </c>
      <c r="C480" s="195" t="s">
        <v>1140</v>
      </c>
      <c r="D480" s="183" t="n">
        <v>2400</v>
      </c>
      <c r="E480" s="176" t="str">
        <f aca="false">IFERROR(VLOOKUP($B480,'Unit Cost Database'!$A:$H,3,FALSE()),"LS")</f>
        <v>EA</v>
      </c>
      <c r="F480" s="184" t="n">
        <f aca="false">IFERROR(VLOOKUP($B480,'Unit Cost Database'!$A:$H,8,FALSE()),0)</f>
        <v>220</v>
      </c>
      <c r="G480" s="179" t="n">
        <f aca="false">$F$7</f>
        <v>0.1</v>
      </c>
      <c r="H480" s="180" t="n">
        <f aca="false">IF(OR(D480="",F480="",D480=0,F480=0),0,D480*F480*$H$8*(1+G480)*(1+$H$7))</f>
        <v>601128</v>
      </c>
      <c r="I480" s="177" t="s">
        <v>361</v>
      </c>
      <c r="J480" s="185" t="s">
        <v>77</v>
      </c>
    </row>
    <row r="481" customFormat="false" ht="15" hidden="false" customHeight="true" outlineLevel="1" collapsed="false">
      <c r="A481" s="176" t="n">
        <v>36</v>
      </c>
      <c r="B481" s="195" t="s">
        <v>1141</v>
      </c>
      <c r="C481" s="195" t="s">
        <v>1142</v>
      </c>
      <c r="D481" s="183" t="n">
        <v>600</v>
      </c>
      <c r="E481" s="176" t="str">
        <f aca="false">IFERROR(VLOOKUP($B481,'Unit Cost Database'!$A:$H,3,FALSE()),"LS")</f>
        <v>EA</v>
      </c>
      <c r="F481" s="184" t="n">
        <f aca="false">IFERROR(VLOOKUP($B481,'Unit Cost Database'!$A:$H,8,FALSE()),0)</f>
        <v>850</v>
      </c>
      <c r="G481" s="179" t="n">
        <f aca="false">$F$7</f>
        <v>0.1</v>
      </c>
      <c r="H481" s="180" t="n">
        <f aca="false">IF(OR(D481="",F481="",D481=0,F481=0),0,D481*F481*$H$8*(1+G481)*(1+$H$7))</f>
        <v>580635</v>
      </c>
      <c r="I481" s="177" t="s">
        <v>361</v>
      </c>
      <c r="J481" s="185" t="s">
        <v>77</v>
      </c>
    </row>
    <row r="482" customFormat="false" ht="15" hidden="false" customHeight="true" outlineLevel="1" collapsed="false">
      <c r="A482" s="176" t="n">
        <v>37</v>
      </c>
      <c r="B482" s="195" t="s">
        <v>1143</v>
      </c>
      <c r="C482" s="195" t="s">
        <v>1144</v>
      </c>
      <c r="D482" s="183" t="n">
        <v>1</v>
      </c>
      <c r="E482" s="176" t="str">
        <f aca="false">IFERROR(VLOOKUP($B482,'Unit Cost Database'!$A:$H,3,FALSE()),"LS")</f>
        <v>LS</v>
      </c>
      <c r="F482" s="184" t="n">
        <f aca="false">IFERROR(VLOOKUP($B482,'Unit Cost Database'!$A:$H,8,FALSE()),0)</f>
        <v>850000</v>
      </c>
      <c r="G482" s="179" t="n">
        <f aca="false">$F$7</f>
        <v>0.1</v>
      </c>
      <c r="H482" s="180" t="n">
        <f aca="false">IF(OR(D482="",F482="",D482=0,F482=0),0,D482*F482*$H$8*(1+G482)*(1+$H$7))</f>
        <v>967725</v>
      </c>
      <c r="I482" s="177" t="s">
        <v>361</v>
      </c>
      <c r="J482" s="185" t="s">
        <v>77</v>
      </c>
    </row>
    <row r="483" customFormat="false" ht="15" hidden="false" customHeight="true" outlineLevel="1" collapsed="false">
      <c r="A483" s="176" t="n">
        <v>38</v>
      </c>
      <c r="B483" s="195" t="s">
        <v>1145</v>
      </c>
      <c r="C483" s="195" t="s">
        <v>1146</v>
      </c>
      <c r="D483" s="183" t="n">
        <v>484438.627739628</v>
      </c>
      <c r="E483" s="176" t="str">
        <f aca="false">IFERROR(VLOOKUP($B483,'Unit Cost Database'!$A:$H,3,FALSE()),"LS")</f>
        <v>LB</v>
      </c>
      <c r="F483" s="184" t="n">
        <f aca="false">IFERROR(VLOOKUP($B483,'Unit Cost Database'!$A:$H,8,FALSE()),0)</f>
        <v>9</v>
      </c>
      <c r="G483" s="179" t="n">
        <f aca="false">$F$7</f>
        <v>0.1</v>
      </c>
      <c r="H483" s="180" t="n">
        <f aca="false">IF(OR(D483="",F483="",D483=0,F483=0),0,D483*F483*$H$8*(1+G483)*(1+$H$7))</f>
        <v>4963800.3991341</v>
      </c>
      <c r="I483" s="177" t="s">
        <v>361</v>
      </c>
      <c r="J483" s="185" t="s">
        <v>77</v>
      </c>
    </row>
    <row r="484" customFormat="false" ht="15" hidden="false" customHeight="true" outlineLevel="1" collapsed="false">
      <c r="A484" s="176"/>
      <c r="B484" s="195" t="s">
        <v>1147</v>
      </c>
      <c r="C484" s="195" t="s">
        <v>1148</v>
      </c>
      <c r="D484" s="183" t="n">
        <v>0</v>
      </c>
      <c r="E484" s="176" t="str">
        <f aca="false">IFERROR(VLOOKUP($B484,'Unit Cost Database'!$A:$H,3,FALSE()),"LS")</f>
        <v>LS</v>
      </c>
      <c r="F484" s="184" t="n">
        <f aca="false">IFERROR(VLOOKUP($B484,'Unit Cost Database'!$A:$H,8,FALSE()),0)</f>
        <v>2615968.58981398</v>
      </c>
      <c r="G484" s="179" t="n">
        <f aca="false">$F$7</f>
        <v>0.1</v>
      </c>
      <c r="H484" s="180" t="n">
        <f aca="false">IF(OR(D484="",F484="",D484=0,F484=0),0,D484*F484*$H$8*(1+G484)*(1+$H$7))</f>
        <v>0</v>
      </c>
      <c r="I484" s="177" t="s">
        <v>361</v>
      </c>
      <c r="J484" s="185" t="s">
        <v>77</v>
      </c>
    </row>
    <row r="485" customFormat="false" ht="15" hidden="false" customHeight="true" outlineLevel="1" collapsed="false">
      <c r="A485" s="176"/>
      <c r="B485" s="195" t="s">
        <v>1149</v>
      </c>
      <c r="C485" s="195" t="s">
        <v>1150</v>
      </c>
      <c r="D485" s="183" t="n">
        <v>0</v>
      </c>
      <c r="E485" s="176" t="str">
        <f aca="false">IFERROR(VLOOKUP($B485,'Unit Cost Database'!$A:$H,3,FALSE()),"LS")</f>
        <v>LS</v>
      </c>
      <c r="F485" s="184" t="n">
        <f aca="false">IFERROR(VLOOKUP($B485,'Unit Cost Database'!$A:$H,8,FALSE()),0)</f>
        <v>1089986.91236419</v>
      </c>
      <c r="G485" s="179" t="n">
        <f aca="false">$F$7</f>
        <v>0.1</v>
      </c>
      <c r="H485" s="180" t="n">
        <f aca="false">IF(OR(D485="",F485="",D485=0,F485=0),0,D485*F485*$H$8*(1+G485)*(1+$H$7))</f>
        <v>0</v>
      </c>
      <c r="I485" s="177" t="s">
        <v>361</v>
      </c>
      <c r="J485" s="185" t="s">
        <v>77</v>
      </c>
    </row>
    <row r="486" customFormat="false" ht="15" hidden="false" customHeight="true" outlineLevel="1" collapsed="false">
      <c r="A486" s="176"/>
      <c r="B486" s="195" t="s">
        <v>1151</v>
      </c>
      <c r="C486" s="195" t="s">
        <v>1152</v>
      </c>
      <c r="D486" s="183" t="n">
        <v>0</v>
      </c>
      <c r="E486" s="176" t="str">
        <f aca="false">IFERROR(VLOOKUP($B486,'Unit Cost Database'!$A:$H,3,FALSE()),"LS")</f>
        <v>LS</v>
      </c>
      <c r="F486" s="184" t="n">
        <f aca="false">IFERROR(VLOOKUP($B486,'Unit Cost Database'!$A:$H,8,FALSE()),0)</f>
        <v>653992.14747848</v>
      </c>
      <c r="G486" s="179" t="n">
        <f aca="false">$F$7</f>
        <v>0.1</v>
      </c>
      <c r="H486" s="180" t="n">
        <f aca="false">IF(OR(D486="",F486="",D486=0,F486=0),0,D486*F486*$H$8*(1+G486)*(1+$H$7))</f>
        <v>0</v>
      </c>
      <c r="I486" s="177" t="s">
        <v>361</v>
      </c>
      <c r="J486" s="185" t="s">
        <v>77</v>
      </c>
    </row>
    <row r="487" customFormat="false" ht="15" hidden="false" customHeight="true" outlineLevel="1" collapsed="false">
      <c r="A487" s="176" t="n">
        <v>39</v>
      </c>
      <c r="B487" s="195" t="s">
        <v>1153</v>
      </c>
      <c r="C487" s="195" t="s">
        <v>1154</v>
      </c>
      <c r="D487" s="183" t="n">
        <v>180000</v>
      </c>
      <c r="E487" s="176" t="str">
        <f aca="false">IFERROR(VLOOKUP($B487,'Unit Cost Database'!$A:$H,3,FALSE()),"LS")</f>
        <v>SF</v>
      </c>
      <c r="F487" s="184" t="n">
        <f aca="false">IFERROR(VLOOKUP($B487,'Unit Cost Database'!$A:$H,8,FALSE()),0)</f>
        <v>4</v>
      </c>
      <c r="G487" s="179" t="n">
        <f aca="false">$F$7</f>
        <v>0.1</v>
      </c>
      <c r="H487" s="180" t="n">
        <f aca="false">IF(OR(D487="",F487="",D487=0,F487=0),0,D487*F487*$H$8*(1+G487)*(1+$H$7))</f>
        <v>819720</v>
      </c>
      <c r="I487" s="177" t="s">
        <v>361</v>
      </c>
      <c r="J487" s="185" t="s">
        <v>77</v>
      </c>
    </row>
    <row r="488" customFormat="false" ht="15" hidden="false" customHeight="true" outlineLevel="1" collapsed="false">
      <c r="A488" s="176" t="n">
        <v>40</v>
      </c>
      <c r="B488" s="195" t="s">
        <v>1155</v>
      </c>
      <c r="C488" s="195" t="s">
        <v>1156</v>
      </c>
      <c r="D488" s="183" t="n">
        <v>1</v>
      </c>
      <c r="E488" s="176" t="str">
        <f aca="false">IFERROR(VLOOKUP($B488,'Unit Cost Database'!$A:$H,3,FALSE()),"LS")</f>
        <v>LS</v>
      </c>
      <c r="F488" s="184" t="n">
        <f aca="false">IFERROR(VLOOKUP($B488,'Unit Cost Database'!$A:$H,8,FALSE()),0)</f>
        <v>650000</v>
      </c>
      <c r="G488" s="179" t="n">
        <f aca="false">$F$7</f>
        <v>0.1</v>
      </c>
      <c r="H488" s="180" t="n">
        <f aca="false">IF(OR(D488="",F488="",D488=0,F488=0),0,D488*F488*$H$8*(1+G488)*(1+$H$7))</f>
        <v>740025</v>
      </c>
      <c r="I488" s="177" t="s">
        <v>361</v>
      </c>
      <c r="J488" s="185" t="s">
        <v>77</v>
      </c>
    </row>
    <row r="489" customFormat="false" ht="15" hidden="false" customHeight="true" outlineLevel="1" collapsed="false">
      <c r="A489" s="176" t="n">
        <v>41</v>
      </c>
      <c r="B489" s="195" t="s">
        <v>1157</v>
      </c>
      <c r="C489" s="195" t="s">
        <v>1158</v>
      </c>
      <c r="D489" s="183" t="n">
        <v>1</v>
      </c>
      <c r="E489" s="176" t="str">
        <f aca="false">IFERROR(VLOOKUP($B489,'Unit Cost Database'!$A:$H,3,FALSE()),"LS")</f>
        <v>LS</v>
      </c>
      <c r="F489" s="184" t="n">
        <f aca="false">IFERROR(VLOOKUP($B489,'Unit Cost Database'!$A:$H,8,FALSE()),0)</f>
        <v>480000</v>
      </c>
      <c r="G489" s="179" t="n">
        <f aca="false">$F$7</f>
        <v>0.1</v>
      </c>
      <c r="H489" s="180" t="n">
        <f aca="false">IF(OR(D489="",F489="",D489=0,F489=0),0,D489*F489*$H$8*(1+G489)*(1+$H$7))</f>
        <v>546480</v>
      </c>
      <c r="I489" s="177" t="s">
        <v>361</v>
      </c>
      <c r="J489" s="185" t="s">
        <v>77</v>
      </c>
    </row>
    <row r="490" customFormat="false" ht="15" hidden="false" customHeight="true" outlineLevel="1" collapsed="false">
      <c r="A490" s="176" t="n">
        <v>42</v>
      </c>
      <c r="B490" s="195" t="s">
        <v>1159</v>
      </c>
      <c r="C490" s="195" t="s">
        <v>1160</v>
      </c>
      <c r="D490" s="183" t="n">
        <v>8550</v>
      </c>
      <c r="E490" s="176" t="str">
        <f aca="false">IFERROR(VLOOKUP($B490,'Unit Cost Database'!$A:$H,3,FALSE()),"LS")</f>
        <v>TON</v>
      </c>
      <c r="F490" s="184" t="n">
        <f aca="false">IFERROR(VLOOKUP($B490,'Unit Cost Database'!$A:$H,8,FALSE()),0)</f>
        <v>185</v>
      </c>
      <c r="G490" s="179" t="n">
        <f aca="false">$F$7</f>
        <v>0.1</v>
      </c>
      <c r="H490" s="180" t="n">
        <f aca="false">IF(OR(D490="",F490="",D490=0,F490=0),0,D490*F490*$H$8*(1+G490)*(1+$H$7))</f>
        <v>1800822.375</v>
      </c>
      <c r="I490" s="177" t="s">
        <v>361</v>
      </c>
      <c r="J490" s="185" t="s">
        <v>77</v>
      </c>
    </row>
    <row r="491" customFormat="false" ht="15" hidden="false" customHeight="true" outlineLevel="1" collapsed="false">
      <c r="A491" s="176" t="n">
        <v>43</v>
      </c>
      <c r="B491" s="195" t="s">
        <v>1161</v>
      </c>
      <c r="C491" s="195" t="s">
        <v>1162</v>
      </c>
      <c r="D491" s="183" t="n">
        <v>440000</v>
      </c>
      <c r="E491" s="176" t="str">
        <f aca="false">IFERROR(VLOOKUP($B491,'Unit Cost Database'!$A:$H,3,FALSE()),"LS")</f>
        <v>SF</v>
      </c>
      <c r="F491" s="184" t="n">
        <f aca="false">IFERROR(VLOOKUP($B491,'Unit Cost Database'!$A:$H,8,FALSE()),0)</f>
        <v>0.45</v>
      </c>
      <c r="G491" s="179" t="n">
        <f aca="false">$F$7</f>
        <v>0.1</v>
      </c>
      <c r="H491" s="180" t="n">
        <f aca="false">IF(OR(D491="",F491="",D491=0,F491=0),0,D491*F491*$H$8*(1+G491)*(1+$H$7))</f>
        <v>225423</v>
      </c>
      <c r="I491" s="177" t="s">
        <v>361</v>
      </c>
      <c r="J491" s="185" t="s">
        <v>77</v>
      </c>
    </row>
    <row r="492" customFormat="false" ht="15" hidden="false" customHeight="true" outlineLevel="1" collapsed="false">
      <c r="A492" s="176" t="n">
        <v>44</v>
      </c>
      <c r="B492" s="195" t="s">
        <v>1163</v>
      </c>
      <c r="C492" s="195" t="s">
        <v>1164</v>
      </c>
      <c r="D492" s="183" t="n">
        <v>90</v>
      </c>
      <c r="E492" s="176" t="str">
        <f aca="false">IFERROR(VLOOKUP($B492,'Unit Cost Database'!$A:$H,3,FALSE()),"LS")</f>
        <v>MW</v>
      </c>
      <c r="F492" s="184" t="n">
        <f aca="false">IFERROR(VLOOKUP($B492,'Unit Cost Database'!$A:$H,8,FALSE()),0)</f>
        <v>4500</v>
      </c>
      <c r="G492" s="179" t="n">
        <f aca="false">$F$7</f>
        <v>0.1</v>
      </c>
      <c r="H492" s="180" t="n">
        <f aca="false">IF(OR(D492="",F492="",D492=0,F492=0),0,D492*F492*$H$8*(1+G492)*(1+$H$7))</f>
        <v>461092.5</v>
      </c>
      <c r="I492" s="177" t="s">
        <v>361</v>
      </c>
      <c r="J492" s="185" t="s">
        <v>77</v>
      </c>
    </row>
    <row r="493" customFormat="false" ht="15" hidden="false" customHeight="true" outlineLevel="1" collapsed="false">
      <c r="A493" s="176" t="n">
        <v>45</v>
      </c>
      <c r="B493" s="195" t="s">
        <v>1165</v>
      </c>
      <c r="C493" s="195" t="s">
        <v>1166</v>
      </c>
      <c r="D493" s="183" t="n">
        <v>12000</v>
      </c>
      <c r="E493" s="176" t="str">
        <f aca="false">IFERROR(VLOOKUP($B493,'Unit Cost Database'!$A:$H,3,FALSE()),"LS")</f>
        <v>LF</v>
      </c>
      <c r="F493" s="184" t="n">
        <f aca="false">IFERROR(VLOOKUP($B493,'Unit Cost Database'!$A:$H,8,FALSE()),0)</f>
        <v>22</v>
      </c>
      <c r="G493" s="179" t="n">
        <f aca="false">$F$7</f>
        <v>0.1</v>
      </c>
      <c r="H493" s="180" t="n">
        <f aca="false">IF(OR(D493="",F493="",D493=0,F493=0),0,D493*F493*$H$8*(1+G493)*(1+$H$7))</f>
        <v>300564</v>
      </c>
      <c r="I493" s="177" t="s">
        <v>361</v>
      </c>
      <c r="J493" s="185" t="s">
        <v>77</v>
      </c>
    </row>
    <row r="494" customFormat="false" ht="15" hidden="false" customHeight="true" outlineLevel="1" collapsed="false">
      <c r="A494" s="176" t="n">
        <v>46</v>
      </c>
      <c r="B494" s="195" t="s">
        <v>1167</v>
      </c>
      <c r="C494" s="195" t="s">
        <v>1168</v>
      </c>
      <c r="D494" s="183" t="n">
        <v>90</v>
      </c>
      <c r="E494" s="176" t="str">
        <f aca="false">IFERROR(VLOOKUP($B494,'Unit Cost Database'!$A:$H,3,FALSE()),"LS")</f>
        <v>MW</v>
      </c>
      <c r="F494" s="184" t="n">
        <f aca="false">IFERROR(VLOOKUP($B494,'Unit Cost Database'!$A:$H,8,FALSE()),0)</f>
        <v>3500</v>
      </c>
      <c r="G494" s="179" t="n">
        <f aca="false">$F$7</f>
        <v>0.1</v>
      </c>
      <c r="H494" s="180" t="n">
        <f aca="false">IF(OR(D494="",F494="",D494=0,F494=0),0,D494*F494*$H$8*(1+G494)*(1+$H$7))</f>
        <v>358627.5</v>
      </c>
      <c r="I494" s="177" t="s">
        <v>361</v>
      </c>
      <c r="J494" s="185" t="s">
        <v>77</v>
      </c>
    </row>
    <row r="495" customFormat="false" ht="15" hidden="false" customHeight="true" outlineLevel="1" collapsed="false">
      <c r="A495" s="186"/>
      <c r="B495" s="187"/>
      <c r="C495" s="188" t="s">
        <v>1169</v>
      </c>
      <c r="D495" s="189"/>
      <c r="E495" s="186"/>
      <c r="F495" s="190"/>
      <c r="G495" s="191"/>
      <c r="H495" s="192" t="n">
        <f aca="false">SUM(H390:H494)</f>
        <v>226484248.001927</v>
      </c>
      <c r="I495" s="187"/>
      <c r="J495" s="187"/>
    </row>
    <row r="496" customFormat="false" ht="15" hidden="false" customHeight="true" outlineLevel="1" collapsed="false">
      <c r="A496" s="176"/>
      <c r="B496" s="195"/>
      <c r="C496" s="195"/>
      <c r="D496" s="177"/>
      <c r="E496" s="176"/>
      <c r="F496" s="178"/>
      <c r="G496" s="179"/>
      <c r="H496" s="180"/>
    </row>
    <row r="497" customFormat="false" ht="15" hidden="false" customHeight="true" outlineLevel="1" collapsed="false">
      <c r="A497" s="193" t="s">
        <v>1170</v>
      </c>
      <c r="B497" s="193"/>
      <c r="C497" s="193"/>
      <c r="D497" s="193"/>
      <c r="E497" s="193"/>
      <c r="F497" s="193"/>
      <c r="G497" s="193"/>
      <c r="H497" s="193"/>
      <c r="I497" s="182"/>
      <c r="J497" s="182" t="s">
        <v>77</v>
      </c>
    </row>
    <row r="498" customFormat="false" ht="15" hidden="false" customHeight="true" outlineLevel="1" collapsed="false">
      <c r="A498" s="176" t="n">
        <v>1</v>
      </c>
      <c r="B498" s="195" t="s">
        <v>1171</v>
      </c>
      <c r="C498" s="195" t="s">
        <v>1172</v>
      </c>
      <c r="D498" s="183" t="n">
        <f aca="false">$C$6</f>
        <v>800000</v>
      </c>
      <c r="E498" s="176" t="str">
        <f aca="false">IFERROR(VLOOKUP($B498,'Unit Cost Database'!$A:$H,3,FALSE()),"LS")</f>
        <v>SF</v>
      </c>
      <c r="F498" s="184" t="n">
        <f aca="false">IFERROR(VLOOKUP($B498,'Unit Cost Database'!$A:$H,8,FALSE()),0)</f>
        <v>0.8</v>
      </c>
      <c r="G498" s="179" t="n">
        <f aca="false">$F$7</f>
        <v>0.1</v>
      </c>
      <c r="H498" s="180" t="n">
        <f aca="false">IF(OR(D498="",F498="",D498=0,F498=0),0,D498*F498*$H$8*(1+G498)*(1+$H$7))</f>
        <v>728640</v>
      </c>
      <c r="I498" s="177" t="s">
        <v>361</v>
      </c>
      <c r="J498" s="185" t="s">
        <v>77</v>
      </c>
    </row>
    <row r="499" customFormat="false" ht="15" hidden="false" customHeight="true" outlineLevel="1" collapsed="false">
      <c r="A499" s="176" t="n">
        <v>2</v>
      </c>
      <c r="B499" s="195" t="s">
        <v>1173</v>
      </c>
      <c r="C499" s="195" t="s">
        <v>1174</v>
      </c>
      <c r="D499" s="183" t="n">
        <v>1</v>
      </c>
      <c r="E499" s="176" t="str">
        <f aca="false">IFERROR(VLOOKUP($B499,'Unit Cost Database'!$A:$H,3,FALSE()),"LS")</f>
        <v>LS</v>
      </c>
      <c r="F499" s="184" t="n">
        <f aca="false">IFERROR(VLOOKUP($B499,'Unit Cost Database'!$A:$H,8,FALSE()),0)</f>
        <v>1500000</v>
      </c>
      <c r="G499" s="179" t="n">
        <f aca="false">$F$7</f>
        <v>0.1</v>
      </c>
      <c r="H499" s="180" t="n">
        <f aca="false">IF(OR(D499="",F499="",D499=0,F499=0),0,D499*F499*$H$8*(1+G499)*(1+$H$7))</f>
        <v>1707750</v>
      </c>
      <c r="I499" s="177" t="s">
        <v>361</v>
      </c>
      <c r="J499" s="185" t="s">
        <v>77</v>
      </c>
    </row>
    <row r="500" customFormat="false" ht="15" hidden="false" customHeight="true" outlineLevel="1" collapsed="false">
      <c r="A500" s="176" t="n">
        <v>3</v>
      </c>
      <c r="B500" s="195" t="s">
        <v>1175</v>
      </c>
      <c r="C500" s="195" t="s">
        <v>1176</v>
      </c>
      <c r="D500" s="183" t="n">
        <v>12</v>
      </c>
      <c r="E500" s="176" t="str">
        <f aca="false">IFERROR(VLOOKUP($B500,'Unit Cost Database'!$A:$H,3,FALSE()),"LS")</f>
        <v>EA</v>
      </c>
      <c r="F500" s="184" t="n">
        <f aca="false">IFERROR(VLOOKUP($B500,'Unit Cost Database'!$A:$H,8,FALSE()),0)</f>
        <v>32000</v>
      </c>
      <c r="G500" s="179" t="n">
        <f aca="false">$F$7</f>
        <v>0.1</v>
      </c>
      <c r="H500" s="180" t="n">
        <f aca="false">IF(OR(D500="",F500="",D500=0,F500=0),0,D500*F500*$H$8*(1+G500)*(1+$H$7))</f>
        <v>437184</v>
      </c>
      <c r="I500" s="177" t="s">
        <v>361</v>
      </c>
      <c r="J500" s="185" t="s">
        <v>77</v>
      </c>
    </row>
    <row r="501" customFormat="false" ht="15" hidden="false" customHeight="true" outlineLevel="1" collapsed="false">
      <c r="A501" s="176" t="n">
        <v>4</v>
      </c>
      <c r="B501" s="195" t="s">
        <v>1177</v>
      </c>
      <c r="C501" s="195" t="s">
        <v>1178</v>
      </c>
      <c r="D501" s="183" t="n">
        <v>45</v>
      </c>
      <c r="E501" s="176" t="str">
        <f aca="false">IFERROR(VLOOKUP($B501,'Unit Cost Database'!$A:$H,3,FALSE()),"LS")</f>
        <v>EA</v>
      </c>
      <c r="F501" s="184" t="n">
        <f aca="false">IFERROR(VLOOKUP($B501,'Unit Cost Database'!$A:$H,8,FALSE()),0)</f>
        <v>12000</v>
      </c>
      <c r="G501" s="179" t="n">
        <f aca="false">$F$7</f>
        <v>0.1</v>
      </c>
      <c r="H501" s="180" t="n">
        <f aca="false">IF(OR(D501="",F501="",D501=0,F501=0),0,D501*F501*$H$8*(1+G501)*(1+$H$7))</f>
        <v>614790</v>
      </c>
      <c r="I501" s="177" t="s">
        <v>361</v>
      </c>
      <c r="J501" s="185" t="s">
        <v>77</v>
      </c>
    </row>
    <row r="502" customFormat="false" ht="15" hidden="false" customHeight="true" outlineLevel="1" collapsed="false">
      <c r="A502" s="176" t="n">
        <v>5</v>
      </c>
      <c r="B502" s="195" t="s">
        <v>1179</v>
      </c>
      <c r="C502" s="195" t="s">
        <v>1180</v>
      </c>
      <c r="D502" s="183" t="n">
        <v>36</v>
      </c>
      <c r="E502" s="176" t="str">
        <f aca="false">IFERROR(VLOOKUP($B502,'Unit Cost Database'!$A:$H,3,FALSE()),"LS")</f>
        <v>EA</v>
      </c>
      <c r="F502" s="184" t="n">
        <f aca="false">IFERROR(VLOOKUP($B502,'Unit Cost Database'!$A:$H,8,FALSE()),0)</f>
        <v>8000</v>
      </c>
      <c r="G502" s="179" t="n">
        <f aca="false">$F$7</f>
        <v>0.1</v>
      </c>
      <c r="H502" s="180" t="n">
        <f aca="false">IF(OR(D502="",F502="",D502=0,F502=0),0,D502*F502*$H$8*(1+G502)*(1+$H$7))</f>
        <v>327888</v>
      </c>
      <c r="I502" s="177" t="s">
        <v>361</v>
      </c>
      <c r="J502" s="185" t="s">
        <v>77</v>
      </c>
    </row>
    <row r="503" customFormat="false" ht="15" hidden="false" customHeight="true" outlineLevel="1" collapsed="false">
      <c r="A503" s="176" t="n">
        <v>6</v>
      </c>
      <c r="B503" s="195" t="s">
        <v>1181</v>
      </c>
      <c r="C503" s="195" t="s">
        <v>1182</v>
      </c>
      <c r="D503" s="183" t="n">
        <v>90</v>
      </c>
      <c r="E503" s="176" t="str">
        <f aca="false">IFERROR(VLOOKUP($B503,'Unit Cost Database'!$A:$H,3,FALSE()),"LS")</f>
        <v>MW</v>
      </c>
      <c r="F503" s="184" t="n">
        <f aca="false">IFERROR(VLOOKUP($B503,'Unit Cost Database'!$A:$H,8,FALSE()),0)</f>
        <v>35000</v>
      </c>
      <c r="G503" s="179" t="n">
        <f aca="false">$F$7</f>
        <v>0.1</v>
      </c>
      <c r="H503" s="180" t="n">
        <f aca="false">IF(OR(D503="",F503="",D503=0,F503=0),0,D503*F503*$H$8*(1+G503)*(1+$H$7))</f>
        <v>3586275</v>
      </c>
      <c r="I503" s="177" t="s">
        <v>361</v>
      </c>
      <c r="J503" s="185" t="s">
        <v>77</v>
      </c>
    </row>
    <row r="504" customFormat="false" ht="15" hidden="false" customHeight="true" outlineLevel="1" collapsed="false">
      <c r="A504" s="176"/>
      <c r="B504" s="195" t="s">
        <v>1183</v>
      </c>
      <c r="C504" s="195" t="s">
        <v>1184</v>
      </c>
      <c r="D504" s="183" t="n">
        <v>0</v>
      </c>
      <c r="E504" s="176" t="str">
        <f aca="false">IFERROR(VLOOKUP($B504,'Unit Cost Database'!$A:$H,3,FALSE()),"LS")</f>
        <v>LS</v>
      </c>
      <c r="F504" s="184" t="n">
        <f aca="false">IFERROR(VLOOKUP($B504,'Unit Cost Database'!$A:$H,8,FALSE()),0)</f>
        <v>945000</v>
      </c>
      <c r="G504" s="179" t="n">
        <f aca="false">$F$7</f>
        <v>0.1</v>
      </c>
      <c r="H504" s="180" t="n">
        <f aca="false">IF(OR(D504="",F504="",D504=0,F504=0),0,D504*F504*$H$8*(1+G504)*(1+$H$7))</f>
        <v>0</v>
      </c>
      <c r="I504" s="177" t="s">
        <v>361</v>
      </c>
      <c r="J504" s="185" t="s">
        <v>77</v>
      </c>
    </row>
    <row r="505" customFormat="false" ht="15" hidden="false" customHeight="true" outlineLevel="1" collapsed="false">
      <c r="A505" s="176"/>
      <c r="B505" s="195" t="s">
        <v>1185</v>
      </c>
      <c r="C505" s="195" t="s">
        <v>1186</v>
      </c>
      <c r="D505" s="183" t="n">
        <v>0</v>
      </c>
      <c r="E505" s="176" t="str">
        <f aca="false">IFERROR(VLOOKUP($B505,'Unit Cost Database'!$A:$H,3,FALSE()),"LS")</f>
        <v>LS</v>
      </c>
      <c r="F505" s="184" t="n">
        <f aca="false">IFERROR(VLOOKUP($B505,'Unit Cost Database'!$A:$H,8,FALSE()),0)</f>
        <v>1417500</v>
      </c>
      <c r="G505" s="179" t="n">
        <f aca="false">$F$7</f>
        <v>0.1</v>
      </c>
      <c r="H505" s="180" t="n">
        <f aca="false">IF(OR(D505="",F505="",D505=0,F505=0),0,D505*F505*$H$8*(1+G505)*(1+$H$7))</f>
        <v>0</v>
      </c>
      <c r="I505" s="177" t="s">
        <v>361</v>
      </c>
      <c r="J505" s="185" t="s">
        <v>77</v>
      </c>
    </row>
    <row r="506" customFormat="false" ht="15" hidden="false" customHeight="true" outlineLevel="1" collapsed="false">
      <c r="A506" s="176"/>
      <c r="B506" s="195" t="s">
        <v>1187</v>
      </c>
      <c r="C506" s="195" t="s">
        <v>1188</v>
      </c>
      <c r="D506" s="183" t="n">
        <v>0</v>
      </c>
      <c r="E506" s="176" t="str">
        <f aca="false">IFERROR(VLOOKUP($B506,'Unit Cost Database'!$A:$H,3,FALSE()),"LS")</f>
        <v>LS</v>
      </c>
      <c r="F506" s="184" t="n">
        <f aca="false">IFERROR(VLOOKUP($B506,'Unit Cost Database'!$A:$H,8,FALSE()),0)</f>
        <v>787500</v>
      </c>
      <c r="G506" s="179" t="n">
        <f aca="false">$F$7</f>
        <v>0.1</v>
      </c>
      <c r="H506" s="180" t="n">
        <f aca="false">IF(OR(D506="",F506="",D506=0,F506=0),0,D506*F506*$H$8*(1+G506)*(1+$H$7))</f>
        <v>0</v>
      </c>
      <c r="I506" s="177" t="s">
        <v>361</v>
      </c>
      <c r="J506" s="185" t="s">
        <v>77</v>
      </c>
    </row>
    <row r="507" customFormat="false" ht="15" hidden="false" customHeight="true" outlineLevel="1" collapsed="false">
      <c r="A507" s="176" t="n">
        <v>7</v>
      </c>
      <c r="B507" s="195" t="s">
        <v>1189</v>
      </c>
      <c r="C507" s="195" t="s">
        <v>1190</v>
      </c>
      <c r="D507" s="183" t="n">
        <v>1</v>
      </c>
      <c r="E507" s="176" t="str">
        <f aca="false">IFERROR(VLOOKUP($B507,'Unit Cost Database'!$A:$H,3,FALSE()),"LS")</f>
        <v>LS</v>
      </c>
      <c r="F507" s="184" t="n">
        <f aca="false">IFERROR(VLOOKUP($B507,'Unit Cost Database'!$A:$H,8,FALSE()),0)</f>
        <v>2000000</v>
      </c>
      <c r="G507" s="179" t="n">
        <f aca="false">$F$7</f>
        <v>0.1</v>
      </c>
      <c r="H507" s="180" t="n">
        <f aca="false">IF(OR(D507="",F507="",D507=0,F507=0),0,D507*F507*$H$8*(1+G507)*(1+$H$7))</f>
        <v>2277000</v>
      </c>
      <c r="I507" s="177" t="s">
        <v>361</v>
      </c>
      <c r="J507" s="185" t="s">
        <v>77</v>
      </c>
    </row>
    <row r="508" customFormat="false" ht="15" hidden="false" customHeight="true" outlineLevel="1" collapsed="false">
      <c r="A508" s="176"/>
      <c r="B508" s="195" t="s">
        <v>1191</v>
      </c>
      <c r="C508" s="195" t="s">
        <v>1192</v>
      </c>
      <c r="D508" s="183" t="n">
        <v>0</v>
      </c>
      <c r="E508" s="176" t="str">
        <f aca="false">IFERROR(VLOOKUP($B508,'Unit Cost Database'!$A:$H,3,FALSE()),"LS")</f>
        <v>LS</v>
      </c>
      <c r="F508" s="184" t="n">
        <f aca="false">IFERROR(VLOOKUP($B508,'Unit Cost Database'!$A:$H,8,FALSE()),0)</f>
        <v>1000000</v>
      </c>
      <c r="G508" s="179" t="n">
        <f aca="false">$F$7</f>
        <v>0.1</v>
      </c>
      <c r="H508" s="180" t="n">
        <f aca="false">IF(OR(D508="",F508="",D508=0,F508=0),0,D508*F508*$H$8*(1+G508)*(1+$H$7))</f>
        <v>0</v>
      </c>
      <c r="I508" s="177" t="s">
        <v>361</v>
      </c>
      <c r="J508" s="185" t="s">
        <v>77</v>
      </c>
    </row>
    <row r="509" customFormat="false" ht="15" hidden="false" customHeight="true" outlineLevel="1" collapsed="false">
      <c r="A509" s="176"/>
      <c r="B509" s="195" t="s">
        <v>1193</v>
      </c>
      <c r="C509" s="195" t="s">
        <v>1194</v>
      </c>
      <c r="D509" s="183" t="n">
        <v>0</v>
      </c>
      <c r="E509" s="176" t="str">
        <f aca="false">IFERROR(VLOOKUP($B509,'Unit Cost Database'!$A:$H,3,FALSE()),"LS")</f>
        <v>LS</v>
      </c>
      <c r="F509" s="184" t="n">
        <f aca="false">IFERROR(VLOOKUP($B509,'Unit Cost Database'!$A:$H,8,FALSE()),0)</f>
        <v>600000</v>
      </c>
      <c r="G509" s="179" t="n">
        <f aca="false">$F$7</f>
        <v>0.1</v>
      </c>
      <c r="H509" s="180" t="n">
        <f aca="false">IF(OR(D509="",F509="",D509=0,F509=0),0,D509*F509*$H$8*(1+G509)*(1+$H$7))</f>
        <v>0</v>
      </c>
      <c r="I509" s="177" t="s">
        <v>361</v>
      </c>
      <c r="J509" s="185" t="s">
        <v>77</v>
      </c>
    </row>
    <row r="510" customFormat="false" ht="15" hidden="false" customHeight="true" outlineLevel="1" collapsed="false">
      <c r="A510" s="176"/>
      <c r="B510" s="195" t="s">
        <v>1195</v>
      </c>
      <c r="C510" s="195" t="s">
        <v>1196</v>
      </c>
      <c r="D510" s="183" t="n">
        <v>0</v>
      </c>
      <c r="E510" s="176" t="str">
        <f aca="false">IFERROR(VLOOKUP($B510,'Unit Cost Database'!$A:$H,3,FALSE()),"LS")</f>
        <v>LS</v>
      </c>
      <c r="F510" s="184" t="n">
        <f aca="false">IFERROR(VLOOKUP($B510,'Unit Cost Database'!$A:$H,8,FALSE()),0)</f>
        <v>400000</v>
      </c>
      <c r="G510" s="179" t="n">
        <f aca="false">$F$7</f>
        <v>0.1</v>
      </c>
      <c r="H510" s="180" t="n">
        <f aca="false">IF(OR(D510="",F510="",D510=0,F510=0),0,D510*F510*$H$8*(1+G510)*(1+$H$7))</f>
        <v>0</v>
      </c>
      <c r="I510" s="177" t="s">
        <v>361</v>
      </c>
      <c r="J510" s="185" t="s">
        <v>77</v>
      </c>
    </row>
    <row r="511" customFormat="false" ht="15" hidden="false" customHeight="true" outlineLevel="1" collapsed="false">
      <c r="A511" s="176" t="n">
        <v>8</v>
      </c>
      <c r="B511" s="195" t="s">
        <v>1197</v>
      </c>
      <c r="C511" s="195" t="s">
        <v>1198</v>
      </c>
      <c r="D511" s="183" t="n">
        <v>1</v>
      </c>
      <c r="E511" s="176" t="str">
        <f aca="false">IFERROR(VLOOKUP($B511,'Unit Cost Database'!$A:$H,3,FALSE()),"LS")</f>
        <v>LS</v>
      </c>
      <c r="F511" s="184" t="n">
        <f aca="false">IFERROR(VLOOKUP($B511,'Unit Cost Database'!$A:$H,8,FALSE()),0)</f>
        <v>550000</v>
      </c>
      <c r="G511" s="179" t="n">
        <f aca="false">$F$7</f>
        <v>0.1</v>
      </c>
      <c r="H511" s="180" t="n">
        <f aca="false">IF(OR(D511="",F511="",D511=0,F511=0),0,D511*F511*$H$8*(1+G511)*(1+$H$7))</f>
        <v>626175</v>
      </c>
      <c r="I511" s="177" t="s">
        <v>361</v>
      </c>
      <c r="J511" s="185" t="s">
        <v>77</v>
      </c>
    </row>
    <row r="512" customFormat="false" ht="15" hidden="false" customHeight="true" outlineLevel="1" collapsed="false">
      <c r="A512" s="176" t="n">
        <v>9</v>
      </c>
      <c r="B512" s="195" t="s">
        <v>1199</v>
      </c>
      <c r="C512" s="195" t="s">
        <v>1200</v>
      </c>
      <c r="D512" s="183" t="n">
        <v>90</v>
      </c>
      <c r="E512" s="176" t="str">
        <f aca="false">IFERROR(VLOOKUP($B512,'Unit Cost Database'!$A:$H,3,FALSE()),"LS")</f>
        <v>MW</v>
      </c>
      <c r="F512" s="184" t="n">
        <f aca="false">IFERROR(VLOOKUP($B512,'Unit Cost Database'!$A:$H,8,FALSE()),0)</f>
        <v>22000</v>
      </c>
      <c r="G512" s="179" t="n">
        <f aca="false">$F$7</f>
        <v>0.1</v>
      </c>
      <c r="H512" s="180" t="n">
        <f aca="false">IF(OR(D512="",F512="",D512=0,F512=0),0,D512*F512*$H$8*(1+G512)*(1+$H$7))</f>
        <v>2254230</v>
      </c>
      <c r="I512" s="177" t="s">
        <v>361</v>
      </c>
      <c r="J512" s="185" t="s">
        <v>77</v>
      </c>
    </row>
    <row r="513" customFormat="false" ht="15" hidden="false" customHeight="true" outlineLevel="1" collapsed="false">
      <c r="A513" s="176"/>
      <c r="B513" s="195" t="s">
        <v>1201</v>
      </c>
      <c r="C513" s="195" t="s">
        <v>1202</v>
      </c>
      <c r="D513" s="183" t="n">
        <v>0</v>
      </c>
      <c r="E513" s="176" t="str">
        <f aca="false">IFERROR(VLOOKUP($B513,'Unit Cost Database'!$A:$H,3,FALSE()),"LS")</f>
        <v>LS</v>
      </c>
      <c r="F513" s="184" t="n">
        <f aca="false">IFERROR(VLOOKUP($B513,'Unit Cost Database'!$A:$H,8,FALSE()),0)</f>
        <v>990000</v>
      </c>
      <c r="G513" s="179" t="n">
        <f aca="false">$F$7</f>
        <v>0.1</v>
      </c>
      <c r="H513" s="180" t="n">
        <f aca="false">IF(OR(D513="",F513="",D513=0,F513=0),0,D513*F513*$H$8*(1+G513)*(1+$H$7))</f>
        <v>0</v>
      </c>
      <c r="I513" s="177" t="s">
        <v>361</v>
      </c>
      <c r="J513" s="185" t="s">
        <v>77</v>
      </c>
    </row>
    <row r="514" customFormat="false" ht="15" hidden="false" customHeight="true" outlineLevel="1" collapsed="false">
      <c r="A514" s="176"/>
      <c r="B514" s="195" t="s">
        <v>1203</v>
      </c>
      <c r="C514" s="195" t="s">
        <v>1204</v>
      </c>
      <c r="D514" s="183" t="n">
        <v>0</v>
      </c>
      <c r="E514" s="176" t="str">
        <f aca="false">IFERROR(VLOOKUP($B514,'Unit Cost Database'!$A:$H,3,FALSE()),"LS")</f>
        <v>LS</v>
      </c>
      <c r="F514" s="184" t="n">
        <f aca="false">IFERROR(VLOOKUP($B514,'Unit Cost Database'!$A:$H,8,FALSE()),0)</f>
        <v>495000</v>
      </c>
      <c r="G514" s="179" t="n">
        <f aca="false">$F$7</f>
        <v>0.1</v>
      </c>
      <c r="H514" s="180" t="n">
        <f aca="false">IF(OR(D514="",F514="",D514=0,F514=0),0,D514*F514*$H$8*(1+G514)*(1+$H$7))</f>
        <v>0</v>
      </c>
      <c r="I514" s="177" t="s">
        <v>361</v>
      </c>
      <c r="J514" s="185" t="s">
        <v>77</v>
      </c>
    </row>
    <row r="515" customFormat="false" ht="15" hidden="false" customHeight="true" outlineLevel="1" collapsed="false">
      <c r="A515" s="176"/>
      <c r="B515" s="195" t="s">
        <v>1205</v>
      </c>
      <c r="C515" s="195" t="s">
        <v>1206</v>
      </c>
      <c r="D515" s="183" t="n">
        <v>0</v>
      </c>
      <c r="E515" s="176" t="str">
        <f aca="false">IFERROR(VLOOKUP($B515,'Unit Cost Database'!$A:$H,3,FALSE()),"LS")</f>
        <v>LS</v>
      </c>
      <c r="F515" s="184" t="n">
        <f aca="false">IFERROR(VLOOKUP($B515,'Unit Cost Database'!$A:$H,8,FALSE()),0)</f>
        <v>495000</v>
      </c>
      <c r="G515" s="179" t="n">
        <f aca="false">$F$7</f>
        <v>0.1</v>
      </c>
      <c r="H515" s="180" t="n">
        <f aca="false">IF(OR(D515="",F515="",D515=0,F515=0),0,D515*F515*$H$8*(1+G515)*(1+$H$7))</f>
        <v>0</v>
      </c>
      <c r="I515" s="177" t="s">
        <v>361</v>
      </c>
      <c r="J515" s="185" t="s">
        <v>77</v>
      </c>
    </row>
    <row r="516" customFormat="false" ht="15" hidden="false" customHeight="true" outlineLevel="1" collapsed="false">
      <c r="A516" s="176" t="n">
        <v>10</v>
      </c>
      <c r="B516" s="195" t="s">
        <v>1207</v>
      </c>
      <c r="C516" s="195" t="s">
        <v>1208</v>
      </c>
      <c r="D516" s="183" t="n">
        <v>1</v>
      </c>
      <c r="E516" s="176" t="str">
        <f aca="false">IFERROR(VLOOKUP($B516,'Unit Cost Database'!$A:$H,3,FALSE()),"LS")</f>
        <v>LS</v>
      </c>
      <c r="F516" s="184" t="n">
        <f aca="false">IFERROR(VLOOKUP($B516,'Unit Cost Database'!$A:$H,8,FALSE()),0)</f>
        <v>800000</v>
      </c>
      <c r="G516" s="179" t="n">
        <f aca="false">$F$7</f>
        <v>0.1</v>
      </c>
      <c r="H516" s="180" t="n">
        <f aca="false">IF(OR(D516="",F516="",D516=0,F516=0),0,D516*F516*$H$8*(1+G516)*(1+$H$7))</f>
        <v>910800</v>
      </c>
      <c r="I516" s="177" t="s">
        <v>361</v>
      </c>
      <c r="J516" s="185" t="s">
        <v>77</v>
      </c>
    </row>
    <row r="517" customFormat="false" ht="15" hidden="false" customHeight="true" outlineLevel="1" collapsed="false">
      <c r="A517" s="186"/>
      <c r="B517" s="187"/>
      <c r="C517" s="188" t="s">
        <v>1209</v>
      </c>
      <c r="D517" s="189"/>
      <c r="E517" s="186"/>
      <c r="F517" s="190"/>
      <c r="G517" s="191"/>
      <c r="H517" s="192" t="n">
        <f aca="false">SUM(H498:H516)</f>
        <v>13470732</v>
      </c>
      <c r="I517" s="187"/>
      <c r="J517" s="187"/>
    </row>
    <row r="518" customFormat="false" ht="15" hidden="false" customHeight="true" outlineLevel="1" collapsed="false">
      <c r="A518" s="176"/>
      <c r="B518" s="195"/>
      <c r="C518" s="195"/>
      <c r="D518" s="177"/>
      <c r="E518" s="176"/>
      <c r="F518" s="178"/>
      <c r="G518" s="179"/>
      <c r="H518" s="180"/>
    </row>
    <row r="519" customFormat="false" ht="15" hidden="false" customHeight="true" outlineLevel="1" collapsed="false">
      <c r="A519" s="193" t="s">
        <v>1210</v>
      </c>
      <c r="B519" s="193"/>
      <c r="C519" s="193"/>
      <c r="D519" s="193"/>
      <c r="E519" s="193"/>
      <c r="F519" s="193"/>
      <c r="G519" s="193"/>
      <c r="H519" s="193"/>
      <c r="I519" s="182"/>
      <c r="J519" s="182" t="s">
        <v>77</v>
      </c>
    </row>
    <row r="520" customFormat="false" ht="15" hidden="false" customHeight="true" outlineLevel="1" collapsed="false">
      <c r="A520" s="176" t="n">
        <v>1</v>
      </c>
      <c r="B520" s="195" t="s">
        <v>1211</v>
      </c>
      <c r="C520" s="195" t="s">
        <v>1212</v>
      </c>
      <c r="D520" s="183" t="n">
        <v>800000</v>
      </c>
      <c r="E520" s="176" t="str">
        <f aca="false">IFERROR(VLOOKUP($B520,'Unit Cost Database'!$A:$H,3,FALSE()),"LS")</f>
        <v>SF</v>
      </c>
      <c r="F520" s="184" t="n">
        <f aca="false">IFERROR(VLOOKUP($B520,'Unit Cost Database'!$A:$H,8,FALSE()),0)</f>
        <v>5.6</v>
      </c>
      <c r="G520" s="179" t="n">
        <f aca="false">$F$7</f>
        <v>0.1</v>
      </c>
      <c r="H520" s="180" t="n">
        <f aca="false">IF(OR(D520="",F520="",D520=0,F520=0),0,D520*F520*$H$8*(1+G520)*(1+$H$7))</f>
        <v>5100480</v>
      </c>
      <c r="I520" s="177" t="s">
        <v>361</v>
      </c>
      <c r="J520" s="185" t="s">
        <v>77</v>
      </c>
    </row>
    <row r="521" customFormat="false" ht="15" hidden="false" customHeight="true" outlineLevel="1" collapsed="false">
      <c r="A521" s="176"/>
      <c r="B521" s="195" t="s">
        <v>1213</v>
      </c>
      <c r="C521" s="195" t="s">
        <v>1214</v>
      </c>
      <c r="D521" s="183" t="n">
        <v>0</v>
      </c>
      <c r="E521" s="176" t="str">
        <f aca="false">IFERROR(VLOOKUP($B521,'Unit Cost Database'!$A:$H,3,FALSE()),"LS")</f>
        <v>LS</v>
      </c>
      <c r="F521" s="184" t="n">
        <f aca="false">IFERROR(VLOOKUP($B521,'Unit Cost Database'!$A:$H,8,FALSE()),0)</f>
        <v>2464000</v>
      </c>
      <c r="G521" s="179" t="n">
        <f aca="false">$F$7</f>
        <v>0.1</v>
      </c>
      <c r="H521" s="180" t="n">
        <f aca="false">IF(OR(D521="",F521="",D521=0,F521=0),0,D521*F521*$H$8*(1+G521)*(1+$H$7))</f>
        <v>0</v>
      </c>
      <c r="I521" s="177" t="s">
        <v>361</v>
      </c>
      <c r="J521" s="185" t="s">
        <v>77</v>
      </c>
    </row>
    <row r="522" customFormat="false" ht="15" hidden="false" customHeight="true" outlineLevel="1" collapsed="false">
      <c r="A522" s="176"/>
      <c r="B522" s="195" t="s">
        <v>1215</v>
      </c>
      <c r="C522" s="195" t="s">
        <v>1216</v>
      </c>
      <c r="D522" s="183" t="n">
        <v>0</v>
      </c>
      <c r="E522" s="176" t="str">
        <f aca="false">IFERROR(VLOOKUP($B522,'Unit Cost Database'!$A:$H,3,FALSE()),"LS")</f>
        <v>LS</v>
      </c>
      <c r="F522" s="184" t="n">
        <f aca="false">IFERROR(VLOOKUP($B522,'Unit Cost Database'!$A:$H,8,FALSE()),0)</f>
        <v>1344000</v>
      </c>
      <c r="G522" s="179" t="n">
        <f aca="false">$F$7</f>
        <v>0.1</v>
      </c>
      <c r="H522" s="180" t="n">
        <f aca="false">IF(OR(D522="",F522="",D522=0,F522=0),0,D522*F522*$H$8*(1+G522)*(1+$H$7))</f>
        <v>0</v>
      </c>
      <c r="I522" s="177" t="s">
        <v>361</v>
      </c>
      <c r="J522" s="185" t="s">
        <v>77</v>
      </c>
    </row>
    <row r="523" customFormat="false" ht="15" hidden="false" customHeight="true" outlineLevel="1" collapsed="false">
      <c r="A523" s="176"/>
      <c r="B523" s="195" t="s">
        <v>1217</v>
      </c>
      <c r="C523" s="195" t="s">
        <v>1218</v>
      </c>
      <c r="D523" s="183" t="n">
        <v>0</v>
      </c>
      <c r="E523" s="176" t="str">
        <f aca="false">IFERROR(VLOOKUP($B523,'Unit Cost Database'!$A:$H,3,FALSE()),"LS")</f>
        <v>LS</v>
      </c>
      <c r="F523" s="184" t="n">
        <f aca="false">IFERROR(VLOOKUP($B523,'Unit Cost Database'!$A:$H,8,FALSE()),0)</f>
        <v>672000</v>
      </c>
      <c r="G523" s="179" t="n">
        <f aca="false">$F$7</f>
        <v>0.1</v>
      </c>
      <c r="H523" s="180" t="n">
        <f aca="false">IF(OR(D523="",F523="",D523=0,F523=0),0,D523*F523*$H$8*(1+G523)*(1+$H$7))</f>
        <v>0</v>
      </c>
      <c r="I523" s="177" t="s">
        <v>361</v>
      </c>
      <c r="J523" s="185" t="s">
        <v>77</v>
      </c>
    </row>
    <row r="524" customFormat="false" ht="15" hidden="false" customHeight="true" outlineLevel="1" collapsed="false">
      <c r="A524" s="176" t="n">
        <v>2</v>
      </c>
      <c r="B524" s="195" t="s">
        <v>1219</v>
      </c>
      <c r="C524" s="195" t="s">
        <v>1220</v>
      </c>
      <c r="D524" s="183" t="n">
        <f aca="false">$C$13</f>
        <v>440000</v>
      </c>
      <c r="E524" s="176" t="str">
        <f aca="false">IFERROR(VLOOKUP($B524,'Unit Cost Database'!$A:$H,3,FALSE()),"LS")</f>
        <v>SF</v>
      </c>
      <c r="F524" s="184" t="n">
        <f aca="false">IFERROR(VLOOKUP($B524,'Unit Cost Database'!$A:$H,8,FALSE()),0)</f>
        <v>1.5</v>
      </c>
      <c r="G524" s="179" t="n">
        <f aca="false">$F$7</f>
        <v>0.1</v>
      </c>
      <c r="H524" s="180" t="n">
        <f aca="false">IF(OR(D524="",F524="",D524=0,F524=0),0,D524*F524*$H$8*(1+G524)*(1+$H$7))</f>
        <v>751410</v>
      </c>
      <c r="I524" s="177" t="s">
        <v>361</v>
      </c>
      <c r="J524" s="185" t="s">
        <v>77</v>
      </c>
    </row>
    <row r="525" customFormat="false" ht="15" hidden="false" customHeight="true" outlineLevel="1" collapsed="false">
      <c r="A525" s="176" t="n">
        <v>3</v>
      </c>
      <c r="B525" s="195" t="s">
        <v>1221</v>
      </c>
      <c r="C525" s="195" t="s">
        <v>1222</v>
      </c>
      <c r="D525" s="183" t="n">
        <f aca="false">$C$6</f>
        <v>800000</v>
      </c>
      <c r="E525" s="176" t="str">
        <f aca="false">IFERROR(VLOOKUP($B525,'Unit Cost Database'!$A:$H,3,FALSE()),"LS")</f>
        <v>SF</v>
      </c>
      <c r="F525" s="184" t="n">
        <f aca="false">IFERROR(VLOOKUP($B525,'Unit Cost Database'!$A:$H,8,FALSE()),0)</f>
        <v>1</v>
      </c>
      <c r="G525" s="179" t="n">
        <f aca="false">$F$7</f>
        <v>0.1</v>
      </c>
      <c r="H525" s="180" t="n">
        <f aca="false">IF(OR(D525="",F525="",D525=0,F525=0),0,D525*F525*$H$8*(1+G525)*(1+$H$7))</f>
        <v>910800</v>
      </c>
      <c r="I525" s="177" t="s">
        <v>361</v>
      </c>
      <c r="J525" s="185" t="s">
        <v>77</v>
      </c>
    </row>
    <row r="526" customFormat="false" ht="15" hidden="false" customHeight="true" outlineLevel="1" collapsed="false">
      <c r="A526" s="176" t="n">
        <v>4</v>
      </c>
      <c r="B526" s="195" t="s">
        <v>1223</v>
      </c>
      <c r="C526" s="195" t="s">
        <v>1224</v>
      </c>
      <c r="D526" s="183" t="n">
        <v>9</v>
      </c>
      <c r="E526" s="176" t="str">
        <f aca="false">IFERROR(VLOOKUP($B526,'Unit Cost Database'!$A:$H,3,FALSE()),"LS")</f>
        <v>EA</v>
      </c>
      <c r="F526" s="184" t="n">
        <f aca="false">IFERROR(VLOOKUP($B526,'Unit Cost Database'!$A:$H,8,FALSE()),0)</f>
        <v>250000</v>
      </c>
      <c r="G526" s="179" t="n">
        <f aca="false">$F$7</f>
        <v>0.1</v>
      </c>
      <c r="H526" s="180" t="n">
        <f aca="false">IF(OR(D526="",F526="",D526=0,F526=0),0,D526*F526*$H$8*(1+G526)*(1+$H$7))</f>
        <v>2561625</v>
      </c>
      <c r="I526" s="177" t="s">
        <v>361</v>
      </c>
      <c r="J526" s="185" t="s">
        <v>77</v>
      </c>
    </row>
    <row r="527" customFormat="false" ht="15" hidden="false" customHeight="true" outlineLevel="1" collapsed="false">
      <c r="A527" s="176"/>
      <c r="B527" s="195" t="s">
        <v>1225</v>
      </c>
      <c r="C527" s="195" t="s">
        <v>1226</v>
      </c>
      <c r="D527" s="183" t="n">
        <v>0</v>
      </c>
      <c r="E527" s="176" t="str">
        <f aca="false">IFERROR(VLOOKUP($B527,'Unit Cost Database'!$A:$H,3,FALSE()),"LS")</f>
        <v>LS</v>
      </c>
      <c r="F527" s="184" t="n">
        <f aca="false">IFERROR(VLOOKUP($B527,'Unit Cost Database'!$A:$H,8,FALSE()),0)</f>
        <v>1530000</v>
      </c>
      <c r="G527" s="179" t="n">
        <f aca="false">$F$7</f>
        <v>0.1</v>
      </c>
      <c r="H527" s="180" t="n">
        <f aca="false">IF(OR(D527="",F527="",D527=0,F527=0),0,D527*F527*$H$8*(1+G527)*(1+$H$7))</f>
        <v>0</v>
      </c>
      <c r="I527" s="177" t="s">
        <v>361</v>
      </c>
      <c r="J527" s="185" t="s">
        <v>77</v>
      </c>
    </row>
    <row r="528" customFormat="false" ht="15" hidden="false" customHeight="true" outlineLevel="1" collapsed="false">
      <c r="A528" s="176"/>
      <c r="B528" s="195" t="s">
        <v>1227</v>
      </c>
      <c r="C528" s="195" t="s">
        <v>1228</v>
      </c>
      <c r="D528" s="183" t="n">
        <v>0</v>
      </c>
      <c r="E528" s="176" t="str">
        <f aca="false">IFERROR(VLOOKUP($B528,'Unit Cost Database'!$A:$H,3,FALSE()),"LS")</f>
        <v>LS</v>
      </c>
      <c r="F528" s="184" t="n">
        <f aca="false">IFERROR(VLOOKUP($B528,'Unit Cost Database'!$A:$H,8,FALSE()),0)</f>
        <v>450000</v>
      </c>
      <c r="G528" s="179" t="n">
        <f aca="false">$F$7</f>
        <v>0.1</v>
      </c>
      <c r="H528" s="180" t="n">
        <f aca="false">IF(OR(D528="",F528="",D528=0,F528=0),0,D528*F528*$H$8*(1+G528)*(1+$H$7))</f>
        <v>0</v>
      </c>
      <c r="I528" s="177" t="s">
        <v>361</v>
      </c>
      <c r="J528" s="185" t="s">
        <v>77</v>
      </c>
    </row>
    <row r="529" customFormat="false" ht="15" hidden="false" customHeight="true" outlineLevel="1" collapsed="false">
      <c r="A529" s="176"/>
      <c r="B529" s="195" t="s">
        <v>1229</v>
      </c>
      <c r="C529" s="195" t="s">
        <v>1230</v>
      </c>
      <c r="D529" s="183" t="n">
        <v>0</v>
      </c>
      <c r="E529" s="176" t="str">
        <f aca="false">IFERROR(VLOOKUP($B529,'Unit Cost Database'!$A:$H,3,FALSE()),"LS")</f>
        <v>LS</v>
      </c>
      <c r="F529" s="184" t="n">
        <f aca="false">IFERROR(VLOOKUP($B529,'Unit Cost Database'!$A:$H,8,FALSE()),0)</f>
        <v>270000</v>
      </c>
      <c r="G529" s="179" t="n">
        <f aca="false">$F$7</f>
        <v>0.1</v>
      </c>
      <c r="H529" s="180" t="n">
        <f aca="false">IF(OR(D529="",F529="",D529=0,F529=0),0,D529*F529*$H$8*(1+G529)*(1+$H$7))</f>
        <v>0</v>
      </c>
      <c r="I529" s="177" t="s">
        <v>361</v>
      </c>
      <c r="J529" s="185" t="s">
        <v>77</v>
      </c>
    </row>
    <row r="530" customFormat="false" ht="15" hidden="false" customHeight="true" outlineLevel="1" collapsed="false">
      <c r="A530" s="176" t="n">
        <v>5</v>
      </c>
      <c r="B530" s="195" t="s">
        <v>1231</v>
      </c>
      <c r="C530" s="195" t="s">
        <v>1232</v>
      </c>
      <c r="D530" s="183" t="n">
        <v>18000</v>
      </c>
      <c r="E530" s="176" t="str">
        <f aca="false">IFERROR(VLOOKUP($B530,'Unit Cost Database'!$A:$H,3,FALSE()),"LS")</f>
        <v>LF</v>
      </c>
      <c r="F530" s="184" t="n">
        <f aca="false">IFERROR(VLOOKUP($B530,'Unit Cost Database'!$A:$H,8,FALSE()),0)</f>
        <v>175</v>
      </c>
      <c r="G530" s="179" t="n">
        <f aca="false">$F$7</f>
        <v>0.1</v>
      </c>
      <c r="H530" s="180" t="n">
        <f aca="false">IF(OR(D530="",F530="",D530=0,F530=0),0,D530*F530*$H$8*(1+G530)*(1+$H$7))</f>
        <v>3586275</v>
      </c>
      <c r="I530" s="177" t="s">
        <v>361</v>
      </c>
      <c r="J530" s="185" t="s">
        <v>77</v>
      </c>
    </row>
    <row r="531" customFormat="false" ht="15" hidden="false" customHeight="true" outlineLevel="1" collapsed="false">
      <c r="A531" s="176"/>
      <c r="B531" s="195" t="s">
        <v>1233</v>
      </c>
      <c r="C531" s="195" t="s">
        <v>1234</v>
      </c>
      <c r="D531" s="183" t="n">
        <v>0</v>
      </c>
      <c r="E531" s="176" t="str">
        <f aca="false">IFERROR(VLOOKUP($B531,'Unit Cost Database'!$A:$H,3,FALSE()),"LS")</f>
        <v>LS</v>
      </c>
      <c r="F531" s="194" t="n">
        <f aca="false">IFERROR(VLOOKUP($B531,'Unit Cost Database'!$A:$H,8,FALSE()),0)</f>
        <v>2047500</v>
      </c>
      <c r="G531" s="179" t="n">
        <f aca="false">$F$7</f>
        <v>0.1</v>
      </c>
      <c r="H531" s="180" t="n">
        <f aca="false">IF(OR(D531="",F531="",D531=0,F531=0),0,D531*F531*$H$8*(1+G531)*(1+$H$7))</f>
        <v>0</v>
      </c>
      <c r="I531" s="177" t="s">
        <v>361</v>
      </c>
      <c r="J531" s="185" t="s">
        <v>77</v>
      </c>
    </row>
    <row r="532" customFormat="false" ht="15" hidden="false" customHeight="true" outlineLevel="1" collapsed="false">
      <c r="A532" s="176"/>
      <c r="B532" s="195" t="s">
        <v>1235</v>
      </c>
      <c r="C532" s="195" t="s">
        <v>1236</v>
      </c>
      <c r="D532" s="183" t="n">
        <v>0</v>
      </c>
      <c r="E532" s="176" t="str">
        <f aca="false">IFERROR(VLOOKUP($B532,'Unit Cost Database'!$A:$H,3,FALSE()),"LS")</f>
        <v>LS</v>
      </c>
      <c r="F532" s="194" t="n">
        <f aca="false">IFERROR(VLOOKUP($B532,'Unit Cost Database'!$A:$H,8,FALSE()),0)</f>
        <v>630000</v>
      </c>
      <c r="G532" s="179" t="n">
        <f aca="false">$F$7</f>
        <v>0.1</v>
      </c>
      <c r="H532" s="180" t="n">
        <f aca="false">IF(OR(D532="",F532="",D532=0,F532=0),0,D532*F532*$H$8*(1+G532)*(1+$H$7))</f>
        <v>0</v>
      </c>
      <c r="I532" s="177" t="s">
        <v>361</v>
      </c>
      <c r="J532" s="185" t="s">
        <v>77</v>
      </c>
    </row>
    <row r="533" customFormat="false" ht="15" hidden="false" customHeight="true" outlineLevel="1" collapsed="false">
      <c r="A533" s="176"/>
      <c r="B533" s="195" t="s">
        <v>1237</v>
      </c>
      <c r="C533" s="195" t="s">
        <v>1238</v>
      </c>
      <c r="D533" s="183" t="n">
        <v>0</v>
      </c>
      <c r="E533" s="176" t="str">
        <f aca="false">IFERROR(VLOOKUP($B533,'Unit Cost Database'!$A:$H,3,FALSE()),"LS")</f>
        <v>LS</v>
      </c>
      <c r="F533" s="194" t="n">
        <f aca="false">IFERROR(VLOOKUP($B533,'Unit Cost Database'!$A:$H,8,FALSE()),0)</f>
        <v>472500</v>
      </c>
      <c r="G533" s="179" t="n">
        <f aca="false">$F$7</f>
        <v>0.1</v>
      </c>
      <c r="H533" s="180" t="n">
        <f aca="false">IF(OR(D533="",F533="",D533=0,F533=0),0,D533*F533*$H$8*(1+G533)*(1+$H$7))</f>
        <v>0</v>
      </c>
      <c r="I533" s="177" t="s">
        <v>361</v>
      </c>
      <c r="J533" s="185" t="s">
        <v>77</v>
      </c>
    </row>
    <row r="534" customFormat="false" ht="15" hidden="false" customHeight="true" outlineLevel="1" collapsed="false">
      <c r="A534" s="176" t="n">
        <v>6</v>
      </c>
      <c r="B534" s="195" t="s">
        <v>1239</v>
      </c>
      <c r="C534" s="195" t="s">
        <v>1240</v>
      </c>
      <c r="D534" s="183" t="n">
        <f aca="false">$C$9*20</f>
        <v>1800</v>
      </c>
      <c r="E534" s="176" t="str">
        <f aca="false">IFERROR(VLOOKUP($B534,'Unit Cost Database'!$A:$H,3,FALSE()),"LS")</f>
        <v>PT</v>
      </c>
      <c r="F534" s="184" t="n">
        <f aca="false">IFERROR(VLOOKUP($B534,'Unit Cost Database'!$A:$H,8,FALSE()),0)</f>
        <v>500</v>
      </c>
      <c r="G534" s="179" t="n">
        <f aca="false">$F$7</f>
        <v>0.1</v>
      </c>
      <c r="H534" s="180" t="n">
        <f aca="false">IF(OR(D534="",F534="",D534=0,F534=0),0,D534*F534*$H$8*(1+G534)*(1+$H$7))</f>
        <v>1024650</v>
      </c>
      <c r="I534" s="177" t="s">
        <v>361</v>
      </c>
      <c r="J534" s="185" t="s">
        <v>77</v>
      </c>
    </row>
    <row r="535" customFormat="false" ht="15" hidden="false" customHeight="true" outlineLevel="1" collapsed="false">
      <c r="A535" s="176" t="n">
        <v>7</v>
      </c>
      <c r="B535" s="195" t="s">
        <v>1241</v>
      </c>
      <c r="C535" s="195" t="s">
        <v>1242</v>
      </c>
      <c r="D535" s="183" t="n">
        <v>108000</v>
      </c>
      <c r="E535" s="176" t="str">
        <f aca="false">IFERROR(VLOOKUP($B535,'Unit Cost Database'!$A:$H,3,FALSE()),"LS")</f>
        <v>kVA</v>
      </c>
      <c r="F535" s="184" t="n">
        <f aca="false">IFERROR(VLOOKUP($B535,'Unit Cost Database'!$A:$H,8,FALSE()),0)</f>
        <v>25</v>
      </c>
      <c r="G535" s="179" t="n">
        <f aca="false">$F$7</f>
        <v>0.1</v>
      </c>
      <c r="H535" s="180" t="n">
        <f aca="false">IF(OR(D535="",F535="",D535=0,F535=0),0,D535*F535*$H$8*(1+G535)*(1+$H$7))</f>
        <v>3073950</v>
      </c>
      <c r="I535" s="177" t="s">
        <v>361</v>
      </c>
      <c r="J535" s="185" t="s">
        <v>77</v>
      </c>
    </row>
    <row r="536" customFormat="false" ht="15" hidden="false" customHeight="true" outlineLevel="1" collapsed="false">
      <c r="A536" s="176"/>
      <c r="B536" s="195" t="s">
        <v>1243</v>
      </c>
      <c r="C536" s="195" t="s">
        <v>1244</v>
      </c>
      <c r="D536" s="183" t="n">
        <v>0</v>
      </c>
      <c r="E536" s="176" t="str">
        <f aca="false">IFERROR(VLOOKUP($B536,'Unit Cost Database'!$A:$H,3,FALSE()),"LS")</f>
        <v>LS</v>
      </c>
      <c r="F536" s="184" t="n">
        <f aca="false">IFERROR(VLOOKUP($B536,'Unit Cost Database'!$A:$H,8,FALSE()),0)</f>
        <v>1890000</v>
      </c>
      <c r="G536" s="179" t="n">
        <f aca="false">$F$7</f>
        <v>0.1</v>
      </c>
      <c r="H536" s="180" t="n">
        <f aca="false">IF(OR(D536="",F536="",D536=0,F536=0),0,D536*F536*$H$8*(1+G536)*(1+$H$7))</f>
        <v>0</v>
      </c>
      <c r="I536" s="177" t="s">
        <v>361</v>
      </c>
      <c r="J536" s="185" t="s">
        <v>77</v>
      </c>
    </row>
    <row r="537" customFormat="false" ht="15" hidden="false" customHeight="true" outlineLevel="1" collapsed="false">
      <c r="A537" s="176"/>
      <c r="B537" s="195" t="s">
        <v>1245</v>
      </c>
      <c r="C537" s="195" t="s">
        <v>1246</v>
      </c>
      <c r="D537" s="183" t="n">
        <v>0</v>
      </c>
      <c r="E537" s="176" t="str">
        <f aca="false">IFERROR(VLOOKUP($B537,'Unit Cost Database'!$A:$H,3,FALSE()),"LS")</f>
        <v>LS</v>
      </c>
      <c r="F537" s="184" t="n">
        <f aca="false">IFERROR(VLOOKUP($B537,'Unit Cost Database'!$A:$H,8,FALSE()),0)</f>
        <v>405000</v>
      </c>
      <c r="G537" s="179" t="n">
        <f aca="false">$F$7</f>
        <v>0.1</v>
      </c>
      <c r="H537" s="180" t="n">
        <f aca="false">IF(OR(D537="",F537="",D537=0,F537=0),0,D537*F537*$H$8*(1+G537)*(1+$H$7))</f>
        <v>0</v>
      </c>
      <c r="I537" s="177" t="s">
        <v>361</v>
      </c>
      <c r="J537" s="185" t="s">
        <v>77</v>
      </c>
    </row>
    <row r="538" customFormat="false" ht="15" hidden="false" customHeight="true" outlineLevel="1" collapsed="false">
      <c r="A538" s="176"/>
      <c r="B538" s="195" t="s">
        <v>1247</v>
      </c>
      <c r="C538" s="195" t="s">
        <v>1248</v>
      </c>
      <c r="D538" s="183" t="n">
        <v>0</v>
      </c>
      <c r="E538" s="176" t="str">
        <f aca="false">IFERROR(VLOOKUP($B538,'Unit Cost Database'!$A:$H,3,FALSE()),"LS")</f>
        <v>LS</v>
      </c>
      <c r="F538" s="184" t="n">
        <f aca="false">IFERROR(VLOOKUP($B538,'Unit Cost Database'!$A:$H,8,FALSE()),0)</f>
        <v>405000</v>
      </c>
      <c r="G538" s="179" t="n">
        <f aca="false">$F$7</f>
        <v>0.1</v>
      </c>
      <c r="H538" s="180" t="n">
        <f aca="false">IF(OR(D538="",F538="",D538=0,F538=0),0,D538*F538*$H$8*(1+G538)*(1+$H$7))</f>
        <v>0</v>
      </c>
      <c r="I538" s="177" t="s">
        <v>361</v>
      </c>
      <c r="J538" s="185" t="s">
        <v>77</v>
      </c>
    </row>
    <row r="539" customFormat="false" ht="15" hidden="false" customHeight="true" outlineLevel="1" collapsed="false">
      <c r="A539" s="176" t="n">
        <v>8</v>
      </c>
      <c r="B539" s="195" t="s">
        <v>1249</v>
      </c>
      <c r="C539" s="195" t="s">
        <v>1250</v>
      </c>
      <c r="D539" s="183" t="n">
        <v>99000</v>
      </c>
      <c r="E539" s="176" t="str">
        <f aca="false">IFERROR(VLOOKUP($B539,'Unit Cost Database'!$A:$H,3,FALSE()),"LS")</f>
        <v>kVA</v>
      </c>
      <c r="F539" s="184" t="n">
        <f aca="false">IFERROR(VLOOKUP($B539,'Unit Cost Database'!$A:$H,8,FALSE()),0)</f>
        <v>24.5</v>
      </c>
      <c r="G539" s="179" t="n">
        <f aca="false">$F$7</f>
        <v>0.1</v>
      </c>
      <c r="H539" s="180" t="n">
        <f aca="false">IF(OR(D539="",F539="",D539=0,F539=0),0,D539*F539*$H$8*(1+G539)*(1+$H$7))</f>
        <v>2761431.75</v>
      </c>
      <c r="I539" s="177" t="s">
        <v>361</v>
      </c>
      <c r="J539" s="185" t="s">
        <v>77</v>
      </c>
    </row>
    <row r="540" customFormat="false" ht="15" hidden="false" customHeight="true" outlineLevel="1" collapsed="false">
      <c r="A540" s="176"/>
      <c r="B540" s="195" t="s">
        <v>1251</v>
      </c>
      <c r="C540" s="195" t="s">
        <v>1252</v>
      </c>
      <c r="D540" s="183" t="n">
        <v>0</v>
      </c>
      <c r="E540" s="176" t="str">
        <f aca="false">IFERROR(VLOOKUP($B540,'Unit Cost Database'!$A:$H,3,FALSE()),"LS")</f>
        <v>LS</v>
      </c>
      <c r="F540" s="194" t="n">
        <f aca="false">IFERROR(VLOOKUP($B540,'Unit Cost Database'!$A:$H,8,FALSE()),0)</f>
        <v>1697850</v>
      </c>
      <c r="G540" s="179" t="n">
        <f aca="false">$F$7</f>
        <v>0.1</v>
      </c>
      <c r="H540" s="180" t="n">
        <f aca="false">IF(OR(D540="",F540="",D540=0,F540=0),0,D540*F540*$H$8*(1+G540)*(1+$H$7))</f>
        <v>0</v>
      </c>
      <c r="I540" s="177" t="s">
        <v>361</v>
      </c>
      <c r="J540" s="185" t="s">
        <v>77</v>
      </c>
    </row>
    <row r="541" customFormat="false" ht="15" hidden="false" customHeight="true" outlineLevel="0" collapsed="false">
      <c r="A541" s="176"/>
      <c r="B541" s="195" t="s">
        <v>1253</v>
      </c>
      <c r="C541" s="195" t="s">
        <v>1254</v>
      </c>
      <c r="D541" s="183" t="n">
        <v>0</v>
      </c>
      <c r="E541" s="176" t="str">
        <f aca="false">IFERROR(VLOOKUP($B541,'Unit Cost Database'!$A:$H,3,FALSE()),"LS")</f>
        <v>LS</v>
      </c>
      <c r="F541" s="194" t="n">
        <f aca="false">IFERROR(VLOOKUP($B541,'Unit Cost Database'!$A:$H,8,FALSE()),0)</f>
        <v>363825</v>
      </c>
      <c r="G541" s="179" t="n">
        <f aca="false">$F$7</f>
        <v>0.1</v>
      </c>
      <c r="H541" s="180" t="n">
        <f aca="false">IF(OR(D541="",F541="",D541=0,F541=0),0,D541*F541*$H$8*(1+G541)*(1+$H$7))</f>
        <v>0</v>
      </c>
      <c r="I541" s="177" t="s">
        <v>361</v>
      </c>
      <c r="J541" s="185" t="s">
        <v>77</v>
      </c>
    </row>
    <row r="542" customFormat="false" ht="15" hidden="false" customHeight="true" outlineLevel="0" collapsed="false">
      <c r="A542" s="176"/>
      <c r="B542" s="195" t="s">
        <v>1255</v>
      </c>
      <c r="C542" s="195" t="s">
        <v>1256</v>
      </c>
      <c r="D542" s="183" t="n">
        <v>0</v>
      </c>
      <c r="E542" s="176" t="str">
        <f aca="false">IFERROR(VLOOKUP($B542,'Unit Cost Database'!$A:$H,3,FALSE()),"LS")</f>
        <v>LS</v>
      </c>
      <c r="F542" s="194" t="n">
        <f aca="false">IFERROR(VLOOKUP($B542,'Unit Cost Database'!$A:$H,8,FALSE()),0)</f>
        <v>363825</v>
      </c>
      <c r="G542" s="179" t="n">
        <f aca="false">$F$7</f>
        <v>0.1</v>
      </c>
      <c r="H542" s="180" t="n">
        <f aca="false">IF(OR(D542="",F542="",D542=0,F542=0),0,D542*F542*$H$8*(1+G542)*(1+$H$7))</f>
        <v>0</v>
      </c>
      <c r="I542" s="177" t="s">
        <v>361</v>
      </c>
      <c r="J542" s="185" t="s">
        <v>77</v>
      </c>
    </row>
    <row r="543" customFormat="false" ht="15" hidden="false" customHeight="true" outlineLevel="0" collapsed="false">
      <c r="A543" s="176" t="n">
        <v>9</v>
      </c>
      <c r="B543" s="195" t="s">
        <v>1257</v>
      </c>
      <c r="C543" s="195" t="s">
        <v>1258</v>
      </c>
      <c r="D543" s="183" t="n">
        <v>94500</v>
      </c>
      <c r="E543" s="176" t="str">
        <f aca="false">IFERROR(VLOOKUP($B543,'Unit Cost Database'!$A:$H,3,FALSE()),"LS")</f>
        <v>kVA</v>
      </c>
      <c r="F543" s="184" t="n">
        <f aca="false">IFERROR(VLOOKUP($B543,'Unit Cost Database'!$A:$H,8,FALSE()),0)</f>
        <v>21</v>
      </c>
      <c r="G543" s="179" t="n">
        <f aca="false">$F$7</f>
        <v>0.1</v>
      </c>
      <c r="H543" s="180" t="n">
        <f aca="false">IF(OR(D543="",F543="",D543=0,F543=0),0,D543*F543*$H$8*(1+G543)*(1+$H$7))</f>
        <v>2259353.25</v>
      </c>
      <c r="I543" s="177" t="s">
        <v>361</v>
      </c>
      <c r="J543" s="185" t="s">
        <v>77</v>
      </c>
    </row>
    <row r="544" customFormat="false" ht="15" hidden="false" customHeight="true" outlineLevel="1" collapsed="false">
      <c r="A544" s="176"/>
      <c r="B544" s="195" t="s">
        <v>1259</v>
      </c>
      <c r="C544" s="195" t="s">
        <v>1260</v>
      </c>
      <c r="D544" s="183" t="n">
        <v>0</v>
      </c>
      <c r="E544" s="176" t="str">
        <f aca="false">IFERROR(VLOOKUP($B544,'Unit Cost Database'!$A:$H,3,FALSE()),"LS")</f>
        <v>LS</v>
      </c>
      <c r="F544" s="184" t="n">
        <f aca="false">IFERROR(VLOOKUP($B544,'Unit Cost Database'!$A:$H,8,FALSE()),0)</f>
        <v>1389150</v>
      </c>
      <c r="G544" s="179" t="n">
        <f aca="false">$F$7</f>
        <v>0.1</v>
      </c>
      <c r="H544" s="180" t="n">
        <f aca="false">IF(OR(D544="",F544="",D544=0,F544=0),0,D544*F544*$H$8*(1+G544)*(1+$H$7))</f>
        <v>0</v>
      </c>
      <c r="I544" s="177" t="s">
        <v>361</v>
      </c>
      <c r="J544" s="185" t="s">
        <v>77</v>
      </c>
    </row>
    <row r="545" customFormat="false" ht="15" hidden="false" customHeight="true" outlineLevel="1" collapsed="false">
      <c r="A545" s="176"/>
      <c r="B545" s="195" t="s">
        <v>1261</v>
      </c>
      <c r="C545" s="195" t="s">
        <v>1262</v>
      </c>
      <c r="D545" s="183" t="n">
        <v>0</v>
      </c>
      <c r="E545" s="176" t="str">
        <f aca="false">IFERROR(VLOOKUP($B545,'Unit Cost Database'!$A:$H,3,FALSE()),"LS")</f>
        <v>LS</v>
      </c>
      <c r="F545" s="184" t="n">
        <f aca="false">IFERROR(VLOOKUP($B545,'Unit Cost Database'!$A:$H,8,FALSE()),0)</f>
        <v>297675</v>
      </c>
      <c r="G545" s="179" t="n">
        <f aca="false">$F$7</f>
        <v>0.1</v>
      </c>
      <c r="H545" s="180" t="n">
        <f aca="false">IF(OR(D545="",F545="",D545=0,F545=0),0,D545*F545*$H$8*(1+G545)*(1+$H$7))</f>
        <v>0</v>
      </c>
      <c r="I545" s="177" t="s">
        <v>361</v>
      </c>
      <c r="J545" s="185" t="s">
        <v>77</v>
      </c>
    </row>
    <row r="546" customFormat="false" ht="15" hidden="false" customHeight="true" outlineLevel="1" collapsed="false">
      <c r="A546" s="176"/>
      <c r="B546" s="195" t="s">
        <v>1263</v>
      </c>
      <c r="C546" s="195" t="s">
        <v>1264</v>
      </c>
      <c r="D546" s="183" t="n">
        <v>0</v>
      </c>
      <c r="E546" s="176" t="str">
        <f aca="false">IFERROR(VLOOKUP($B546,'Unit Cost Database'!$A:$H,3,FALSE()),"LS")</f>
        <v>LS</v>
      </c>
      <c r="F546" s="184" t="n">
        <f aca="false">IFERROR(VLOOKUP($B546,'Unit Cost Database'!$A:$H,8,FALSE()),0)</f>
        <v>297675</v>
      </c>
      <c r="G546" s="179" t="n">
        <f aca="false">$F$7</f>
        <v>0.1</v>
      </c>
      <c r="H546" s="180" t="n">
        <f aca="false">IF(OR(D546="",F546="",D546=0,F546=0),0,D546*F546*$H$8*(1+G546)*(1+$H$7))</f>
        <v>0</v>
      </c>
      <c r="I546" s="177" t="s">
        <v>361</v>
      </c>
      <c r="J546" s="185" t="s">
        <v>77</v>
      </c>
    </row>
    <row r="547" customFormat="false" ht="15" hidden="false" customHeight="true" outlineLevel="1" collapsed="false">
      <c r="A547" s="176" t="n">
        <v>10</v>
      </c>
      <c r="B547" s="195" t="s">
        <v>1265</v>
      </c>
      <c r="C547" s="195" t="s">
        <v>1266</v>
      </c>
      <c r="D547" s="183" t="n">
        <v>30</v>
      </c>
      <c r="E547" s="176" t="str">
        <f aca="false">IFERROR(VLOOKUP($B547,'Unit Cost Database'!$A:$H,3,FALSE()),"LS")</f>
        <v>EA</v>
      </c>
      <c r="F547" s="184" t="n">
        <f aca="false">IFERROR(VLOOKUP($B547,'Unit Cost Database'!$A:$H,8,FALSE()),0)</f>
        <v>245000</v>
      </c>
      <c r="G547" s="179" t="n">
        <f aca="false">$F$7</f>
        <v>0.1</v>
      </c>
      <c r="H547" s="180" t="n">
        <f aca="false">IF(OR(D547="",F547="",D547=0,F547=0),0,D547*F547*$H$8*(1+G547)*(1+$H$7))</f>
        <v>8367975</v>
      </c>
      <c r="I547" s="177" t="s">
        <v>361</v>
      </c>
      <c r="J547" s="185" t="s">
        <v>77</v>
      </c>
    </row>
    <row r="548" customFormat="false" ht="15" hidden="false" customHeight="true" outlineLevel="1" collapsed="false">
      <c r="A548" s="176"/>
      <c r="B548" s="195" t="s">
        <v>1267</v>
      </c>
      <c r="C548" s="195" t="s">
        <v>1268</v>
      </c>
      <c r="D548" s="183" t="n">
        <v>0</v>
      </c>
      <c r="E548" s="176" t="str">
        <f aca="false">IFERROR(VLOOKUP($B548,'Unit Cost Database'!$A:$H,3,FALSE()),"LS")</f>
        <v>LS</v>
      </c>
      <c r="F548" s="184" t="n">
        <f aca="false">IFERROR(VLOOKUP($B548,'Unit Cost Database'!$A:$H,8,FALSE()),0)</f>
        <v>4998000</v>
      </c>
      <c r="G548" s="179" t="n">
        <f aca="false">$F$7</f>
        <v>0.1</v>
      </c>
      <c r="H548" s="180" t="n">
        <f aca="false">IF(OR(D548="",F548="",D548=0,F548=0),0,D548*F548*$H$8*(1+G548)*(1+$H$7))</f>
        <v>0</v>
      </c>
      <c r="I548" s="177" t="s">
        <v>361</v>
      </c>
      <c r="J548" s="185" t="s">
        <v>77</v>
      </c>
    </row>
    <row r="549" customFormat="false" ht="15" hidden="false" customHeight="true" outlineLevel="1" collapsed="false">
      <c r="A549" s="176"/>
      <c r="B549" s="195" t="s">
        <v>1269</v>
      </c>
      <c r="C549" s="195" t="s">
        <v>1270</v>
      </c>
      <c r="D549" s="183" t="n">
        <v>0</v>
      </c>
      <c r="E549" s="176" t="str">
        <f aca="false">IFERROR(VLOOKUP($B549,'Unit Cost Database'!$A:$H,3,FALSE()),"LS")</f>
        <v>LS</v>
      </c>
      <c r="F549" s="184" t="n">
        <f aca="false">IFERROR(VLOOKUP($B549,'Unit Cost Database'!$A:$H,8,FALSE()),0)</f>
        <v>1470000</v>
      </c>
      <c r="G549" s="179" t="n">
        <f aca="false">$F$7</f>
        <v>0.1</v>
      </c>
      <c r="H549" s="180" t="n">
        <f aca="false">IF(OR(D549="",F549="",D549=0,F549=0),0,D549*F549*$H$8*(1+G549)*(1+$H$7))</f>
        <v>0</v>
      </c>
      <c r="I549" s="177" t="s">
        <v>361</v>
      </c>
      <c r="J549" s="185" t="s">
        <v>77</v>
      </c>
    </row>
    <row r="550" customFormat="false" ht="15" hidden="false" customHeight="true" outlineLevel="1" collapsed="false">
      <c r="A550" s="176"/>
      <c r="B550" s="195" t="s">
        <v>1271</v>
      </c>
      <c r="C550" s="195" t="s">
        <v>1272</v>
      </c>
      <c r="D550" s="183" t="n">
        <v>0</v>
      </c>
      <c r="E550" s="176" t="str">
        <f aca="false">IFERROR(VLOOKUP($B550,'Unit Cost Database'!$A:$H,3,FALSE()),"LS")</f>
        <v>LS</v>
      </c>
      <c r="F550" s="184" t="n">
        <f aca="false">IFERROR(VLOOKUP($B550,'Unit Cost Database'!$A:$H,8,FALSE()),0)</f>
        <v>882000</v>
      </c>
      <c r="G550" s="179" t="n">
        <f aca="false">$F$7</f>
        <v>0.1</v>
      </c>
      <c r="H550" s="180" t="n">
        <f aca="false">IF(OR(D550="",F550="",D550=0,F550=0),0,D550*F550*$H$8*(1+G550)*(1+$H$7))</f>
        <v>0</v>
      </c>
      <c r="I550" s="177" t="s">
        <v>361</v>
      </c>
      <c r="J550" s="185" t="s">
        <v>77</v>
      </c>
    </row>
    <row r="551" customFormat="false" ht="15" hidden="false" customHeight="true" outlineLevel="1" collapsed="false">
      <c r="A551" s="176" t="n">
        <v>11</v>
      </c>
      <c r="B551" s="195" t="s">
        <v>1273</v>
      </c>
      <c r="C551" s="195" t="s">
        <v>1274</v>
      </c>
      <c r="D551" s="183" t="n">
        <v>45</v>
      </c>
      <c r="E551" s="176" t="str">
        <f aca="false">IFERROR(VLOOKUP($B551,'Unit Cost Database'!$A:$H,3,FALSE()),"LS")</f>
        <v>EA</v>
      </c>
      <c r="F551" s="184" t="n">
        <f aca="false">IFERROR(VLOOKUP($B551,'Unit Cost Database'!$A:$H,8,FALSE()),0)</f>
        <v>52500</v>
      </c>
      <c r="G551" s="179" t="n">
        <f aca="false">$F$7</f>
        <v>0.1</v>
      </c>
      <c r="H551" s="180" t="n">
        <f aca="false">IF(OR(D551="",F551="",D551=0,F551=0),0,D551*F551*$H$8*(1+G551)*(1+$H$7))</f>
        <v>2689706.25</v>
      </c>
      <c r="I551" s="177" t="s">
        <v>361</v>
      </c>
      <c r="J551" s="185" t="s">
        <v>77</v>
      </c>
    </row>
    <row r="552" customFormat="false" ht="15" hidden="false" customHeight="true" outlineLevel="1" collapsed="false">
      <c r="A552" s="176"/>
      <c r="B552" s="195" t="s">
        <v>1275</v>
      </c>
      <c r="C552" s="195" t="s">
        <v>1276</v>
      </c>
      <c r="D552" s="183" t="n">
        <v>0</v>
      </c>
      <c r="E552" s="176" t="str">
        <f aca="false">IFERROR(VLOOKUP($B552,'Unit Cost Database'!$A:$H,3,FALSE()),"LS")</f>
        <v>LS</v>
      </c>
      <c r="F552" s="184" t="n">
        <f aca="false">IFERROR(VLOOKUP($B552,'Unit Cost Database'!$A:$H,8,FALSE()),0)</f>
        <v>1606500</v>
      </c>
      <c r="G552" s="179" t="n">
        <f aca="false">$F$7</f>
        <v>0.1</v>
      </c>
      <c r="H552" s="180" t="n">
        <f aca="false">IF(OR(D552="",F552="",D552=0,F552=0),0,D552*F552*$H$8*(1+G552)*(1+$H$7))</f>
        <v>0</v>
      </c>
      <c r="I552" s="177" t="s">
        <v>361</v>
      </c>
      <c r="J552" s="185" t="s">
        <v>77</v>
      </c>
    </row>
    <row r="553" customFormat="false" ht="15" hidden="false" customHeight="true" outlineLevel="1" collapsed="false">
      <c r="A553" s="176"/>
      <c r="B553" s="195" t="s">
        <v>1277</v>
      </c>
      <c r="C553" s="195" t="s">
        <v>1278</v>
      </c>
      <c r="D553" s="183" t="n">
        <v>0</v>
      </c>
      <c r="E553" s="176" t="str">
        <f aca="false">IFERROR(VLOOKUP($B553,'Unit Cost Database'!$A:$H,3,FALSE()),"LS")</f>
        <v>LS</v>
      </c>
      <c r="F553" s="184" t="n">
        <f aca="false">IFERROR(VLOOKUP($B553,'Unit Cost Database'!$A:$H,8,FALSE()),0)</f>
        <v>401625</v>
      </c>
      <c r="G553" s="179" t="n">
        <f aca="false">$F$7</f>
        <v>0.1</v>
      </c>
      <c r="H553" s="180" t="n">
        <f aca="false">IF(OR(D553="",F553="",D553=0,F553=0),0,D553*F553*$H$8*(1+G553)*(1+$H$7))</f>
        <v>0</v>
      </c>
      <c r="I553" s="177" t="s">
        <v>361</v>
      </c>
      <c r="J553" s="185" t="s">
        <v>77</v>
      </c>
    </row>
    <row r="554" customFormat="false" ht="15" hidden="false" customHeight="true" outlineLevel="1" collapsed="false">
      <c r="A554" s="176"/>
      <c r="B554" s="195" t="s">
        <v>1279</v>
      </c>
      <c r="C554" s="195" t="s">
        <v>1280</v>
      </c>
      <c r="D554" s="183" t="n">
        <v>0</v>
      </c>
      <c r="E554" s="176" t="str">
        <f aca="false">IFERROR(VLOOKUP($B554,'Unit Cost Database'!$A:$H,3,FALSE()),"LS")</f>
        <v>LS</v>
      </c>
      <c r="F554" s="184" t="n">
        <f aca="false">IFERROR(VLOOKUP($B554,'Unit Cost Database'!$A:$H,8,FALSE()),0)</f>
        <v>354375</v>
      </c>
      <c r="G554" s="179" t="n">
        <f aca="false">$F$7</f>
        <v>0.1</v>
      </c>
      <c r="H554" s="180" t="n">
        <f aca="false">IF(OR(D554="",F554="",D554=0,F554=0),0,D554*F554*$H$8*(1+G554)*(1+$H$7))</f>
        <v>0</v>
      </c>
      <c r="I554" s="177" t="s">
        <v>361</v>
      </c>
      <c r="J554" s="185" t="s">
        <v>77</v>
      </c>
    </row>
    <row r="555" customFormat="false" ht="15" hidden="false" customHeight="true" outlineLevel="1" collapsed="false">
      <c r="A555" s="176" t="n">
        <v>12</v>
      </c>
      <c r="B555" s="195" t="s">
        <v>1281</v>
      </c>
      <c r="C555" s="195" t="s">
        <v>1282</v>
      </c>
      <c r="D555" s="183" t="n">
        <v>360</v>
      </c>
      <c r="E555" s="176" t="str">
        <f aca="false">IFERROR(VLOOKUP($B555,'Unit Cost Database'!$A:$H,3,FALSE()),"LS")</f>
        <v>EA</v>
      </c>
      <c r="F555" s="184" t="n">
        <f aca="false">IFERROR(VLOOKUP($B555,'Unit Cost Database'!$A:$H,8,FALSE()),0)</f>
        <v>17500</v>
      </c>
      <c r="G555" s="179" t="n">
        <f aca="false">$F$7</f>
        <v>0.1</v>
      </c>
      <c r="H555" s="180" t="n">
        <f aca="false">IF(OR(D555="",F555="",D555=0,F555=0),0,D555*F555*$H$8*(1+G555)*(1+$H$7))</f>
        <v>7172550</v>
      </c>
      <c r="I555" s="177" t="s">
        <v>361</v>
      </c>
      <c r="J555" s="185" t="s">
        <v>77</v>
      </c>
    </row>
    <row r="556" customFormat="false" ht="15" hidden="false" customHeight="true" outlineLevel="1" collapsed="false">
      <c r="A556" s="176"/>
      <c r="B556" s="195" t="s">
        <v>1283</v>
      </c>
      <c r="C556" s="195" t="s">
        <v>1284</v>
      </c>
      <c r="D556" s="183" t="n">
        <v>0</v>
      </c>
      <c r="E556" s="176" t="str">
        <f aca="false">IFERROR(VLOOKUP($B556,'Unit Cost Database'!$A:$H,3,FALSE()),"LS")</f>
        <v>LS</v>
      </c>
      <c r="F556" s="194" t="n">
        <f aca="false">IFERROR(VLOOKUP($B556,'Unit Cost Database'!$A:$H,8,FALSE()),0)</f>
        <v>3906000</v>
      </c>
      <c r="G556" s="179" t="n">
        <f aca="false">$F$7</f>
        <v>0.1</v>
      </c>
      <c r="H556" s="180" t="n">
        <f aca="false">IF(OR(D556="",F556="",D556=0,F556=0),0,D556*F556*$H$8*(1+G556)*(1+$H$7))</f>
        <v>0</v>
      </c>
      <c r="I556" s="177" t="s">
        <v>361</v>
      </c>
      <c r="J556" s="185" t="s">
        <v>77</v>
      </c>
    </row>
    <row r="557" customFormat="false" ht="15" hidden="false" customHeight="true" outlineLevel="1" collapsed="false">
      <c r="A557" s="176"/>
      <c r="B557" s="195" t="s">
        <v>1285</v>
      </c>
      <c r="C557" s="195" t="s">
        <v>1286</v>
      </c>
      <c r="D557" s="183" t="n">
        <v>0</v>
      </c>
      <c r="E557" s="176" t="str">
        <f aca="false">IFERROR(VLOOKUP($B557,'Unit Cost Database'!$A:$H,3,FALSE()),"LS")</f>
        <v>LS</v>
      </c>
      <c r="F557" s="194" t="n">
        <f aca="false">IFERROR(VLOOKUP($B557,'Unit Cost Database'!$A:$H,8,FALSE()),0)</f>
        <v>1386000</v>
      </c>
      <c r="G557" s="179" t="n">
        <f aca="false">$F$7</f>
        <v>0.1</v>
      </c>
      <c r="H557" s="180" t="n">
        <f aca="false">IF(OR(D557="",F557="",D557=0,F557=0),0,D557*F557*$H$8*(1+G557)*(1+$H$7))</f>
        <v>0</v>
      </c>
      <c r="I557" s="177" t="s">
        <v>361</v>
      </c>
      <c r="J557" s="185" t="s">
        <v>77</v>
      </c>
    </row>
    <row r="558" customFormat="false" ht="15" hidden="false" customHeight="true" outlineLevel="1" collapsed="false">
      <c r="A558" s="176"/>
      <c r="B558" s="195" t="s">
        <v>1287</v>
      </c>
      <c r="C558" s="195" t="s">
        <v>1288</v>
      </c>
      <c r="D558" s="183" t="n">
        <v>0</v>
      </c>
      <c r="E558" s="176" t="str">
        <f aca="false">IFERROR(VLOOKUP($B558,'Unit Cost Database'!$A:$H,3,FALSE()),"LS")</f>
        <v>LS</v>
      </c>
      <c r="F558" s="194" t="n">
        <f aca="false">IFERROR(VLOOKUP($B558,'Unit Cost Database'!$A:$H,8,FALSE()),0)</f>
        <v>1008000</v>
      </c>
      <c r="G558" s="179" t="n">
        <f aca="false">$F$7</f>
        <v>0.1</v>
      </c>
      <c r="H558" s="180" t="n">
        <f aca="false">IF(OR(D558="",F558="",D558=0,F558=0),0,D558*F558*$H$8*(1+G558)*(1+$H$7))</f>
        <v>0</v>
      </c>
      <c r="I558" s="177" t="s">
        <v>361</v>
      </c>
      <c r="J558" s="185" t="s">
        <v>77</v>
      </c>
    </row>
    <row r="559" customFormat="false" ht="15" hidden="false" customHeight="true" outlineLevel="1" collapsed="false">
      <c r="A559" s="176" t="n">
        <v>13</v>
      </c>
      <c r="B559" s="195" t="s">
        <v>1289</v>
      </c>
      <c r="C559" s="195" t="s">
        <v>1290</v>
      </c>
      <c r="D559" s="183" t="n">
        <v>720</v>
      </c>
      <c r="E559" s="176" t="str">
        <f aca="false">IFERROR(VLOOKUP($B559,'Unit Cost Database'!$A:$H,3,FALSE()),"LS")</f>
        <v>EA</v>
      </c>
      <c r="F559" s="184" t="n">
        <f aca="false">IFERROR(VLOOKUP($B559,'Unit Cost Database'!$A:$H,8,FALSE()),0)</f>
        <v>8400</v>
      </c>
      <c r="G559" s="179" t="n">
        <f aca="false">$F$7</f>
        <v>0.1</v>
      </c>
      <c r="H559" s="180" t="n">
        <f aca="false">IF(OR(D559="",F559="",D559=0,F559=0),0,D559*F559*$H$8*(1+G559)*(1+$H$7))</f>
        <v>6885648</v>
      </c>
      <c r="I559" s="177" t="s">
        <v>361</v>
      </c>
      <c r="J559" s="185" t="s">
        <v>77</v>
      </c>
    </row>
    <row r="560" customFormat="false" ht="15" hidden="false" customHeight="true" outlineLevel="1" collapsed="false">
      <c r="A560" s="176"/>
      <c r="B560" s="195" t="s">
        <v>1291</v>
      </c>
      <c r="C560" s="195" t="s">
        <v>1292</v>
      </c>
      <c r="D560" s="183" t="n">
        <v>0</v>
      </c>
      <c r="E560" s="176" t="str">
        <f aca="false">IFERROR(VLOOKUP($B560,'Unit Cost Database'!$A:$H,3,FALSE()),"LS")</f>
        <v>LS</v>
      </c>
      <c r="F560" s="184" t="n">
        <f aca="false">IFERROR(VLOOKUP($B560,'Unit Cost Database'!$A:$H,8,FALSE()),0)</f>
        <v>3628800</v>
      </c>
      <c r="G560" s="179" t="n">
        <f aca="false">$F$7</f>
        <v>0.1</v>
      </c>
      <c r="H560" s="180" t="n">
        <f aca="false">IF(OR(D560="",F560="",D560=0,F560=0),0,D560*F560*$H$8*(1+G560)*(1+$H$7))</f>
        <v>0</v>
      </c>
      <c r="I560" s="177" t="s">
        <v>361</v>
      </c>
      <c r="J560" s="185" t="s">
        <v>77</v>
      </c>
    </row>
    <row r="561" customFormat="false" ht="15" hidden="false" customHeight="true" outlineLevel="1" collapsed="false">
      <c r="A561" s="176"/>
      <c r="B561" s="195" t="s">
        <v>1293</v>
      </c>
      <c r="C561" s="195" t="s">
        <v>1294</v>
      </c>
      <c r="D561" s="183" t="n">
        <v>0</v>
      </c>
      <c r="E561" s="176" t="str">
        <f aca="false">IFERROR(VLOOKUP($B561,'Unit Cost Database'!$A:$H,3,FALSE()),"LS")</f>
        <v>LS</v>
      </c>
      <c r="F561" s="184" t="n">
        <f aca="false">IFERROR(VLOOKUP($B561,'Unit Cost Database'!$A:$H,8,FALSE()),0)</f>
        <v>1330560</v>
      </c>
      <c r="G561" s="179" t="n">
        <f aca="false">$F$7</f>
        <v>0.1</v>
      </c>
      <c r="H561" s="180" t="n">
        <f aca="false">IF(OR(D561="",F561="",D561=0,F561=0),0,D561*F561*$H$8*(1+G561)*(1+$H$7))</f>
        <v>0</v>
      </c>
      <c r="I561" s="177" t="s">
        <v>361</v>
      </c>
      <c r="J561" s="185" t="s">
        <v>77</v>
      </c>
    </row>
    <row r="562" customFormat="false" ht="15" hidden="false" customHeight="true" outlineLevel="1" collapsed="false">
      <c r="A562" s="176"/>
      <c r="B562" s="195" t="s">
        <v>1295</v>
      </c>
      <c r="C562" s="195" t="s">
        <v>1296</v>
      </c>
      <c r="D562" s="183" t="n">
        <v>0</v>
      </c>
      <c r="E562" s="176" t="str">
        <f aca="false">IFERROR(VLOOKUP($B562,'Unit Cost Database'!$A:$H,3,FALSE()),"LS")</f>
        <v>LS</v>
      </c>
      <c r="F562" s="184" t="n">
        <f aca="false">IFERROR(VLOOKUP($B562,'Unit Cost Database'!$A:$H,8,FALSE()),0)</f>
        <v>1088640</v>
      </c>
      <c r="G562" s="179" t="n">
        <f aca="false">$F$7</f>
        <v>0.1</v>
      </c>
      <c r="H562" s="180" t="n">
        <f aca="false">IF(OR(D562="",F562="",D562=0,F562=0),0,D562*F562*$H$8*(1+G562)*(1+$H$7))</f>
        <v>0</v>
      </c>
      <c r="I562" s="177" t="s">
        <v>361</v>
      </c>
      <c r="J562" s="185" t="s">
        <v>77</v>
      </c>
    </row>
    <row r="563" customFormat="false" ht="15" hidden="false" customHeight="true" outlineLevel="1" collapsed="false">
      <c r="A563" s="176" t="n">
        <v>14</v>
      </c>
      <c r="B563" s="195" t="s">
        <v>1297</v>
      </c>
      <c r="C563" s="195" t="s">
        <v>1298</v>
      </c>
      <c r="D563" s="183" t="n">
        <v>112500</v>
      </c>
      <c r="E563" s="176" t="str">
        <f aca="false">IFERROR(VLOOKUP($B563,'Unit Cost Database'!$A:$H,3,FALSE()),"LS")</f>
        <v>kW</v>
      </c>
      <c r="F563" s="184" t="n">
        <f aca="false">IFERROR(VLOOKUP($B563,'Unit Cost Database'!$A:$H,8,FALSE()),0)</f>
        <v>200</v>
      </c>
      <c r="G563" s="179" t="n">
        <f aca="false">$F$7</f>
        <v>0.1</v>
      </c>
      <c r="H563" s="180" t="n">
        <f aca="false">IF(OR(D563="",F563="",D563=0,F563=0),0,D563*F563*$H$8*(1+G563)*(1+$H$7))</f>
        <v>25616250</v>
      </c>
      <c r="I563" s="177" t="s">
        <v>361</v>
      </c>
      <c r="J563" s="185" t="s">
        <v>77</v>
      </c>
    </row>
    <row r="564" customFormat="false" ht="15" hidden="false" customHeight="true" outlineLevel="1" collapsed="false">
      <c r="A564" s="176"/>
      <c r="B564" s="195" t="s">
        <v>1299</v>
      </c>
      <c r="C564" s="195" t="s">
        <v>1300</v>
      </c>
      <c r="D564" s="183" t="n">
        <v>0</v>
      </c>
      <c r="E564" s="176" t="str">
        <f aca="false">IFERROR(VLOOKUP($B564,'Unit Cost Database'!$A:$H,3,FALSE()),"LS")</f>
        <v>LS</v>
      </c>
      <c r="F564" s="184" t="n">
        <f aca="false">IFERROR(VLOOKUP($B564,'Unit Cost Database'!$A:$H,8,FALSE()),0)</f>
        <v>13500000</v>
      </c>
      <c r="G564" s="179" t="n">
        <f aca="false">$F$7</f>
        <v>0.1</v>
      </c>
      <c r="H564" s="180" t="n">
        <f aca="false">IF(OR(D564="",F564="",D564=0,F564=0),0,D564*F564*$H$8*(1+G564)*(1+$H$7))</f>
        <v>0</v>
      </c>
      <c r="I564" s="177" t="s">
        <v>361</v>
      </c>
      <c r="J564" s="185" t="s">
        <v>77</v>
      </c>
    </row>
    <row r="565" customFormat="false" ht="15" hidden="false" customHeight="true" outlineLevel="1" collapsed="false">
      <c r="A565" s="176"/>
      <c r="B565" s="195" t="s">
        <v>1301</v>
      </c>
      <c r="C565" s="195" t="s">
        <v>1302</v>
      </c>
      <c r="D565" s="183" t="n">
        <v>0</v>
      </c>
      <c r="E565" s="176" t="str">
        <f aca="false">IFERROR(VLOOKUP($B565,'Unit Cost Database'!$A:$H,3,FALSE()),"LS")</f>
        <v>LS</v>
      </c>
      <c r="F565" s="184" t="n">
        <f aca="false">IFERROR(VLOOKUP($B565,'Unit Cost Database'!$A:$H,8,FALSE()),0)</f>
        <v>3375000</v>
      </c>
      <c r="G565" s="179" t="n">
        <f aca="false">$F$7</f>
        <v>0.1</v>
      </c>
      <c r="H565" s="180" t="n">
        <f aca="false">IF(OR(D565="",F565="",D565=0,F565=0),0,D565*F565*$H$8*(1+G565)*(1+$H$7))</f>
        <v>0</v>
      </c>
      <c r="I565" s="177" t="s">
        <v>361</v>
      </c>
      <c r="J565" s="185" t="s">
        <v>77</v>
      </c>
    </row>
    <row r="566" customFormat="false" ht="15" hidden="false" customHeight="true" outlineLevel="1" collapsed="false">
      <c r="A566" s="176"/>
      <c r="B566" s="195" t="s">
        <v>1303</v>
      </c>
      <c r="C566" s="195" t="s">
        <v>1304</v>
      </c>
      <c r="D566" s="183" t="n">
        <v>0</v>
      </c>
      <c r="E566" s="176" t="str">
        <f aca="false">IFERROR(VLOOKUP($B566,'Unit Cost Database'!$A:$H,3,FALSE()),"LS")</f>
        <v>LS</v>
      </c>
      <c r="F566" s="184" t="n">
        <f aca="false">IFERROR(VLOOKUP($B566,'Unit Cost Database'!$A:$H,8,FALSE()),0)</f>
        <v>3375000</v>
      </c>
      <c r="G566" s="179" t="n">
        <f aca="false">$F$7</f>
        <v>0.1</v>
      </c>
      <c r="H566" s="180" t="n">
        <f aca="false">IF(OR(D566="",F566="",D566=0,F566=0),0,D566*F566*$H$8*(1+G566)*(1+$H$7))</f>
        <v>0</v>
      </c>
      <c r="I566" s="177" t="s">
        <v>361</v>
      </c>
      <c r="J566" s="185" t="s">
        <v>77</v>
      </c>
    </row>
    <row r="567" customFormat="false" ht="15" hidden="false" customHeight="true" outlineLevel="1" collapsed="false">
      <c r="A567" s="176"/>
      <c r="B567" s="195" t="s">
        <v>1305</v>
      </c>
      <c r="C567" s="195" t="s">
        <v>1306</v>
      </c>
      <c r="D567" s="183" t="n">
        <v>0</v>
      </c>
      <c r="E567" s="176" t="str">
        <f aca="false">IFERROR(VLOOKUP($B567,'Unit Cost Database'!$A:$H,3,FALSE()),"LS")</f>
        <v>LS</v>
      </c>
      <c r="F567" s="184" t="n">
        <f aca="false">IFERROR(VLOOKUP($B567,'Unit Cost Database'!$A:$H,8,FALSE()),0)</f>
        <v>2250000</v>
      </c>
      <c r="G567" s="179" t="n">
        <f aca="false">$F$7</f>
        <v>0.1</v>
      </c>
      <c r="H567" s="180" t="n">
        <f aca="false">IF(OR(D567="",F567="",D567=0,F567=0),0,D567*F567*$H$8*(1+G567)*(1+$H$7))</f>
        <v>0</v>
      </c>
      <c r="I567" s="177" t="s">
        <v>361</v>
      </c>
      <c r="J567" s="185" t="s">
        <v>77</v>
      </c>
    </row>
    <row r="568" customFormat="false" ht="15" hidden="false" customHeight="true" outlineLevel="0" collapsed="false">
      <c r="A568" s="176" t="n">
        <v>15</v>
      </c>
      <c r="B568" s="195" t="s">
        <v>1307</v>
      </c>
      <c r="C568" s="195" t="s">
        <v>1308</v>
      </c>
      <c r="D568" s="183" t="n">
        <v>112500</v>
      </c>
      <c r="E568" s="176" t="str">
        <f aca="false">IFERROR(VLOOKUP($B568,'Unit Cost Database'!$A:$H,3,FALSE()),"LS")</f>
        <v>kW</v>
      </c>
      <c r="F568" s="184" t="n">
        <f aca="false">IFERROR(VLOOKUP($B568,'Unit Cost Database'!$A:$H,8,FALSE()),0)</f>
        <v>70</v>
      </c>
      <c r="G568" s="179" t="n">
        <f aca="false">$F$7</f>
        <v>0.1</v>
      </c>
      <c r="H568" s="180" t="n">
        <f aca="false">IF(OR(D568="",F568="",D568=0,F568=0),0,D568*F568*$H$8*(1+G568)*(1+$H$7))</f>
        <v>8965687.5</v>
      </c>
      <c r="I568" s="177" t="s">
        <v>361</v>
      </c>
      <c r="J568" s="185" t="s">
        <v>77</v>
      </c>
    </row>
    <row r="569" customFormat="false" ht="15" hidden="false" customHeight="true" outlineLevel="0" collapsed="false">
      <c r="A569" s="176"/>
      <c r="B569" s="195" t="s">
        <v>1309</v>
      </c>
      <c r="C569" s="195" t="s">
        <v>1310</v>
      </c>
      <c r="D569" s="183" t="n">
        <v>0</v>
      </c>
      <c r="E569" s="176" t="str">
        <f aca="false">IFERROR(VLOOKUP($B569,'Unit Cost Database'!$A:$H,3,FALSE()),"LS")</f>
        <v>LS</v>
      </c>
      <c r="F569" s="194" t="n">
        <f aca="false">IFERROR(VLOOKUP($B569,'Unit Cost Database'!$A:$H,8,FALSE()),0)</f>
        <v>4882500</v>
      </c>
      <c r="G569" s="179" t="n">
        <f aca="false">$F$7</f>
        <v>0.1</v>
      </c>
      <c r="H569" s="180" t="n">
        <f aca="false">IF(OR(D569="",F569="",D569=0,F569=0),0,D569*F569*$H$8*(1+G569)*(1+$H$7))</f>
        <v>0</v>
      </c>
      <c r="I569" s="177" t="s">
        <v>361</v>
      </c>
      <c r="J569" s="185" t="s">
        <v>77</v>
      </c>
    </row>
    <row r="570" customFormat="false" ht="15" hidden="false" customHeight="true" outlineLevel="0" collapsed="false">
      <c r="A570" s="176"/>
      <c r="B570" s="195" t="s">
        <v>1311</v>
      </c>
      <c r="C570" s="195" t="s">
        <v>1312</v>
      </c>
      <c r="D570" s="183" t="n">
        <v>0</v>
      </c>
      <c r="E570" s="176" t="str">
        <f aca="false">IFERROR(VLOOKUP($B570,'Unit Cost Database'!$A:$H,3,FALSE()),"LS")</f>
        <v>LS</v>
      </c>
      <c r="F570" s="194" t="n">
        <f aca="false">IFERROR(VLOOKUP($B570,'Unit Cost Database'!$A:$H,8,FALSE()),0)</f>
        <v>1575000</v>
      </c>
      <c r="G570" s="179" t="n">
        <f aca="false">$F$7</f>
        <v>0.1</v>
      </c>
      <c r="H570" s="180" t="n">
        <f aca="false">IF(OR(D570="",F570="",D570=0,F570=0),0,D570*F570*$H$8*(1+G570)*(1+$H$7))</f>
        <v>0</v>
      </c>
      <c r="I570" s="177" t="s">
        <v>361</v>
      </c>
      <c r="J570" s="185" t="s">
        <v>77</v>
      </c>
    </row>
    <row r="571" customFormat="false" ht="15" hidden="false" customHeight="true" outlineLevel="1" collapsed="false">
      <c r="A571" s="176"/>
      <c r="B571" s="195" t="s">
        <v>1313</v>
      </c>
      <c r="C571" s="195" t="s">
        <v>1314</v>
      </c>
      <c r="D571" s="183" t="n">
        <v>0</v>
      </c>
      <c r="E571" s="176" t="str">
        <f aca="false">IFERROR(VLOOKUP($B571,'Unit Cost Database'!$A:$H,3,FALSE()),"LS")</f>
        <v>LS</v>
      </c>
      <c r="F571" s="194" t="n">
        <f aca="false">IFERROR(VLOOKUP($B571,'Unit Cost Database'!$A:$H,8,FALSE()),0)</f>
        <v>1417500</v>
      </c>
      <c r="G571" s="179" t="n">
        <f aca="false">$F$7</f>
        <v>0.1</v>
      </c>
      <c r="H571" s="180" t="n">
        <f aca="false">IF(OR(D571="",F571="",D571=0,F571=0),0,D571*F571*$H$8*(1+G571)*(1+$H$7))</f>
        <v>0</v>
      </c>
      <c r="I571" s="177" t="s">
        <v>361</v>
      </c>
      <c r="J571" s="185" t="s">
        <v>77</v>
      </c>
    </row>
    <row r="572" customFormat="false" ht="15" hidden="false" customHeight="true" outlineLevel="1" collapsed="false">
      <c r="A572" s="176" t="n">
        <v>16</v>
      </c>
      <c r="B572" s="195" t="s">
        <v>1315</v>
      </c>
      <c r="C572" s="195" t="s">
        <v>1316</v>
      </c>
      <c r="D572" s="183" t="n">
        <v>56.25</v>
      </c>
      <c r="E572" s="176" t="str">
        <f aca="false">IFERROR(VLOOKUP($B572,'Unit Cost Database'!$A:$H,3,FALSE()),"LS")</f>
        <v>EA</v>
      </c>
      <c r="F572" s="184" t="n">
        <f aca="false">IFERROR(VLOOKUP($B572,'Unit Cost Database'!$A:$H,8,FALSE()),0)</f>
        <v>52500</v>
      </c>
      <c r="G572" s="179" t="n">
        <f aca="false">$F$7</f>
        <v>0.1</v>
      </c>
      <c r="H572" s="180" t="n">
        <f aca="false">IF(OR(D572="",F572="",D572=0,F572=0),0,D572*F572*$H$8*(1+G572)*(1+$H$7))</f>
        <v>3362132.8125</v>
      </c>
      <c r="I572" s="177" t="s">
        <v>361</v>
      </c>
      <c r="J572" s="185" t="s">
        <v>77</v>
      </c>
    </row>
    <row r="573" customFormat="false" ht="15" hidden="false" customHeight="true" outlineLevel="1" collapsed="false">
      <c r="A573" s="176"/>
      <c r="B573" s="195" t="s">
        <v>1317</v>
      </c>
      <c r="C573" s="195" t="s">
        <v>1318</v>
      </c>
      <c r="D573" s="183" t="n">
        <v>0</v>
      </c>
      <c r="E573" s="176" t="str">
        <f aca="false">IFERROR(VLOOKUP($B573,'Unit Cost Database'!$A:$H,3,FALSE()),"LS")</f>
        <v>LS</v>
      </c>
      <c r="F573" s="194" t="n">
        <f aca="false">IFERROR(VLOOKUP($B573,'Unit Cost Database'!$A:$H,8,FALSE()),0)</f>
        <v>1624218.75</v>
      </c>
      <c r="G573" s="179" t="n">
        <f aca="false">$F$7</f>
        <v>0.1</v>
      </c>
      <c r="H573" s="180" t="n">
        <f aca="false">IF(OR(D573="",F573="",D573=0,F573=0),0,D573*F573*$H$8*(1+G573)*(1+$H$7))</f>
        <v>0</v>
      </c>
      <c r="I573" s="177" t="s">
        <v>361</v>
      </c>
      <c r="J573" s="185" t="s">
        <v>77</v>
      </c>
    </row>
    <row r="574" customFormat="false" ht="15" hidden="false" customHeight="true" outlineLevel="1" collapsed="false">
      <c r="A574" s="176"/>
      <c r="B574" s="195" t="s">
        <v>1319</v>
      </c>
      <c r="C574" s="195" t="s">
        <v>1320</v>
      </c>
      <c r="D574" s="183" t="n">
        <v>0</v>
      </c>
      <c r="E574" s="176" t="str">
        <f aca="false">IFERROR(VLOOKUP($B574,'Unit Cost Database'!$A:$H,3,FALSE()),"LS")</f>
        <v>LS</v>
      </c>
      <c r="F574" s="194" t="n">
        <f aca="false">IFERROR(VLOOKUP($B574,'Unit Cost Database'!$A:$H,8,FALSE()),0)</f>
        <v>885937.5</v>
      </c>
      <c r="G574" s="179" t="n">
        <f aca="false">$F$7</f>
        <v>0.1</v>
      </c>
      <c r="H574" s="180" t="n">
        <f aca="false">IF(OR(D574="",F574="",D574=0,F574=0),0,D574*F574*$H$8*(1+G574)*(1+$H$7))</f>
        <v>0</v>
      </c>
      <c r="I574" s="177" t="s">
        <v>361</v>
      </c>
      <c r="J574" s="185" t="s">
        <v>77</v>
      </c>
    </row>
    <row r="575" customFormat="false" ht="15" hidden="false" customHeight="true" outlineLevel="1" collapsed="false">
      <c r="A575" s="176"/>
      <c r="B575" s="195" t="s">
        <v>1321</v>
      </c>
      <c r="C575" s="195" t="s">
        <v>1322</v>
      </c>
      <c r="D575" s="183" t="n">
        <v>0</v>
      </c>
      <c r="E575" s="176" t="str">
        <f aca="false">IFERROR(VLOOKUP($B575,'Unit Cost Database'!$A:$H,3,FALSE()),"LS")</f>
        <v>LS</v>
      </c>
      <c r="F575" s="194" t="n">
        <f aca="false">IFERROR(VLOOKUP($B575,'Unit Cost Database'!$A:$H,8,FALSE()),0)</f>
        <v>442968.75</v>
      </c>
      <c r="G575" s="179" t="n">
        <f aca="false">$F$7</f>
        <v>0.1</v>
      </c>
      <c r="H575" s="180" t="n">
        <f aca="false">IF(OR(D575="",F575="",D575=0,F575=0),0,D575*F575*$H$8*(1+G575)*(1+$H$7))</f>
        <v>0</v>
      </c>
      <c r="I575" s="177" t="s">
        <v>361</v>
      </c>
      <c r="J575" s="185" t="s">
        <v>77</v>
      </c>
    </row>
    <row r="576" customFormat="false" ht="15" hidden="false" customHeight="true" outlineLevel="1" collapsed="false">
      <c r="A576" s="176" t="n">
        <v>17</v>
      </c>
      <c r="B576" s="195" t="s">
        <v>1323</v>
      </c>
      <c r="C576" s="195" t="s">
        <v>1324</v>
      </c>
      <c r="D576" s="183" t="n">
        <v>56.25</v>
      </c>
      <c r="E576" s="176" t="str">
        <f aca="false">IFERROR(VLOOKUP($B576,'Unit Cost Database'!$A:$H,3,FALSE()),"LS")</f>
        <v>EA</v>
      </c>
      <c r="F576" s="184" t="n">
        <f aca="false">IFERROR(VLOOKUP($B576,'Unit Cost Database'!$A:$H,8,FALSE()),0)</f>
        <v>45500</v>
      </c>
      <c r="G576" s="179" t="n">
        <f aca="false">$F$7</f>
        <v>0.1</v>
      </c>
      <c r="H576" s="180" t="n">
        <f aca="false">IF(OR(D576="",F576="",D576=0,F576=0),0,D576*F576*$H$8*(1+G576)*(1+$H$7))</f>
        <v>2913848.4375</v>
      </c>
      <c r="I576" s="177" t="s">
        <v>361</v>
      </c>
      <c r="J576" s="185" t="s">
        <v>77</v>
      </c>
    </row>
    <row r="577" customFormat="false" ht="15" hidden="false" customHeight="true" outlineLevel="1" collapsed="false">
      <c r="A577" s="176"/>
      <c r="B577" s="195" t="s">
        <v>1325</v>
      </c>
      <c r="C577" s="195" t="s">
        <v>1326</v>
      </c>
      <c r="D577" s="183" t="n">
        <v>0</v>
      </c>
      <c r="E577" s="176" t="str">
        <f aca="false">IFERROR(VLOOKUP($B577,'Unit Cost Database'!$A:$H,3,FALSE()),"LS")</f>
        <v>LS</v>
      </c>
      <c r="F577" s="184" t="n">
        <f aca="false">IFERROR(VLOOKUP($B577,'Unit Cost Database'!$A:$H,8,FALSE()),0)</f>
        <v>1535625</v>
      </c>
      <c r="G577" s="179" t="n">
        <f aca="false">$F$7</f>
        <v>0.1</v>
      </c>
      <c r="H577" s="180" t="n">
        <f aca="false">IF(OR(D577="",F577="",D577=0,F577=0),0,D577*F577*$H$8*(1+G577)*(1+$H$7))</f>
        <v>0</v>
      </c>
      <c r="I577" s="177" t="s">
        <v>361</v>
      </c>
      <c r="J577" s="185" t="s">
        <v>77</v>
      </c>
    </row>
    <row r="578" customFormat="false" ht="15" hidden="false" customHeight="true" outlineLevel="1" collapsed="false">
      <c r="A578" s="176"/>
      <c r="B578" s="195" t="s">
        <v>1327</v>
      </c>
      <c r="C578" s="195" t="s">
        <v>1328</v>
      </c>
      <c r="D578" s="183" t="n">
        <v>0</v>
      </c>
      <c r="E578" s="176" t="str">
        <f aca="false">IFERROR(VLOOKUP($B578,'Unit Cost Database'!$A:$H,3,FALSE()),"LS")</f>
        <v>LS</v>
      </c>
      <c r="F578" s="184" t="n">
        <f aca="false">IFERROR(VLOOKUP($B578,'Unit Cost Database'!$A:$H,8,FALSE()),0)</f>
        <v>639843.75</v>
      </c>
      <c r="G578" s="179" t="n">
        <f aca="false">$F$7</f>
        <v>0.1</v>
      </c>
      <c r="H578" s="180" t="n">
        <f aca="false">IF(OR(D578="",F578="",D578=0,F578=0),0,D578*F578*$H$8*(1+G578)*(1+$H$7))</f>
        <v>0</v>
      </c>
      <c r="I578" s="177" t="s">
        <v>361</v>
      </c>
      <c r="J578" s="185" t="s">
        <v>77</v>
      </c>
    </row>
    <row r="579" customFormat="false" ht="15" hidden="false" customHeight="true" outlineLevel="1" collapsed="false">
      <c r="A579" s="176"/>
      <c r="B579" s="195" t="s">
        <v>1329</v>
      </c>
      <c r="C579" s="195" t="s">
        <v>1330</v>
      </c>
      <c r="D579" s="183" t="n">
        <v>0</v>
      </c>
      <c r="E579" s="176" t="str">
        <f aca="false">IFERROR(VLOOKUP($B579,'Unit Cost Database'!$A:$H,3,FALSE()),"LS")</f>
        <v>LS</v>
      </c>
      <c r="F579" s="184" t="n">
        <f aca="false">IFERROR(VLOOKUP($B579,'Unit Cost Database'!$A:$H,8,FALSE()),0)</f>
        <v>383906.25</v>
      </c>
      <c r="G579" s="179" t="n">
        <f aca="false">$F$7</f>
        <v>0.1</v>
      </c>
      <c r="H579" s="180" t="n">
        <f aca="false">IF(OR(D579="",F579="",D579=0,F579=0),0,D579*F579*$H$8*(1+G579)*(1+$H$7))</f>
        <v>0</v>
      </c>
      <c r="I579" s="177" t="s">
        <v>361</v>
      </c>
      <c r="J579" s="185" t="s">
        <v>77</v>
      </c>
    </row>
    <row r="580" customFormat="false" ht="15" hidden="false" customHeight="true" outlineLevel="1" collapsed="false">
      <c r="A580" s="176" t="n">
        <v>18</v>
      </c>
      <c r="B580" s="195" t="s">
        <v>1331</v>
      </c>
      <c r="C580" s="195" t="s">
        <v>1332</v>
      </c>
      <c r="D580" s="183" t="n">
        <v>56.25</v>
      </c>
      <c r="E580" s="176" t="str">
        <f aca="false">IFERROR(VLOOKUP($B580,'Unit Cost Database'!$A:$H,3,FALSE()),"LS")</f>
        <v>EA</v>
      </c>
      <c r="F580" s="184" t="n">
        <f aca="false">IFERROR(VLOOKUP($B580,'Unit Cost Database'!$A:$H,8,FALSE()),0)</f>
        <v>87500</v>
      </c>
      <c r="G580" s="179" t="n">
        <f aca="false">$F$7</f>
        <v>0.1</v>
      </c>
      <c r="H580" s="180" t="n">
        <f aca="false">IF(OR(D580="",F580="",D580=0,F580=0),0,D580*F580*$H$8*(1+G580)*(1+$H$7))</f>
        <v>5603554.6875</v>
      </c>
      <c r="I580" s="177" t="s">
        <v>361</v>
      </c>
      <c r="J580" s="185" t="s">
        <v>77</v>
      </c>
    </row>
    <row r="581" customFormat="false" ht="15" hidden="false" customHeight="true" outlineLevel="1" collapsed="false">
      <c r="A581" s="176"/>
      <c r="B581" s="195" t="s">
        <v>1333</v>
      </c>
      <c r="C581" s="195" t="s">
        <v>1334</v>
      </c>
      <c r="D581" s="183" t="n">
        <v>0</v>
      </c>
      <c r="E581" s="176" t="str">
        <f aca="false">IFERROR(VLOOKUP($B581,'Unit Cost Database'!$A:$H,3,FALSE()),"LS")</f>
        <v>LS</v>
      </c>
      <c r="F581" s="184" t="n">
        <f aca="false">IFERROR(VLOOKUP($B581,'Unit Cost Database'!$A:$H,8,FALSE()),0)</f>
        <v>3051562.5</v>
      </c>
      <c r="G581" s="179" t="n">
        <f aca="false">$F$7</f>
        <v>0.1</v>
      </c>
      <c r="H581" s="180" t="n">
        <f aca="false">IF(OR(D581="",F581="",D581=0,F581=0),0,D581*F581*$H$8*(1+G581)*(1+$H$7))</f>
        <v>0</v>
      </c>
      <c r="I581" s="177" t="s">
        <v>361</v>
      </c>
      <c r="J581" s="185" t="s">
        <v>77</v>
      </c>
    </row>
    <row r="582" customFormat="false" ht="15" hidden="false" customHeight="true" outlineLevel="1" collapsed="false">
      <c r="A582" s="176"/>
      <c r="B582" s="195" t="s">
        <v>1335</v>
      </c>
      <c r="C582" s="195" t="s">
        <v>1336</v>
      </c>
      <c r="D582" s="183" t="n">
        <v>0</v>
      </c>
      <c r="E582" s="176" t="str">
        <f aca="false">IFERROR(VLOOKUP($B582,'Unit Cost Database'!$A:$H,3,FALSE()),"LS")</f>
        <v>LS</v>
      </c>
      <c r="F582" s="184" t="n">
        <f aca="false">IFERROR(VLOOKUP($B582,'Unit Cost Database'!$A:$H,8,FALSE()),0)</f>
        <v>1230468.75</v>
      </c>
      <c r="G582" s="179" t="n">
        <f aca="false">$F$7</f>
        <v>0.1</v>
      </c>
      <c r="H582" s="180" t="n">
        <f aca="false">IF(OR(D582="",F582="",D582=0,F582=0),0,D582*F582*$H$8*(1+G582)*(1+$H$7))</f>
        <v>0</v>
      </c>
      <c r="I582" s="177" t="s">
        <v>361</v>
      </c>
      <c r="J582" s="185" t="s">
        <v>77</v>
      </c>
    </row>
    <row r="583" customFormat="false" ht="15" hidden="false" customHeight="true" outlineLevel="1" collapsed="false">
      <c r="A583" s="176"/>
      <c r="B583" s="195" t="s">
        <v>1337</v>
      </c>
      <c r="C583" s="195" t="s">
        <v>1338</v>
      </c>
      <c r="D583" s="183" t="n">
        <v>0</v>
      </c>
      <c r="E583" s="176" t="str">
        <f aca="false">IFERROR(VLOOKUP($B583,'Unit Cost Database'!$A:$H,3,FALSE()),"LS")</f>
        <v>LS</v>
      </c>
      <c r="F583" s="184" t="n">
        <f aca="false">IFERROR(VLOOKUP($B583,'Unit Cost Database'!$A:$H,8,FALSE()),0)</f>
        <v>639843.75</v>
      </c>
      <c r="G583" s="179" t="n">
        <f aca="false">$F$7</f>
        <v>0.1</v>
      </c>
      <c r="H583" s="180" t="n">
        <f aca="false">IF(OR(D583="",F583="",D583=0,F583=0),0,D583*F583*$H$8*(1+G583)*(1+$H$7))</f>
        <v>0</v>
      </c>
      <c r="I583" s="177" t="s">
        <v>361</v>
      </c>
      <c r="J583" s="185" t="s">
        <v>77</v>
      </c>
    </row>
    <row r="584" customFormat="false" ht="15" hidden="false" customHeight="true" outlineLevel="1" collapsed="false">
      <c r="A584" s="176" t="n">
        <v>19</v>
      </c>
      <c r="B584" s="195" t="s">
        <v>1339</v>
      </c>
      <c r="C584" s="195" t="s">
        <v>1340</v>
      </c>
      <c r="D584" s="183" t="n">
        <f aca="false">3</f>
        <v>3</v>
      </c>
      <c r="E584" s="176" t="str">
        <f aca="false">IFERROR(VLOOKUP($B584,'Unit Cost Database'!$A:$H,3,FALSE()),"LS")</f>
        <v>EA</v>
      </c>
      <c r="F584" s="184" t="n">
        <f aca="false">IFERROR(VLOOKUP($B584,'Unit Cost Database'!$A:$H,8,FALSE()),0)</f>
        <v>175000</v>
      </c>
      <c r="G584" s="179" t="n">
        <f aca="false">$F$7</f>
        <v>0.1</v>
      </c>
      <c r="H584" s="180" t="n">
        <f aca="false">IF(OR(D584="",F584="",D584=0,F584=0),0,D584*F584*$H$8*(1+G584)*(1+$H$7))</f>
        <v>597712.5</v>
      </c>
      <c r="I584" s="177" t="s">
        <v>361</v>
      </c>
      <c r="J584" s="185" t="s">
        <v>77</v>
      </c>
    </row>
    <row r="585" customFormat="false" ht="15" hidden="false" customHeight="true" outlineLevel="1" collapsed="false">
      <c r="A585" s="176" t="n">
        <v>20</v>
      </c>
      <c r="B585" s="195" t="s">
        <v>1341</v>
      </c>
      <c r="C585" s="195" t="s">
        <v>1342</v>
      </c>
      <c r="D585" s="183" t="n">
        <v>90000</v>
      </c>
      <c r="E585" s="176" t="str">
        <f aca="false">IFERROR(VLOOKUP($B585,'Unit Cost Database'!$A:$H,3,FALSE()),"LS")</f>
        <v>kW</v>
      </c>
      <c r="F585" s="184" t="n">
        <f aca="false">IFERROR(VLOOKUP($B585,'Unit Cost Database'!$A:$H,8,FALSE()),0)</f>
        <v>250</v>
      </c>
      <c r="G585" s="179" t="n">
        <f aca="false">$F$7</f>
        <v>0.1</v>
      </c>
      <c r="H585" s="180" t="n">
        <f aca="false">IF(OR(D585="",F585="",D585=0,F585=0),0,D585*F585*$H$8*(1+G585)*(1+$H$7))</f>
        <v>25616250</v>
      </c>
      <c r="I585" s="177" t="s">
        <v>361</v>
      </c>
      <c r="J585" s="185" t="s">
        <v>77</v>
      </c>
    </row>
    <row r="586" customFormat="false" ht="15" hidden="false" customHeight="true" outlineLevel="1" collapsed="false">
      <c r="A586" s="176"/>
      <c r="B586" s="195" t="s">
        <v>1343</v>
      </c>
      <c r="C586" s="195" t="s">
        <v>1344</v>
      </c>
      <c r="D586" s="183" t="n">
        <v>0</v>
      </c>
      <c r="E586" s="176" t="str">
        <f aca="false">IFERROR(VLOOKUP($B586,'Unit Cost Database'!$A:$H,3,FALSE()),"LS")</f>
        <v>LS</v>
      </c>
      <c r="F586" s="184" t="n">
        <f aca="false">IFERROR(VLOOKUP($B586,'Unit Cost Database'!$A:$H,8,FALSE()),0)</f>
        <v>12375000</v>
      </c>
      <c r="G586" s="179" t="n">
        <f aca="false">$F$7</f>
        <v>0.1</v>
      </c>
      <c r="H586" s="180" t="n">
        <f aca="false">IF(OR(D586="",F586="",D586=0,F586=0),0,D586*F586*$H$8*(1+G586)*(1+$H$7))</f>
        <v>0</v>
      </c>
      <c r="I586" s="177" t="s">
        <v>361</v>
      </c>
      <c r="J586" s="185" t="s">
        <v>77</v>
      </c>
    </row>
    <row r="587" customFormat="false" ht="15" hidden="false" customHeight="true" outlineLevel="1" collapsed="false">
      <c r="A587" s="176"/>
      <c r="B587" s="195" t="s">
        <v>1345</v>
      </c>
      <c r="C587" s="195" t="s">
        <v>1346</v>
      </c>
      <c r="D587" s="183" t="n">
        <v>0</v>
      </c>
      <c r="E587" s="176" t="str">
        <f aca="false">IFERROR(VLOOKUP($B587,'Unit Cost Database'!$A:$H,3,FALSE()),"LS")</f>
        <v>LS</v>
      </c>
      <c r="F587" s="184" t="n">
        <f aca="false">IFERROR(VLOOKUP($B587,'Unit Cost Database'!$A:$H,8,FALSE()),0)</f>
        <v>5625000</v>
      </c>
      <c r="G587" s="179" t="n">
        <f aca="false">$F$7</f>
        <v>0.1</v>
      </c>
      <c r="H587" s="180" t="n">
        <f aca="false">IF(OR(D587="",F587="",D587=0,F587=0),0,D587*F587*$H$8*(1+G587)*(1+$H$7))</f>
        <v>0</v>
      </c>
      <c r="I587" s="177" t="s">
        <v>361</v>
      </c>
      <c r="J587" s="185" t="s">
        <v>77</v>
      </c>
    </row>
    <row r="588" customFormat="false" ht="15" hidden="false" customHeight="true" outlineLevel="1" collapsed="false">
      <c r="A588" s="176"/>
      <c r="B588" s="195" t="s">
        <v>1347</v>
      </c>
      <c r="C588" s="195" t="s">
        <v>1348</v>
      </c>
      <c r="D588" s="183" t="n">
        <v>0</v>
      </c>
      <c r="E588" s="176" t="str">
        <f aca="false">IFERROR(VLOOKUP($B588,'Unit Cost Database'!$A:$H,3,FALSE()),"LS")</f>
        <v>LS</v>
      </c>
      <c r="F588" s="184" t="n">
        <f aca="false">IFERROR(VLOOKUP($B588,'Unit Cost Database'!$A:$H,8,FALSE()),0)</f>
        <v>2700000</v>
      </c>
      <c r="G588" s="179" t="n">
        <f aca="false">$F$7</f>
        <v>0.1</v>
      </c>
      <c r="H588" s="180" t="n">
        <f aca="false">IF(OR(D588="",F588="",D588=0,F588=0),0,D588*F588*$H$8*(1+G588)*(1+$H$7))</f>
        <v>0</v>
      </c>
      <c r="I588" s="177" t="s">
        <v>361</v>
      </c>
      <c r="J588" s="185" t="s">
        <v>77</v>
      </c>
    </row>
    <row r="589" customFormat="false" ht="15" hidden="false" customHeight="true" outlineLevel="1" collapsed="false">
      <c r="A589" s="176"/>
      <c r="B589" s="195" t="s">
        <v>1349</v>
      </c>
      <c r="C589" s="195" t="s">
        <v>1350</v>
      </c>
      <c r="D589" s="183" t="n">
        <v>0</v>
      </c>
      <c r="E589" s="176" t="str">
        <f aca="false">IFERROR(VLOOKUP($B589,'Unit Cost Database'!$A:$H,3,FALSE()),"LS")</f>
        <v>LS</v>
      </c>
      <c r="F589" s="184" t="n">
        <f aca="false">IFERROR(VLOOKUP($B589,'Unit Cost Database'!$A:$H,8,FALSE()),0)</f>
        <v>1800000</v>
      </c>
      <c r="G589" s="179" t="n">
        <f aca="false">$F$7</f>
        <v>0.1</v>
      </c>
      <c r="H589" s="180" t="n">
        <f aca="false">IF(OR(D589="",F589="",D589=0,F589=0),0,D589*F589*$H$8*(1+G589)*(1+$H$7))</f>
        <v>0</v>
      </c>
      <c r="I589" s="177" t="s">
        <v>361</v>
      </c>
      <c r="J589" s="185" t="s">
        <v>77</v>
      </c>
    </row>
    <row r="590" customFormat="false" ht="15" hidden="false" customHeight="true" outlineLevel="1" collapsed="false">
      <c r="A590" s="176" t="n">
        <v>21</v>
      </c>
      <c r="B590" s="195" t="s">
        <v>1351</v>
      </c>
      <c r="C590" s="195" t="s">
        <v>1352</v>
      </c>
      <c r="D590" s="183" t="n">
        <v>90000</v>
      </c>
      <c r="E590" s="176" t="str">
        <f aca="false">IFERROR(VLOOKUP($B590,'Unit Cost Database'!$A:$H,3,FALSE()),"LS")</f>
        <v>kW</v>
      </c>
      <c r="F590" s="184" t="n">
        <f aca="false">IFERROR(VLOOKUP($B590,'Unit Cost Database'!$A:$H,8,FALSE()),0)</f>
        <v>100</v>
      </c>
      <c r="G590" s="179" t="n">
        <f aca="false">$F$7</f>
        <v>0.1</v>
      </c>
      <c r="H590" s="180" t="n">
        <f aca="false">IF(OR(D590="",F590="",D590=0,F590=0),0,D590*F590*$H$8*(1+G590)*(1+$H$7))</f>
        <v>10246500</v>
      </c>
      <c r="I590" s="177" t="s">
        <v>361</v>
      </c>
      <c r="J590" s="185" t="s">
        <v>77</v>
      </c>
    </row>
    <row r="591" customFormat="false" ht="15" hidden="false" customHeight="true" outlineLevel="1" collapsed="false">
      <c r="A591" s="176"/>
      <c r="B591" s="195" t="s">
        <v>1353</v>
      </c>
      <c r="C591" s="195" t="s">
        <v>1354</v>
      </c>
      <c r="D591" s="183" t="n">
        <v>0</v>
      </c>
      <c r="E591" s="176" t="str">
        <f aca="false">IFERROR(VLOOKUP($B591,'Unit Cost Database'!$A:$H,3,FALSE()),"LS")</f>
        <v>LS</v>
      </c>
      <c r="F591" s="194" t="n">
        <f aca="false">IFERROR(VLOOKUP($B591,'Unit Cost Database'!$A:$H,8,FALSE()),0)</f>
        <v>6300000</v>
      </c>
      <c r="G591" s="179" t="n">
        <f aca="false">$F$7</f>
        <v>0.1</v>
      </c>
      <c r="H591" s="180" t="n">
        <f aca="false">IF(OR(D591="",F591="",D591=0,F591=0),0,D591*F591*$H$8*(1+G591)*(1+$H$7))</f>
        <v>0</v>
      </c>
      <c r="I591" s="177" t="s">
        <v>361</v>
      </c>
      <c r="J591" s="185" t="s">
        <v>77</v>
      </c>
    </row>
    <row r="592" customFormat="false" ht="15" hidden="false" customHeight="true" outlineLevel="1" collapsed="false">
      <c r="A592" s="176"/>
      <c r="B592" s="195" t="s">
        <v>1355</v>
      </c>
      <c r="C592" s="195" t="s">
        <v>1356</v>
      </c>
      <c r="D592" s="183" t="n">
        <v>0</v>
      </c>
      <c r="E592" s="176" t="str">
        <f aca="false">IFERROR(VLOOKUP($B592,'Unit Cost Database'!$A:$H,3,FALSE()),"LS")</f>
        <v>LS</v>
      </c>
      <c r="F592" s="194" t="n">
        <f aca="false">IFERROR(VLOOKUP($B592,'Unit Cost Database'!$A:$H,8,FALSE()),0)</f>
        <v>1350000</v>
      </c>
      <c r="G592" s="179" t="n">
        <f aca="false">$F$7</f>
        <v>0.1</v>
      </c>
      <c r="H592" s="180" t="n">
        <f aca="false">IF(OR(D592="",F592="",D592=0,F592=0),0,D592*F592*$H$8*(1+G592)*(1+$H$7))</f>
        <v>0</v>
      </c>
      <c r="I592" s="177" t="s">
        <v>361</v>
      </c>
      <c r="J592" s="185" t="s">
        <v>77</v>
      </c>
    </row>
    <row r="593" customFormat="false" ht="15" hidden="false" customHeight="true" outlineLevel="1" collapsed="false">
      <c r="A593" s="176"/>
      <c r="B593" s="195" t="s">
        <v>1357</v>
      </c>
      <c r="C593" s="195" t="s">
        <v>1358</v>
      </c>
      <c r="D593" s="183" t="n">
        <v>0</v>
      </c>
      <c r="E593" s="176" t="str">
        <f aca="false">IFERROR(VLOOKUP($B593,'Unit Cost Database'!$A:$H,3,FALSE()),"LS")</f>
        <v>LS</v>
      </c>
      <c r="F593" s="194" t="n">
        <f aca="false">IFERROR(VLOOKUP($B593,'Unit Cost Database'!$A:$H,8,FALSE()),0)</f>
        <v>900000</v>
      </c>
      <c r="G593" s="179" t="n">
        <f aca="false">$F$7</f>
        <v>0.1</v>
      </c>
      <c r="H593" s="180" t="n">
        <f aca="false">IF(OR(D593="",F593="",D593=0,F593=0),0,D593*F593*$H$8*(1+G593)*(1+$H$7))</f>
        <v>0</v>
      </c>
      <c r="I593" s="177" t="s">
        <v>361</v>
      </c>
      <c r="J593" s="185" t="s">
        <v>77</v>
      </c>
    </row>
    <row r="594" customFormat="false" ht="15" hidden="false" customHeight="true" outlineLevel="1" collapsed="false">
      <c r="A594" s="176"/>
      <c r="B594" s="195" t="s">
        <v>1359</v>
      </c>
      <c r="C594" s="195" t="s">
        <v>1360</v>
      </c>
      <c r="D594" s="183" t="n">
        <v>0</v>
      </c>
      <c r="E594" s="176" t="str">
        <f aca="false">IFERROR(VLOOKUP($B594,'Unit Cost Database'!$A:$H,3,FALSE()),"LS")</f>
        <v>LS</v>
      </c>
      <c r="F594" s="194" t="n">
        <f aca="false">IFERROR(VLOOKUP($B594,'Unit Cost Database'!$A:$H,8,FALSE()),0)</f>
        <v>450000</v>
      </c>
      <c r="G594" s="179" t="n">
        <f aca="false">$F$7</f>
        <v>0.1</v>
      </c>
      <c r="H594" s="180" t="n">
        <f aca="false">IF(OR(D594="",F594="",D594=0,F594=0),0,D594*F594*$H$8*(1+G594)*(1+$H$7))</f>
        <v>0</v>
      </c>
      <c r="I594" s="177" t="s">
        <v>361</v>
      </c>
      <c r="J594" s="185" t="s">
        <v>77</v>
      </c>
    </row>
    <row r="595" customFormat="false" ht="15" hidden="false" customHeight="true" outlineLevel="1" collapsed="false">
      <c r="A595" s="176" t="n">
        <v>22</v>
      </c>
      <c r="B595" s="195" t="s">
        <v>1361</v>
      </c>
      <c r="C595" s="195" t="s">
        <v>1362</v>
      </c>
      <c r="D595" s="183" t="n">
        <f aca="false">$C$10*1000*0.3</f>
        <v>27000</v>
      </c>
      <c r="E595" s="176" t="str">
        <f aca="false">IFERROR(VLOOKUP($B595,'Unit Cost Database'!$A:$H,3,FALSE()),"LS")</f>
        <v>kW</v>
      </c>
      <c r="F595" s="184" t="n">
        <f aca="false">IFERROR(VLOOKUP($B595,'Unit Cost Database'!$A:$H,8,FALSE()),0)</f>
        <v>52.5</v>
      </c>
      <c r="G595" s="179" t="n">
        <f aca="false">$F$7</f>
        <v>0.1</v>
      </c>
      <c r="H595" s="180" t="n">
        <f aca="false">IF(OR(D595="",F595="",D595=0,F595=0),0,D595*F595*$H$8*(1+G595)*(1+$H$7))</f>
        <v>1613823.75</v>
      </c>
      <c r="I595" s="177" t="s">
        <v>361</v>
      </c>
      <c r="J595" s="185" t="s">
        <v>77</v>
      </c>
    </row>
    <row r="596" customFormat="false" ht="15" hidden="false" customHeight="true" outlineLevel="1" collapsed="false">
      <c r="A596" s="176" t="n">
        <v>23</v>
      </c>
      <c r="B596" s="195" t="s">
        <v>1363</v>
      </c>
      <c r="C596" s="195" t="s">
        <v>1364</v>
      </c>
      <c r="D596" s="183" t="n">
        <v>360</v>
      </c>
      <c r="E596" s="176" t="str">
        <f aca="false">IFERROR(VLOOKUP($B596,'Unit Cost Database'!$A:$H,3,FALSE()),"LS")</f>
        <v>EA</v>
      </c>
      <c r="F596" s="184" t="n">
        <f aca="false">IFERROR(VLOOKUP($B596,'Unit Cost Database'!$A:$H,8,FALSE()),0)</f>
        <v>25000</v>
      </c>
      <c r="G596" s="179" t="n">
        <f aca="false">$F$7</f>
        <v>0.1</v>
      </c>
      <c r="H596" s="180" t="n">
        <f aca="false">IF(OR(D596="",F596="",D596=0,F596=0),0,D596*F596*$H$8*(1+G596)*(1+$H$7))</f>
        <v>10246500</v>
      </c>
      <c r="I596" s="177" t="s">
        <v>361</v>
      </c>
      <c r="J596" s="185" t="s">
        <v>77</v>
      </c>
    </row>
    <row r="597" customFormat="false" ht="15" hidden="false" customHeight="true" outlineLevel="1" collapsed="false">
      <c r="A597" s="176"/>
      <c r="B597" s="195" t="s">
        <v>1365</v>
      </c>
      <c r="C597" s="195" t="s">
        <v>1366</v>
      </c>
      <c r="D597" s="183" t="n">
        <v>0</v>
      </c>
      <c r="E597" s="176" t="str">
        <f aca="false">IFERROR(VLOOKUP($B597,'Unit Cost Database'!$A:$H,3,FALSE()),"LS")</f>
        <v>LS</v>
      </c>
      <c r="F597" s="184" t="n">
        <f aca="false">IFERROR(VLOOKUP($B597,'Unit Cost Database'!$A:$H,8,FALSE()),0)</f>
        <v>6300000</v>
      </c>
      <c r="G597" s="179" t="n">
        <f aca="false">$F$7</f>
        <v>0.1</v>
      </c>
      <c r="H597" s="180" t="n">
        <f aca="false">IF(OR(D597="",F597="",D597=0,F597=0),0,D597*F597*$H$8*(1+G597)*(1+$H$7))</f>
        <v>0</v>
      </c>
      <c r="I597" s="177" t="s">
        <v>361</v>
      </c>
      <c r="J597" s="185" t="s">
        <v>77</v>
      </c>
    </row>
    <row r="598" customFormat="false" ht="15" hidden="false" customHeight="true" outlineLevel="1" collapsed="false">
      <c r="A598" s="176"/>
      <c r="B598" s="195" t="s">
        <v>1367</v>
      </c>
      <c r="C598" s="195" t="s">
        <v>1368</v>
      </c>
      <c r="D598" s="183" t="n">
        <v>0</v>
      </c>
      <c r="E598" s="176" t="str">
        <f aca="false">IFERROR(VLOOKUP($B598,'Unit Cost Database'!$A:$H,3,FALSE()),"LS")</f>
        <v>LS</v>
      </c>
      <c r="F598" s="184" t="n">
        <f aca="false">IFERROR(VLOOKUP($B598,'Unit Cost Database'!$A:$H,8,FALSE()),0)</f>
        <v>1620000</v>
      </c>
      <c r="G598" s="179" t="n">
        <f aca="false">$F$7</f>
        <v>0.1</v>
      </c>
      <c r="H598" s="180" t="n">
        <f aca="false">IF(OR(D598="",F598="",D598=0,F598=0),0,D598*F598*$H$8*(1+G598)*(1+$H$7))</f>
        <v>0</v>
      </c>
      <c r="I598" s="177" t="s">
        <v>361</v>
      </c>
      <c r="J598" s="185" t="s">
        <v>77</v>
      </c>
    </row>
    <row r="599" customFormat="false" ht="15" hidden="false" customHeight="true" outlineLevel="1" collapsed="false">
      <c r="A599" s="176"/>
      <c r="B599" s="195" t="s">
        <v>1369</v>
      </c>
      <c r="C599" s="195" t="s">
        <v>1370</v>
      </c>
      <c r="D599" s="183" t="n">
        <v>0</v>
      </c>
      <c r="E599" s="176" t="str">
        <f aca="false">IFERROR(VLOOKUP($B599,'Unit Cost Database'!$A:$H,3,FALSE()),"LS")</f>
        <v>LS</v>
      </c>
      <c r="F599" s="184" t="n">
        <f aca="false">IFERROR(VLOOKUP($B599,'Unit Cost Database'!$A:$H,8,FALSE()),0)</f>
        <v>1080000</v>
      </c>
      <c r="G599" s="179" t="n">
        <f aca="false">$F$7</f>
        <v>0.1</v>
      </c>
      <c r="H599" s="180" t="n">
        <f aca="false">IF(OR(D599="",F599="",D599=0,F599=0),0,D599*F599*$H$8*(1+G599)*(1+$H$7))</f>
        <v>0</v>
      </c>
      <c r="I599" s="177" t="s">
        <v>361</v>
      </c>
      <c r="J599" s="185" t="s">
        <v>77</v>
      </c>
    </row>
    <row r="600" customFormat="false" ht="15" hidden="false" customHeight="true" outlineLevel="1" collapsed="false">
      <c r="A600" s="176" t="n">
        <v>24</v>
      </c>
      <c r="B600" s="195" t="s">
        <v>1371</v>
      </c>
      <c r="C600" s="195" t="s">
        <v>1372</v>
      </c>
      <c r="D600" s="183" t="n">
        <v>720</v>
      </c>
      <c r="E600" s="176" t="str">
        <f aca="false">IFERROR(VLOOKUP($B600,'Unit Cost Database'!$A:$H,3,FALSE()),"LS")</f>
        <v>EA</v>
      </c>
      <c r="F600" s="184" t="n">
        <f aca="false">IFERROR(VLOOKUP($B600,'Unit Cost Database'!$A:$H,8,FALSE()),0)</f>
        <v>35000</v>
      </c>
      <c r="G600" s="179" t="n">
        <f aca="false">$F$7</f>
        <v>0.1</v>
      </c>
      <c r="H600" s="180" t="n">
        <f aca="false">IF(OR(D600="",F600="",D600=0,F600=0),0,D600*F600*$H$8*(1+G600)*(1+$H$7))</f>
        <v>28690200</v>
      </c>
      <c r="I600" s="177" t="s">
        <v>361</v>
      </c>
      <c r="J600" s="185" t="s">
        <v>77</v>
      </c>
    </row>
    <row r="601" customFormat="false" ht="15" hidden="false" customHeight="true" outlineLevel="0" collapsed="false">
      <c r="A601" s="176"/>
      <c r="B601" s="195" t="s">
        <v>1373</v>
      </c>
      <c r="C601" s="195" t="s">
        <v>1374</v>
      </c>
      <c r="D601" s="183" t="n">
        <v>0</v>
      </c>
      <c r="E601" s="176" t="str">
        <f aca="false">IFERROR(VLOOKUP($B601,'Unit Cost Database'!$A:$H,3,FALSE()),"LS")</f>
        <v>LS</v>
      </c>
      <c r="F601" s="194" t="n">
        <f aca="false">IFERROR(VLOOKUP($B601,'Unit Cost Database'!$A:$H,8,FALSE()),0)</f>
        <v>15624000</v>
      </c>
      <c r="G601" s="179" t="n">
        <f aca="false">$F$7</f>
        <v>0.1</v>
      </c>
      <c r="H601" s="180" t="n">
        <f aca="false">IF(OR(D601="",F601="",D601=0,F601=0),0,D601*F601*$H$8*(1+G601)*(1+$H$7))</f>
        <v>0</v>
      </c>
      <c r="I601" s="177" t="s">
        <v>361</v>
      </c>
      <c r="J601" s="185" t="s">
        <v>77</v>
      </c>
    </row>
    <row r="602" customFormat="false" ht="15" hidden="false" customHeight="true" outlineLevel="0" collapsed="false">
      <c r="A602" s="176"/>
      <c r="B602" s="195" t="s">
        <v>1375</v>
      </c>
      <c r="C602" s="195" t="s">
        <v>1376</v>
      </c>
      <c r="D602" s="183" t="n">
        <v>0</v>
      </c>
      <c r="E602" s="176" t="str">
        <f aca="false">IFERROR(VLOOKUP($B602,'Unit Cost Database'!$A:$H,3,FALSE()),"LS")</f>
        <v>LS</v>
      </c>
      <c r="F602" s="194" t="n">
        <f aca="false">IFERROR(VLOOKUP($B602,'Unit Cost Database'!$A:$H,8,FALSE()),0)</f>
        <v>4536000</v>
      </c>
      <c r="G602" s="179" t="n">
        <f aca="false">$F$7</f>
        <v>0.1</v>
      </c>
      <c r="H602" s="180" t="n">
        <f aca="false">IF(OR(D602="",F602="",D602=0,F602=0),0,D602*F602*$H$8*(1+G602)*(1+$H$7))</f>
        <v>0</v>
      </c>
      <c r="I602" s="177" t="s">
        <v>361</v>
      </c>
      <c r="J602" s="185" t="s">
        <v>77</v>
      </c>
    </row>
    <row r="603" customFormat="false" ht="15" hidden="false" customHeight="true" outlineLevel="0" collapsed="false">
      <c r="A603" s="176"/>
      <c r="B603" s="195" t="s">
        <v>1377</v>
      </c>
      <c r="C603" s="195" t="s">
        <v>1378</v>
      </c>
      <c r="D603" s="183" t="n">
        <v>0</v>
      </c>
      <c r="E603" s="176" t="str">
        <f aca="false">IFERROR(VLOOKUP($B603,'Unit Cost Database'!$A:$H,3,FALSE()),"LS")</f>
        <v>LS</v>
      </c>
      <c r="F603" s="194" t="n">
        <f aca="false">IFERROR(VLOOKUP($B603,'Unit Cost Database'!$A:$H,8,FALSE()),0)</f>
        <v>2520000</v>
      </c>
      <c r="G603" s="179" t="n">
        <f aca="false">$F$7</f>
        <v>0.1</v>
      </c>
      <c r="H603" s="180" t="n">
        <f aca="false">IF(OR(D603="",F603="",D603=0,F603=0),0,D603*F603*$H$8*(1+G603)*(1+$H$7))</f>
        <v>0</v>
      </c>
      <c r="I603" s="177" t="s">
        <v>361</v>
      </c>
      <c r="J603" s="185" t="s">
        <v>77</v>
      </c>
    </row>
    <row r="604" customFormat="false" ht="15" hidden="false" customHeight="true" outlineLevel="1" collapsed="false">
      <c r="A604" s="176"/>
      <c r="B604" s="195" t="s">
        <v>1379</v>
      </c>
      <c r="C604" s="195" t="s">
        <v>1380</v>
      </c>
      <c r="D604" s="183" t="n">
        <v>0</v>
      </c>
      <c r="E604" s="176" t="str">
        <f aca="false">IFERROR(VLOOKUP($B604,'Unit Cost Database'!$A:$H,3,FALSE()),"LS")</f>
        <v>LS</v>
      </c>
      <c r="F604" s="194" t="n">
        <f aca="false">IFERROR(VLOOKUP($B604,'Unit Cost Database'!$A:$H,8,FALSE()),0)</f>
        <v>2520000</v>
      </c>
      <c r="G604" s="179" t="n">
        <f aca="false">$F$7</f>
        <v>0.1</v>
      </c>
      <c r="H604" s="180" t="n">
        <f aca="false">IF(OR(D604="",F604="",D604=0,F604=0),0,D604*F604*$H$8*(1+G604)*(1+$H$7))</f>
        <v>0</v>
      </c>
      <c r="I604" s="177" t="s">
        <v>361</v>
      </c>
      <c r="J604" s="185" t="s">
        <v>77</v>
      </c>
    </row>
    <row r="605" customFormat="false" ht="15" hidden="false" customHeight="true" outlineLevel="1" collapsed="false">
      <c r="A605" s="176" t="n">
        <v>25</v>
      </c>
      <c r="B605" s="195" t="s">
        <v>1381</v>
      </c>
      <c r="C605" s="195" t="s">
        <v>1382</v>
      </c>
      <c r="D605" s="183" t="n">
        <v>360</v>
      </c>
      <c r="E605" s="176" t="str">
        <f aca="false">IFERROR(VLOOKUP($B605,'Unit Cost Database'!$A:$H,3,FALSE()),"LS")</f>
        <v>EA</v>
      </c>
      <c r="F605" s="184" t="n">
        <f aca="false">IFERROR(VLOOKUP($B605,'Unit Cost Database'!$A:$H,8,FALSE()),0)</f>
        <v>24500</v>
      </c>
      <c r="G605" s="179" t="n">
        <f aca="false">$F$7</f>
        <v>0.1</v>
      </c>
      <c r="H605" s="180" t="n">
        <f aca="false">IF(OR(D605="",F605="",D605=0,F605=0),0,D605*F605*$H$8*(1+G605)*(1+$H$7))</f>
        <v>10041570</v>
      </c>
      <c r="I605" s="177" t="s">
        <v>361</v>
      </c>
      <c r="J605" s="185" t="s">
        <v>77</v>
      </c>
    </row>
    <row r="606" customFormat="false" ht="15" hidden="false" customHeight="true" outlineLevel="1" collapsed="false">
      <c r="A606" s="176"/>
      <c r="B606" s="195" t="s">
        <v>1383</v>
      </c>
      <c r="C606" s="195" t="s">
        <v>1384</v>
      </c>
      <c r="D606" s="183" t="n">
        <v>0</v>
      </c>
      <c r="E606" s="176" t="str">
        <f aca="false">IFERROR(VLOOKUP($B606,'Unit Cost Database'!$A:$H,3,FALSE()),"LS")</f>
        <v>LS</v>
      </c>
      <c r="F606" s="194" t="n">
        <f aca="false">IFERROR(VLOOKUP($B606,'Unit Cost Database'!$A:$H,8,FALSE()),0)</f>
        <v>5733000</v>
      </c>
      <c r="G606" s="179" t="n">
        <f aca="false">$F$7</f>
        <v>0.1</v>
      </c>
      <c r="H606" s="180" t="n">
        <f aca="false">IF(OR(D606="",F606="",D606=0,F606=0),0,D606*F606*$H$8*(1+G606)*(1+$H$7))</f>
        <v>0</v>
      </c>
      <c r="I606" s="177" t="s">
        <v>361</v>
      </c>
      <c r="J606" s="185" t="s">
        <v>77</v>
      </c>
    </row>
    <row r="607" customFormat="false" ht="15" hidden="false" customHeight="true" outlineLevel="1" collapsed="false">
      <c r="A607" s="176"/>
      <c r="B607" s="195" t="s">
        <v>1385</v>
      </c>
      <c r="C607" s="195" t="s">
        <v>1386</v>
      </c>
      <c r="D607" s="183" t="n">
        <v>0</v>
      </c>
      <c r="E607" s="176" t="str">
        <f aca="false">IFERROR(VLOOKUP($B607,'Unit Cost Database'!$A:$H,3,FALSE()),"LS")</f>
        <v>LS</v>
      </c>
      <c r="F607" s="194" t="n">
        <f aca="false">IFERROR(VLOOKUP($B607,'Unit Cost Database'!$A:$H,8,FALSE()),0)</f>
        <v>1764000</v>
      </c>
      <c r="G607" s="179" t="n">
        <f aca="false">$F$7</f>
        <v>0.1</v>
      </c>
      <c r="H607" s="180" t="n">
        <f aca="false">IF(OR(D607="",F607="",D607=0,F607=0),0,D607*F607*$H$8*(1+G607)*(1+$H$7))</f>
        <v>0</v>
      </c>
      <c r="I607" s="177" t="s">
        <v>361</v>
      </c>
      <c r="J607" s="185" t="s">
        <v>77</v>
      </c>
    </row>
    <row r="608" customFormat="false" ht="15" hidden="false" customHeight="true" outlineLevel="1" collapsed="false">
      <c r="A608" s="176"/>
      <c r="B608" s="195" t="s">
        <v>1387</v>
      </c>
      <c r="C608" s="195" t="s">
        <v>1388</v>
      </c>
      <c r="D608" s="183" t="n">
        <v>0</v>
      </c>
      <c r="E608" s="176" t="str">
        <f aca="false">IFERROR(VLOOKUP($B608,'Unit Cost Database'!$A:$H,3,FALSE()),"LS")</f>
        <v>LS</v>
      </c>
      <c r="F608" s="194" t="n">
        <f aca="false">IFERROR(VLOOKUP($B608,'Unit Cost Database'!$A:$H,8,FALSE()),0)</f>
        <v>1323000</v>
      </c>
      <c r="G608" s="179" t="n">
        <f aca="false">$F$7</f>
        <v>0.1</v>
      </c>
      <c r="H608" s="180" t="n">
        <f aca="false">IF(OR(D608="",F608="",D608=0,F608=0),0,D608*F608*$H$8*(1+G608)*(1+$H$7))</f>
        <v>0</v>
      </c>
      <c r="I608" s="177" t="s">
        <v>361</v>
      </c>
      <c r="J608" s="185" t="s">
        <v>77</v>
      </c>
    </row>
    <row r="609" customFormat="false" ht="15" hidden="false" customHeight="true" outlineLevel="1" collapsed="false">
      <c r="A609" s="176" t="n">
        <v>26</v>
      </c>
      <c r="B609" s="195" t="s">
        <v>1389</v>
      </c>
      <c r="C609" s="195" t="s">
        <v>1390</v>
      </c>
      <c r="D609" s="183" t="n">
        <v>88000</v>
      </c>
      <c r="E609" s="176" t="str">
        <f aca="false">IFERROR(VLOOKUP($B609,'Unit Cost Database'!$A:$H,3,FALSE()),"LS")</f>
        <v>LF</v>
      </c>
      <c r="F609" s="184" t="n">
        <f aca="false">IFERROR(VLOOKUP($B609,'Unit Cost Database'!$A:$H,8,FALSE()),0)</f>
        <v>150</v>
      </c>
      <c r="G609" s="179" t="n">
        <f aca="false">$F$7</f>
        <v>0.1</v>
      </c>
      <c r="H609" s="180" t="n">
        <f aca="false">IF(OR(D609="",F609="",D609=0,F609=0),0,D609*F609*$H$8*(1+G609)*(1+$H$7))</f>
        <v>15028200</v>
      </c>
      <c r="I609" s="177" t="s">
        <v>361</v>
      </c>
      <c r="J609" s="185" t="s">
        <v>77</v>
      </c>
    </row>
    <row r="610" customFormat="false" ht="15" hidden="false" customHeight="true" outlineLevel="1" collapsed="false">
      <c r="A610" s="176"/>
      <c r="B610" s="195" t="s">
        <v>1391</v>
      </c>
      <c r="C610" s="195" t="s">
        <v>1392</v>
      </c>
      <c r="D610" s="183" t="n">
        <v>0</v>
      </c>
      <c r="E610" s="176" t="str">
        <f aca="false">IFERROR(VLOOKUP($B610,'Unit Cost Database'!$A:$H,3,FALSE()),"LS")</f>
        <v>LS</v>
      </c>
      <c r="F610" s="184" t="n">
        <f aca="false">IFERROR(VLOOKUP($B610,'Unit Cost Database'!$A:$H,8,FALSE()),0)</f>
        <v>8580000</v>
      </c>
      <c r="G610" s="179" t="n">
        <f aca="false">$F$7</f>
        <v>0.1</v>
      </c>
      <c r="H610" s="180" t="n">
        <f aca="false">IF(OR(D610="",F610="",D610=0,F610=0),0,D610*F610*$H$8*(1+G610)*(1+$H$7))</f>
        <v>0</v>
      </c>
      <c r="I610" s="177" t="s">
        <v>361</v>
      </c>
      <c r="J610" s="185" t="s">
        <v>77</v>
      </c>
    </row>
    <row r="611" customFormat="false" ht="15" hidden="false" customHeight="true" outlineLevel="1" collapsed="false">
      <c r="A611" s="176"/>
      <c r="B611" s="195" t="s">
        <v>1393</v>
      </c>
      <c r="C611" s="195" t="s">
        <v>1394</v>
      </c>
      <c r="D611" s="183" t="n">
        <v>0</v>
      </c>
      <c r="E611" s="176" t="str">
        <f aca="false">IFERROR(VLOOKUP($B611,'Unit Cost Database'!$A:$H,3,FALSE()),"LS")</f>
        <v>LS</v>
      </c>
      <c r="F611" s="184" t="n">
        <f aca="false">IFERROR(VLOOKUP($B611,'Unit Cost Database'!$A:$H,8,FALSE()),0)</f>
        <v>1980000</v>
      </c>
      <c r="G611" s="179" t="n">
        <f aca="false">$F$7</f>
        <v>0.1</v>
      </c>
      <c r="H611" s="180" t="n">
        <f aca="false">IF(OR(D611="",F611="",D611=0,F611=0),0,D611*F611*$H$8*(1+G611)*(1+$H$7))</f>
        <v>0</v>
      </c>
      <c r="I611" s="177" t="s">
        <v>361</v>
      </c>
      <c r="J611" s="185" t="s">
        <v>77</v>
      </c>
    </row>
    <row r="612" customFormat="false" ht="15" hidden="false" customHeight="true" outlineLevel="1" collapsed="false">
      <c r="A612" s="176"/>
      <c r="B612" s="195" t="s">
        <v>1395</v>
      </c>
      <c r="C612" s="195" t="s">
        <v>1396</v>
      </c>
      <c r="D612" s="183" t="n">
        <v>0</v>
      </c>
      <c r="E612" s="176" t="str">
        <f aca="false">IFERROR(VLOOKUP($B612,'Unit Cost Database'!$A:$H,3,FALSE()),"LS")</f>
        <v>LS</v>
      </c>
      <c r="F612" s="184" t="n">
        <f aca="false">IFERROR(VLOOKUP($B612,'Unit Cost Database'!$A:$H,8,FALSE()),0)</f>
        <v>2640000</v>
      </c>
      <c r="G612" s="179" t="n">
        <f aca="false">$F$7</f>
        <v>0.1</v>
      </c>
      <c r="H612" s="180" t="n">
        <f aca="false">IF(OR(D612="",F612="",D612=0,F612=0),0,D612*F612*$H$8*(1+G612)*(1+$H$7))</f>
        <v>0</v>
      </c>
      <c r="I612" s="177" t="s">
        <v>361</v>
      </c>
      <c r="J612" s="185" t="s">
        <v>77</v>
      </c>
    </row>
    <row r="613" customFormat="false" ht="15" hidden="false" customHeight="true" outlineLevel="1" collapsed="false">
      <c r="A613" s="176" t="n">
        <v>27</v>
      </c>
      <c r="B613" s="195" t="s">
        <v>1397</v>
      </c>
      <c r="C613" s="195" t="s">
        <v>1398</v>
      </c>
      <c r="D613" s="183" t="n">
        <v>3600</v>
      </c>
      <c r="E613" s="176" t="str">
        <f aca="false">IFERROR(VLOOKUP($B613,'Unit Cost Database'!$A:$H,3,FALSE()),"LS")</f>
        <v>EA</v>
      </c>
      <c r="F613" s="184" t="n">
        <f aca="false">IFERROR(VLOOKUP($B613,'Unit Cost Database'!$A:$H,8,FALSE()),0)</f>
        <v>2450</v>
      </c>
      <c r="G613" s="179" t="n">
        <f aca="false">$F$7</f>
        <v>0.1</v>
      </c>
      <c r="H613" s="180" t="n">
        <f aca="false">IF(OR(D613="",F613="",D613=0,F613=0),0,D613*F613*$H$8*(1+G613)*(1+$H$7))</f>
        <v>10041570</v>
      </c>
      <c r="I613" s="177" t="s">
        <v>361</v>
      </c>
      <c r="J613" s="185" t="s">
        <v>77</v>
      </c>
    </row>
    <row r="614" customFormat="false" ht="15" hidden="false" customHeight="true" outlineLevel="1" collapsed="false">
      <c r="A614" s="176"/>
      <c r="B614" s="195" t="s">
        <v>1399</v>
      </c>
      <c r="C614" s="195" t="s">
        <v>1400</v>
      </c>
      <c r="D614" s="183" t="n">
        <v>0</v>
      </c>
      <c r="E614" s="176" t="str">
        <f aca="false">IFERROR(VLOOKUP($B614,'Unit Cost Database'!$A:$H,3,FALSE()),"LS")</f>
        <v>LS</v>
      </c>
      <c r="F614" s="194" t="n">
        <f aca="false">IFERROR(VLOOKUP($B614,'Unit Cost Database'!$A:$H,8,FALSE()),0)</f>
        <v>6174000</v>
      </c>
      <c r="G614" s="179" t="n">
        <f aca="false">$F$7</f>
        <v>0.1</v>
      </c>
      <c r="H614" s="180" t="n">
        <f aca="false">IF(OR(D614="",F614="",D614=0,F614=0),0,D614*F614*$H$8*(1+G614)*(1+$H$7))</f>
        <v>0</v>
      </c>
      <c r="I614" s="177" t="s">
        <v>361</v>
      </c>
      <c r="J614" s="185" t="s">
        <v>77</v>
      </c>
    </row>
    <row r="615" customFormat="false" ht="15" hidden="false" customHeight="true" outlineLevel="1" collapsed="false">
      <c r="A615" s="176"/>
      <c r="B615" s="195" t="s">
        <v>1401</v>
      </c>
      <c r="C615" s="195" t="s">
        <v>1402</v>
      </c>
      <c r="D615" s="183" t="n">
        <v>0</v>
      </c>
      <c r="E615" s="176" t="str">
        <f aca="false">IFERROR(VLOOKUP($B615,'Unit Cost Database'!$A:$H,3,FALSE()),"LS")</f>
        <v>LS</v>
      </c>
      <c r="F615" s="194" t="n">
        <f aca="false">IFERROR(VLOOKUP($B615,'Unit Cost Database'!$A:$H,8,FALSE()),0)</f>
        <v>1587600</v>
      </c>
      <c r="G615" s="179" t="n">
        <f aca="false">$F$7</f>
        <v>0.1</v>
      </c>
      <c r="H615" s="180" t="n">
        <f aca="false">IF(OR(D615="",F615="",D615=0,F615=0),0,D615*F615*$H$8*(1+G615)*(1+$H$7))</f>
        <v>0</v>
      </c>
      <c r="I615" s="177" t="s">
        <v>361</v>
      </c>
      <c r="J615" s="185" t="s">
        <v>77</v>
      </c>
    </row>
    <row r="616" customFormat="false" ht="15" hidden="false" customHeight="true" outlineLevel="1" collapsed="false">
      <c r="A616" s="176"/>
      <c r="B616" s="195" t="s">
        <v>1403</v>
      </c>
      <c r="C616" s="195" t="s">
        <v>1404</v>
      </c>
      <c r="D616" s="183" t="n">
        <v>0</v>
      </c>
      <c r="E616" s="176" t="str">
        <f aca="false">IFERROR(VLOOKUP($B616,'Unit Cost Database'!$A:$H,3,FALSE()),"LS")</f>
        <v>LS</v>
      </c>
      <c r="F616" s="194" t="n">
        <f aca="false">IFERROR(VLOOKUP($B616,'Unit Cost Database'!$A:$H,8,FALSE()),0)</f>
        <v>1058400</v>
      </c>
      <c r="G616" s="179" t="n">
        <f aca="false">$F$7</f>
        <v>0.1</v>
      </c>
      <c r="H616" s="180" t="n">
        <f aca="false">IF(OR(D616="",F616="",D616=0,F616=0),0,D616*F616*$H$8*(1+G616)*(1+$H$7))</f>
        <v>0</v>
      </c>
      <c r="I616" s="177" t="s">
        <v>361</v>
      </c>
      <c r="J616" s="185" t="s">
        <v>77</v>
      </c>
    </row>
    <row r="617" customFormat="false" ht="15" hidden="false" customHeight="true" outlineLevel="1" collapsed="false">
      <c r="A617" s="176" t="n">
        <v>28</v>
      </c>
      <c r="B617" s="195" t="s">
        <v>1405</v>
      </c>
      <c r="C617" s="195" t="s">
        <v>1406</v>
      </c>
      <c r="D617" s="183" t="n">
        <v>8800</v>
      </c>
      <c r="E617" s="176" t="str">
        <f aca="false">IFERROR(VLOOKUP($B617,'Unit Cost Database'!$A:$H,3,FALSE()),"LS")</f>
        <v>EA</v>
      </c>
      <c r="F617" s="184" t="n">
        <f aca="false">IFERROR(VLOOKUP($B617,'Unit Cost Database'!$A:$H,8,FALSE()),0)</f>
        <v>250</v>
      </c>
      <c r="G617" s="179" t="n">
        <f aca="false">$F$7</f>
        <v>0.1</v>
      </c>
      <c r="H617" s="180" t="n">
        <f aca="false">IF(OR(D617="",F617="",D617=0,F617=0),0,D617*F617*$H$8*(1+G617)*(1+$H$7))</f>
        <v>2504700</v>
      </c>
      <c r="I617" s="177" t="s">
        <v>361</v>
      </c>
      <c r="J617" s="185" t="s">
        <v>77</v>
      </c>
    </row>
    <row r="618" customFormat="false" ht="15" hidden="false" customHeight="true" outlineLevel="1" collapsed="false">
      <c r="A618" s="176"/>
      <c r="B618" s="195" t="s">
        <v>1407</v>
      </c>
      <c r="C618" s="195" t="s">
        <v>1408</v>
      </c>
      <c r="D618" s="183" t="n">
        <v>0</v>
      </c>
      <c r="E618" s="176" t="str">
        <f aca="false">IFERROR(VLOOKUP($B618,'Unit Cost Database'!$A:$H,3,FALSE()),"LS")</f>
        <v>LS</v>
      </c>
      <c r="F618" s="194" t="n">
        <f aca="false">IFERROR(VLOOKUP($B618,'Unit Cost Database'!$A:$H,8,FALSE()),0)</f>
        <v>1320000</v>
      </c>
      <c r="G618" s="179" t="n">
        <f aca="false">$F$7</f>
        <v>0.1</v>
      </c>
      <c r="H618" s="180" t="n">
        <f aca="false">IF(OR(D618="",F618="",D618=0,F618=0),0,D618*F618*$H$8*(1+G618)*(1+$H$7))</f>
        <v>0</v>
      </c>
      <c r="I618" s="177" t="s">
        <v>361</v>
      </c>
      <c r="J618" s="185" t="s">
        <v>77</v>
      </c>
    </row>
    <row r="619" customFormat="false" ht="15" hidden="false" customHeight="true" outlineLevel="1" collapsed="false">
      <c r="A619" s="176"/>
      <c r="B619" s="195" t="s">
        <v>1409</v>
      </c>
      <c r="C619" s="195" t="s">
        <v>1410</v>
      </c>
      <c r="D619" s="183" t="n">
        <v>0</v>
      </c>
      <c r="E619" s="176" t="str">
        <f aca="false">IFERROR(VLOOKUP($B619,'Unit Cost Database'!$A:$H,3,FALSE()),"LS")</f>
        <v>LS</v>
      </c>
      <c r="F619" s="194" t="n">
        <f aca="false">IFERROR(VLOOKUP($B619,'Unit Cost Database'!$A:$H,8,FALSE()),0)</f>
        <v>550000</v>
      </c>
      <c r="G619" s="179" t="n">
        <f aca="false">$F$7</f>
        <v>0.1</v>
      </c>
      <c r="H619" s="180" t="n">
        <f aca="false">IF(OR(D619="",F619="",D619=0,F619=0),0,D619*F619*$H$8*(1+G619)*(1+$H$7))</f>
        <v>0</v>
      </c>
      <c r="I619" s="177" t="s">
        <v>361</v>
      </c>
      <c r="J619" s="185" t="s">
        <v>77</v>
      </c>
    </row>
    <row r="620" customFormat="false" ht="15" hidden="false" customHeight="true" outlineLevel="1" collapsed="false">
      <c r="A620" s="176"/>
      <c r="B620" s="195" t="s">
        <v>1411</v>
      </c>
      <c r="C620" s="195" t="s">
        <v>1412</v>
      </c>
      <c r="D620" s="183" t="n">
        <v>0</v>
      </c>
      <c r="E620" s="176" t="str">
        <f aca="false">IFERROR(VLOOKUP($B620,'Unit Cost Database'!$A:$H,3,FALSE()),"LS")</f>
        <v>LS</v>
      </c>
      <c r="F620" s="194" t="n">
        <f aca="false">IFERROR(VLOOKUP($B620,'Unit Cost Database'!$A:$H,8,FALSE()),0)</f>
        <v>330000</v>
      </c>
      <c r="G620" s="179" t="n">
        <f aca="false">$F$7</f>
        <v>0.1</v>
      </c>
      <c r="H620" s="180" t="n">
        <f aca="false">IF(OR(D620="",F620="",D620=0,F620=0),0,D620*F620*$H$8*(1+G620)*(1+$H$7))</f>
        <v>0</v>
      </c>
      <c r="I620" s="177" t="s">
        <v>361</v>
      </c>
      <c r="J620" s="185" t="s">
        <v>77</v>
      </c>
    </row>
    <row r="621" customFormat="false" ht="15" hidden="false" customHeight="true" outlineLevel="0" collapsed="false">
      <c r="A621" s="176" t="n">
        <v>29</v>
      </c>
      <c r="B621" s="195" t="s">
        <v>1413</v>
      </c>
      <c r="C621" s="195" t="s">
        <v>1414</v>
      </c>
      <c r="D621" s="183" t="n">
        <f aca="false">$C$6*0.15</f>
        <v>120000</v>
      </c>
      <c r="E621" s="176" t="str">
        <f aca="false">IFERROR(VLOOKUP($B621,'Unit Cost Database'!$A:$H,3,FALSE()),"LS")</f>
        <v>SF</v>
      </c>
      <c r="F621" s="184" t="n">
        <f aca="false">IFERROR(VLOOKUP($B621,'Unit Cost Database'!$A:$H,8,FALSE()),0)</f>
        <v>4.2</v>
      </c>
      <c r="G621" s="179" t="n">
        <f aca="false">$F$7</f>
        <v>0.1</v>
      </c>
      <c r="H621" s="180" t="n">
        <f aca="false">IF(OR(D621="",F621="",D621=0,F621=0),0,D621*F621*$H$8*(1+G621)*(1+$H$7))</f>
        <v>573804</v>
      </c>
      <c r="I621" s="177" t="s">
        <v>361</v>
      </c>
      <c r="J621" s="185" t="s">
        <v>77</v>
      </c>
    </row>
    <row r="622" customFormat="false" ht="15" hidden="false" customHeight="true" outlineLevel="0" collapsed="false">
      <c r="A622" s="176" t="n">
        <v>30</v>
      </c>
      <c r="B622" s="195" t="s">
        <v>1415</v>
      </c>
      <c r="C622" s="195" t="s">
        <v>1416</v>
      </c>
      <c r="D622" s="183" t="n">
        <v>440000</v>
      </c>
      <c r="E622" s="176" t="str">
        <f aca="false">IFERROR(VLOOKUP($B622,'Unit Cost Database'!$A:$H,3,FALSE()),"LS")</f>
        <v>SF</v>
      </c>
      <c r="F622" s="184" t="n">
        <f aca="false">IFERROR(VLOOKUP($B622,'Unit Cost Database'!$A:$H,8,FALSE()),0)</f>
        <v>5.6</v>
      </c>
      <c r="G622" s="179" t="n">
        <f aca="false">$F$7</f>
        <v>0.1</v>
      </c>
      <c r="H622" s="180" t="n">
        <f aca="false">IF(OR(D622="",F622="",D622=0,F622=0),0,D622*F622*$H$8*(1+G622)*(1+$H$7))</f>
        <v>2805264</v>
      </c>
      <c r="I622" s="177" t="s">
        <v>361</v>
      </c>
      <c r="J622" s="185" t="s">
        <v>77</v>
      </c>
    </row>
    <row r="623" customFormat="false" ht="15" hidden="false" customHeight="true" outlineLevel="0" collapsed="false">
      <c r="A623" s="176"/>
      <c r="B623" s="195" t="s">
        <v>1417</v>
      </c>
      <c r="C623" s="195" t="s">
        <v>1418</v>
      </c>
      <c r="D623" s="183" t="n">
        <v>0</v>
      </c>
      <c r="E623" s="176" t="str">
        <f aca="false">IFERROR(VLOOKUP($B623,'Unit Cost Database'!$A:$H,3,FALSE()),"LS")</f>
        <v>LS</v>
      </c>
      <c r="F623" s="184" t="n">
        <f aca="false">IFERROR(VLOOKUP($B623,'Unit Cost Database'!$A:$H,8,FALSE()),0)</f>
        <v>1478400</v>
      </c>
      <c r="G623" s="179" t="n">
        <f aca="false">$F$7</f>
        <v>0.1</v>
      </c>
      <c r="H623" s="180" t="n">
        <f aca="false">IF(OR(D623="",F623="",D623=0,F623=0),0,D623*F623*$H$8*(1+G623)*(1+$H$7))</f>
        <v>0</v>
      </c>
      <c r="I623" s="177" t="s">
        <v>361</v>
      </c>
      <c r="J623" s="185" t="s">
        <v>77</v>
      </c>
    </row>
    <row r="624" customFormat="false" ht="15" hidden="false" customHeight="true" outlineLevel="1" collapsed="false">
      <c r="A624" s="176"/>
      <c r="B624" s="195" t="s">
        <v>1419</v>
      </c>
      <c r="C624" s="195" t="s">
        <v>1420</v>
      </c>
      <c r="D624" s="183" t="n">
        <v>0</v>
      </c>
      <c r="E624" s="176" t="str">
        <f aca="false">IFERROR(VLOOKUP($B624,'Unit Cost Database'!$A:$H,3,FALSE()),"LS")</f>
        <v>LS</v>
      </c>
      <c r="F624" s="184" t="n">
        <f aca="false">IFERROR(VLOOKUP($B624,'Unit Cost Database'!$A:$H,8,FALSE()),0)</f>
        <v>492800</v>
      </c>
      <c r="G624" s="179" t="n">
        <f aca="false">$F$7</f>
        <v>0.1</v>
      </c>
      <c r="H624" s="180" t="n">
        <f aca="false">IF(OR(D624="",F624="",D624=0,F624=0),0,D624*F624*$H$8*(1+G624)*(1+$H$7))</f>
        <v>0</v>
      </c>
      <c r="I624" s="177" t="s">
        <v>361</v>
      </c>
      <c r="J624" s="185" t="s">
        <v>77</v>
      </c>
    </row>
    <row r="625" customFormat="false" ht="15" hidden="false" customHeight="true" outlineLevel="1" collapsed="false">
      <c r="A625" s="176"/>
      <c r="B625" s="195" t="s">
        <v>1421</v>
      </c>
      <c r="C625" s="195" t="s">
        <v>1422</v>
      </c>
      <c r="D625" s="183" t="n">
        <v>0</v>
      </c>
      <c r="E625" s="176" t="str">
        <f aca="false">IFERROR(VLOOKUP($B625,'Unit Cost Database'!$A:$H,3,FALSE()),"LS")</f>
        <v>LS</v>
      </c>
      <c r="F625" s="184" t="n">
        <f aca="false">IFERROR(VLOOKUP($B625,'Unit Cost Database'!$A:$H,8,FALSE()),0)</f>
        <v>492800</v>
      </c>
      <c r="G625" s="179" t="n">
        <f aca="false">$F$7</f>
        <v>0.1</v>
      </c>
      <c r="H625" s="180" t="n">
        <f aca="false">IF(OR(D625="",F625="",D625=0,F625=0),0,D625*F625*$H$8*(1+G625)*(1+$H$7))</f>
        <v>0</v>
      </c>
      <c r="I625" s="177" t="s">
        <v>361</v>
      </c>
      <c r="J625" s="185" t="s">
        <v>77</v>
      </c>
    </row>
    <row r="626" customFormat="false" ht="15" hidden="false" customHeight="true" outlineLevel="1" collapsed="false">
      <c r="A626" s="176" t="n">
        <v>31</v>
      </c>
      <c r="B626" s="195" t="s">
        <v>1423</v>
      </c>
      <c r="C626" s="195" t="s">
        <v>1424</v>
      </c>
      <c r="D626" s="183" t="n">
        <f aca="false">$C$6</f>
        <v>800000</v>
      </c>
      <c r="E626" s="176" t="str">
        <f aca="false">IFERROR(VLOOKUP($B626,'Unit Cost Database'!$A:$H,3,FALSE()),"LS")</f>
        <v>SF</v>
      </c>
      <c r="F626" s="184" t="n">
        <f aca="false">IFERROR(VLOOKUP($B626,'Unit Cost Database'!$A:$H,8,FALSE()),0)</f>
        <v>0.7</v>
      </c>
      <c r="G626" s="179" t="n">
        <f aca="false">$F$7</f>
        <v>0.1</v>
      </c>
      <c r="H626" s="180" t="n">
        <f aca="false">IF(OR(D626="",F626="",D626=0,F626=0),0,D626*F626*$H$8*(1+G626)*(1+$H$7))</f>
        <v>637560</v>
      </c>
      <c r="I626" s="177" t="s">
        <v>361</v>
      </c>
      <c r="J626" s="185" t="s">
        <v>77</v>
      </c>
    </row>
    <row r="627" customFormat="false" ht="15" hidden="false" customHeight="true" outlineLevel="1" collapsed="false">
      <c r="A627" s="176" t="n">
        <v>32</v>
      </c>
      <c r="B627" s="195" t="s">
        <v>1425</v>
      </c>
      <c r="C627" s="195" t="s">
        <v>1426</v>
      </c>
      <c r="D627" s="183" t="n">
        <f aca="false">$C$6*0.05</f>
        <v>40000</v>
      </c>
      <c r="E627" s="176" t="str">
        <f aca="false">IFERROR(VLOOKUP($B627,'Unit Cost Database'!$A:$H,3,FALSE()),"LS")</f>
        <v>SF</v>
      </c>
      <c r="F627" s="184" t="n">
        <f aca="false">IFERROR(VLOOKUP($B627,'Unit Cost Database'!$A:$H,8,FALSE()),0)</f>
        <v>5.6</v>
      </c>
      <c r="G627" s="179" t="n">
        <f aca="false">$F$7</f>
        <v>0.1</v>
      </c>
      <c r="H627" s="180" t="n">
        <f aca="false">IF(OR(D627="",F627="",D627=0,F627=0),0,D627*F627*$H$8*(1+G627)*(1+$H$7))</f>
        <v>255024</v>
      </c>
      <c r="I627" s="177" t="s">
        <v>361</v>
      </c>
      <c r="J627" s="185" t="s">
        <v>77</v>
      </c>
    </row>
    <row r="628" customFormat="false" ht="15" hidden="false" customHeight="true" outlineLevel="1" collapsed="false">
      <c r="A628" s="176" t="n">
        <v>33</v>
      </c>
      <c r="B628" s="195" t="s">
        <v>1427</v>
      </c>
      <c r="C628" s="195" t="s">
        <v>1428</v>
      </c>
      <c r="D628" s="183" t="n">
        <f aca="false">$C$6</f>
        <v>800000</v>
      </c>
      <c r="E628" s="176" t="str">
        <f aca="false">IFERROR(VLOOKUP($B628,'Unit Cost Database'!$A:$H,3,FALSE()),"LS")</f>
        <v>SF</v>
      </c>
      <c r="F628" s="184" t="n">
        <f aca="false">IFERROR(VLOOKUP($B628,'Unit Cost Database'!$A:$H,8,FALSE()),0)</f>
        <v>1.05</v>
      </c>
      <c r="G628" s="179" t="n">
        <f aca="false">$F$7</f>
        <v>0.1</v>
      </c>
      <c r="H628" s="180" t="n">
        <f aca="false">IF(OR(D628="",F628="",D628=0,F628=0),0,D628*F628*$H$8*(1+G628)*(1+$H$7))</f>
        <v>956340</v>
      </c>
      <c r="I628" s="177" t="s">
        <v>361</v>
      </c>
      <c r="J628" s="185" t="s">
        <v>77</v>
      </c>
    </row>
    <row r="629" customFormat="false" ht="15" hidden="false" customHeight="true" outlineLevel="1" collapsed="false">
      <c r="A629" s="176" t="n">
        <v>34</v>
      </c>
      <c r="B629" s="195" t="s">
        <v>1429</v>
      </c>
      <c r="C629" s="195" t="s">
        <v>1430</v>
      </c>
      <c r="D629" s="183" t="n">
        <f aca="false">30</f>
        <v>30</v>
      </c>
      <c r="E629" s="176" t="str">
        <f aca="false">IFERROR(VLOOKUP($B629,'Unit Cost Database'!$A:$H,3,FALSE()),"LS")</f>
        <v>EA</v>
      </c>
      <c r="F629" s="184" t="n">
        <f aca="false">IFERROR(VLOOKUP($B629,'Unit Cost Database'!$A:$H,8,FALSE()),0)</f>
        <v>10500</v>
      </c>
      <c r="G629" s="179" t="n">
        <f aca="false">$F$7</f>
        <v>0.1</v>
      </c>
      <c r="H629" s="180" t="n">
        <f aca="false">IF(OR(D629="",F629="",D629=0,F629=0),0,D629*F629*$H$8*(1+G629)*(1+$H$7))</f>
        <v>358627.5</v>
      </c>
      <c r="I629" s="177" t="s">
        <v>361</v>
      </c>
      <c r="J629" s="185" t="s">
        <v>77</v>
      </c>
    </row>
    <row r="630" customFormat="false" ht="15" hidden="false" customHeight="true" outlineLevel="1" collapsed="false">
      <c r="A630" s="176" t="n">
        <v>35</v>
      </c>
      <c r="B630" s="195" t="s">
        <v>1431</v>
      </c>
      <c r="C630" s="195" t="s">
        <v>1432</v>
      </c>
      <c r="D630" s="183" t="n">
        <v>180</v>
      </c>
      <c r="E630" s="176" t="str">
        <f aca="false">IFERROR(VLOOKUP($B630,'Unit Cost Database'!$A:$H,3,FALSE()),"LS")</f>
        <v>EA</v>
      </c>
      <c r="F630" s="184" t="n">
        <f aca="false">IFERROR(VLOOKUP($B630,'Unit Cost Database'!$A:$H,8,FALSE()),0)</f>
        <v>10500</v>
      </c>
      <c r="G630" s="179" t="n">
        <f aca="false">$F$7</f>
        <v>0.1</v>
      </c>
      <c r="H630" s="180" t="n">
        <f aca="false">IF(OR(D630="",F630="",D630=0,F630=0),0,D630*F630*$H$8*(1+G630)*(1+$H$7))</f>
        <v>2151765</v>
      </c>
      <c r="I630" s="177" t="s">
        <v>361</v>
      </c>
      <c r="J630" s="185" t="s">
        <v>77</v>
      </c>
    </row>
    <row r="631" customFormat="false" ht="15" hidden="false" customHeight="true" outlineLevel="1" collapsed="false">
      <c r="A631" s="176"/>
      <c r="B631" s="195" t="s">
        <v>1433</v>
      </c>
      <c r="C631" s="195" t="s">
        <v>1434</v>
      </c>
      <c r="D631" s="183" t="n">
        <v>0</v>
      </c>
      <c r="E631" s="176" t="str">
        <f aca="false">IFERROR(VLOOKUP($B631,'Unit Cost Database'!$A:$H,3,FALSE()),"LS")</f>
        <v>LS</v>
      </c>
      <c r="F631" s="184" t="n">
        <f aca="false">IFERROR(VLOOKUP($B631,'Unit Cost Database'!$A:$H,8,FALSE()),0)</f>
        <v>1039500</v>
      </c>
      <c r="G631" s="179" t="n">
        <f aca="false">$F$7</f>
        <v>0.1</v>
      </c>
      <c r="H631" s="180" t="n">
        <f aca="false">IF(OR(D631="",F631="",D631=0,F631=0),0,D631*F631*$H$8*(1+G631)*(1+$H$7))</f>
        <v>0</v>
      </c>
      <c r="I631" s="177" t="s">
        <v>361</v>
      </c>
      <c r="J631" s="185" t="s">
        <v>77</v>
      </c>
    </row>
    <row r="632" customFormat="false" ht="15" hidden="false" customHeight="true" outlineLevel="1" collapsed="false">
      <c r="A632" s="176"/>
      <c r="B632" s="195" t="s">
        <v>1435</v>
      </c>
      <c r="C632" s="195" t="s">
        <v>1436</v>
      </c>
      <c r="D632" s="183" t="n">
        <v>0</v>
      </c>
      <c r="E632" s="176" t="str">
        <f aca="false">IFERROR(VLOOKUP($B632,'Unit Cost Database'!$A:$H,3,FALSE()),"LS")</f>
        <v>LS</v>
      </c>
      <c r="F632" s="184" t="n">
        <f aca="false">IFERROR(VLOOKUP($B632,'Unit Cost Database'!$A:$H,8,FALSE()),0)</f>
        <v>472500</v>
      </c>
      <c r="G632" s="179" t="n">
        <f aca="false">$F$7</f>
        <v>0.1</v>
      </c>
      <c r="H632" s="180" t="n">
        <f aca="false">IF(OR(D632="",F632="",D632=0,F632=0),0,D632*F632*$H$8*(1+G632)*(1+$H$7))</f>
        <v>0</v>
      </c>
      <c r="I632" s="177" t="s">
        <v>361</v>
      </c>
      <c r="J632" s="185" t="s">
        <v>77</v>
      </c>
    </row>
    <row r="633" customFormat="false" ht="15" hidden="false" customHeight="true" outlineLevel="1" collapsed="false">
      <c r="A633" s="176"/>
      <c r="B633" s="195" t="s">
        <v>1437</v>
      </c>
      <c r="C633" s="195" t="s">
        <v>1438</v>
      </c>
      <c r="D633" s="183" t="n">
        <v>0</v>
      </c>
      <c r="E633" s="176" t="str">
        <f aca="false">IFERROR(VLOOKUP($B633,'Unit Cost Database'!$A:$H,3,FALSE()),"LS")</f>
        <v>LS</v>
      </c>
      <c r="F633" s="184" t="n">
        <f aca="false">IFERROR(VLOOKUP($B633,'Unit Cost Database'!$A:$H,8,FALSE()),0)</f>
        <v>378000</v>
      </c>
      <c r="G633" s="179" t="n">
        <f aca="false">$F$7</f>
        <v>0.1</v>
      </c>
      <c r="H633" s="180" t="n">
        <f aca="false">IF(OR(D633="",F633="",D633=0,F633=0),0,D633*F633*$H$8*(1+G633)*(1+$H$7))</f>
        <v>0</v>
      </c>
      <c r="I633" s="177" t="s">
        <v>361</v>
      </c>
      <c r="J633" s="185" t="s">
        <v>77</v>
      </c>
    </row>
    <row r="634" customFormat="false" ht="15" hidden="false" customHeight="true" outlineLevel="1" collapsed="false">
      <c r="A634" s="176" t="n">
        <v>36</v>
      </c>
      <c r="B634" s="195" t="s">
        <v>1439</v>
      </c>
      <c r="C634" s="195" t="s">
        <v>1440</v>
      </c>
      <c r="D634" s="183" t="n">
        <f aca="false">$C$9</f>
        <v>90</v>
      </c>
      <c r="E634" s="176" t="str">
        <f aca="false">IFERROR(VLOOKUP($B634,'Unit Cost Database'!$A:$H,3,FALSE()),"LS")</f>
        <v>EA</v>
      </c>
      <c r="F634" s="184" t="n">
        <f aca="false">IFERROR(VLOOKUP($B634,'Unit Cost Database'!$A:$H,8,FALSE()),0)</f>
        <v>17500</v>
      </c>
      <c r="G634" s="179" t="n">
        <f aca="false">$F$7</f>
        <v>0.1</v>
      </c>
      <c r="H634" s="180" t="n">
        <f aca="false">IF(OR(D634="",F634="",D634=0,F634=0),0,D634*F634*$H$8*(1+G634)*(1+$H$7))</f>
        <v>1793137.5</v>
      </c>
      <c r="I634" s="177" t="s">
        <v>361</v>
      </c>
      <c r="J634" s="185" t="s">
        <v>77</v>
      </c>
    </row>
    <row r="635" customFormat="false" ht="15" hidden="false" customHeight="true" outlineLevel="1" collapsed="false">
      <c r="A635" s="176" t="n">
        <v>37</v>
      </c>
      <c r="B635" s="195" t="s">
        <v>1441</v>
      </c>
      <c r="C635" s="195" t="s">
        <v>1442</v>
      </c>
      <c r="D635" s="183" t="n">
        <v>90</v>
      </c>
      <c r="E635" s="176" t="str">
        <f aca="false">IFERROR(VLOOKUP($B635,'Unit Cost Database'!$A:$H,3,FALSE()),"LS")</f>
        <v>MW</v>
      </c>
      <c r="F635" s="184" t="n">
        <f aca="false">IFERROR(VLOOKUP($B635,'Unit Cost Database'!$A:$H,8,FALSE()),0)</f>
        <v>35000</v>
      </c>
      <c r="G635" s="179" t="n">
        <f aca="false">$F$7</f>
        <v>0.1</v>
      </c>
      <c r="H635" s="180" t="n">
        <f aca="false">IF(OR(D635="",F635="",D635=0,F635=0),0,D635*F635*$H$8*(1+G635)*(1+$H$7))</f>
        <v>3586275</v>
      </c>
      <c r="I635" s="177" t="s">
        <v>361</v>
      </c>
      <c r="J635" s="185" t="s">
        <v>77</v>
      </c>
    </row>
    <row r="636" customFormat="false" ht="15" hidden="false" customHeight="true" outlineLevel="1" collapsed="false">
      <c r="A636" s="176"/>
      <c r="B636" s="195" t="s">
        <v>1443</v>
      </c>
      <c r="C636" s="195" t="s">
        <v>1444</v>
      </c>
      <c r="D636" s="183" t="n">
        <v>0</v>
      </c>
      <c r="E636" s="176" t="str">
        <f aca="false">IFERROR(VLOOKUP($B636,'Unit Cost Database'!$A:$H,3,FALSE()),"LS")</f>
        <v>LS</v>
      </c>
      <c r="F636" s="184" t="n">
        <f aca="false">IFERROR(VLOOKUP($B636,'Unit Cost Database'!$A:$H,8,FALSE()),0)</f>
        <v>1102500</v>
      </c>
      <c r="G636" s="179" t="n">
        <f aca="false">$F$7</f>
        <v>0.1</v>
      </c>
      <c r="H636" s="180" t="n">
        <f aca="false">IF(OR(D636="",F636="",D636=0,F636=0),0,D636*F636*$H$8*(1+G636)*(1+$H$7))</f>
        <v>0</v>
      </c>
      <c r="I636" s="177" t="s">
        <v>361</v>
      </c>
      <c r="J636" s="185" t="s">
        <v>77</v>
      </c>
    </row>
    <row r="637" customFormat="false" ht="15" hidden="false" customHeight="true" outlineLevel="1" collapsed="false">
      <c r="A637" s="176"/>
      <c r="B637" s="195" t="s">
        <v>1445</v>
      </c>
      <c r="C637" s="195" t="s">
        <v>1446</v>
      </c>
      <c r="D637" s="183" t="n">
        <v>0</v>
      </c>
      <c r="E637" s="176" t="str">
        <f aca="false">IFERROR(VLOOKUP($B637,'Unit Cost Database'!$A:$H,3,FALSE()),"LS")</f>
        <v>LS</v>
      </c>
      <c r="F637" s="184" t="n">
        <f aca="false">IFERROR(VLOOKUP($B637,'Unit Cost Database'!$A:$H,8,FALSE()),0)</f>
        <v>945000</v>
      </c>
      <c r="G637" s="179" t="n">
        <f aca="false">$F$7</f>
        <v>0.1</v>
      </c>
      <c r="H637" s="180" t="n">
        <f aca="false">IF(OR(D637="",F637="",D637=0,F637=0),0,D637*F637*$H$8*(1+G637)*(1+$H$7))</f>
        <v>0</v>
      </c>
      <c r="I637" s="177" t="s">
        <v>361</v>
      </c>
      <c r="J637" s="185" t="s">
        <v>77</v>
      </c>
    </row>
    <row r="638" customFormat="false" ht="15" hidden="false" customHeight="true" outlineLevel="1" collapsed="false">
      <c r="A638" s="176"/>
      <c r="B638" s="195" t="s">
        <v>1447</v>
      </c>
      <c r="C638" s="195" t="s">
        <v>1448</v>
      </c>
      <c r="D638" s="183" t="n">
        <v>0</v>
      </c>
      <c r="E638" s="176" t="str">
        <f aca="false">IFERROR(VLOOKUP($B638,'Unit Cost Database'!$A:$H,3,FALSE()),"LS")</f>
        <v>LS</v>
      </c>
      <c r="F638" s="184" t="n">
        <f aca="false">IFERROR(VLOOKUP($B638,'Unit Cost Database'!$A:$H,8,FALSE()),0)</f>
        <v>1102500</v>
      </c>
      <c r="G638" s="179" t="n">
        <f aca="false">$F$7</f>
        <v>0.1</v>
      </c>
      <c r="H638" s="180" t="n">
        <f aca="false">IF(OR(D638="",F638="",D638=0,F638=0),0,D638*F638*$H$8*(1+G638)*(1+$H$7))</f>
        <v>0</v>
      </c>
      <c r="I638" s="177" t="s">
        <v>361</v>
      </c>
      <c r="J638" s="185" t="s">
        <v>77</v>
      </c>
    </row>
    <row r="639" customFormat="false" ht="15" hidden="false" customHeight="true" outlineLevel="1" collapsed="false">
      <c r="A639" s="176" t="n">
        <v>38</v>
      </c>
      <c r="B639" s="195" t="s">
        <v>1449</v>
      </c>
      <c r="C639" s="195" t="s">
        <v>1450</v>
      </c>
      <c r="D639" s="183" t="n">
        <v>24</v>
      </c>
      <c r="E639" s="176" t="str">
        <f aca="false">IFERROR(VLOOKUP($B639,'Unit Cost Database'!$A:$H,3,FALSE()),"LS")</f>
        <v>EA</v>
      </c>
      <c r="F639" s="184" t="n">
        <f aca="false">IFERROR(VLOOKUP($B639,'Unit Cost Database'!$A:$H,8,FALSE()),0)</f>
        <v>85000</v>
      </c>
      <c r="G639" s="179" t="n">
        <f aca="false">$F$7</f>
        <v>0.1</v>
      </c>
      <c r="H639" s="180" t="n">
        <f aca="false">IF(OR(D639="",F639="",D639=0,F639=0),0,D639*F639*$H$8*(1+G639)*(1+$H$7))</f>
        <v>2322540</v>
      </c>
      <c r="I639" s="177" t="s">
        <v>361</v>
      </c>
      <c r="J639" s="185" t="s">
        <v>77</v>
      </c>
    </row>
    <row r="640" customFormat="false" ht="15" hidden="false" customHeight="true" outlineLevel="1" collapsed="false">
      <c r="A640" s="176"/>
      <c r="B640" s="195" t="s">
        <v>1451</v>
      </c>
      <c r="C640" s="195" t="s">
        <v>1452</v>
      </c>
      <c r="D640" s="183" t="n">
        <v>0</v>
      </c>
      <c r="E640" s="176" t="str">
        <f aca="false">IFERROR(VLOOKUP($B640,'Unit Cost Database'!$A:$H,3,FALSE()),"LS")</f>
        <v>LS</v>
      </c>
      <c r="F640" s="184" t="n">
        <f aca="false">IFERROR(VLOOKUP($B640,'Unit Cost Database'!$A:$H,8,FALSE()),0)</f>
        <v>1326000</v>
      </c>
      <c r="G640" s="179" t="n">
        <f aca="false">$F$7</f>
        <v>0.1</v>
      </c>
      <c r="H640" s="180" t="n">
        <f aca="false">IF(OR(D640="",F640="",D640=0,F640=0),0,D640*F640*$H$8*(1+G640)*(1+$H$7))</f>
        <v>0</v>
      </c>
      <c r="I640" s="177" t="s">
        <v>361</v>
      </c>
      <c r="J640" s="185" t="s">
        <v>77</v>
      </c>
    </row>
    <row r="641" customFormat="false" ht="15" hidden="false" customHeight="true" outlineLevel="1" collapsed="false">
      <c r="A641" s="176"/>
      <c r="B641" s="195" t="s">
        <v>1453</v>
      </c>
      <c r="C641" s="195" t="s">
        <v>1454</v>
      </c>
      <c r="D641" s="183" t="n">
        <v>0</v>
      </c>
      <c r="E641" s="176" t="str">
        <f aca="false">IFERROR(VLOOKUP($B641,'Unit Cost Database'!$A:$H,3,FALSE()),"LS")</f>
        <v>LS</v>
      </c>
      <c r="F641" s="184" t="n">
        <f aca="false">IFERROR(VLOOKUP($B641,'Unit Cost Database'!$A:$H,8,FALSE()),0)</f>
        <v>448800</v>
      </c>
      <c r="G641" s="179" t="n">
        <f aca="false">$F$7</f>
        <v>0.1</v>
      </c>
      <c r="H641" s="180" t="n">
        <f aca="false">IF(OR(D641="",F641="",D641=0,F641=0),0,D641*F641*$H$8*(1+G641)*(1+$H$7))</f>
        <v>0</v>
      </c>
      <c r="I641" s="177" t="s">
        <v>361</v>
      </c>
      <c r="J641" s="185" t="s">
        <v>77</v>
      </c>
    </row>
    <row r="642" customFormat="false" ht="15" hidden="false" customHeight="true" outlineLevel="1" collapsed="false">
      <c r="A642" s="176"/>
      <c r="B642" s="195" t="s">
        <v>1455</v>
      </c>
      <c r="C642" s="195" t="s">
        <v>1456</v>
      </c>
      <c r="D642" s="183" t="n">
        <v>0</v>
      </c>
      <c r="E642" s="176" t="str">
        <f aca="false">IFERROR(VLOOKUP($B642,'Unit Cost Database'!$A:$H,3,FALSE()),"LS")</f>
        <v>LS</v>
      </c>
      <c r="F642" s="184" t="n">
        <f aca="false">IFERROR(VLOOKUP($B642,'Unit Cost Database'!$A:$H,8,FALSE()),0)</f>
        <v>265200</v>
      </c>
      <c r="G642" s="179" t="n">
        <f aca="false">$F$7</f>
        <v>0.1</v>
      </c>
      <c r="H642" s="180" t="n">
        <f aca="false">IF(OR(D642="",F642="",D642=0,F642=0),0,D642*F642*$H$8*(1+G642)*(1+$H$7))</f>
        <v>0</v>
      </c>
      <c r="I642" s="177" t="s">
        <v>361</v>
      </c>
      <c r="J642" s="185" t="s">
        <v>77</v>
      </c>
    </row>
    <row r="643" customFormat="false" ht="15" hidden="false" customHeight="true" outlineLevel="1" collapsed="false">
      <c r="A643" s="176" t="n">
        <v>39</v>
      </c>
      <c r="B643" s="195" t="s">
        <v>1457</v>
      </c>
      <c r="C643" s="195" t="s">
        <v>1458</v>
      </c>
      <c r="D643" s="183" t="n">
        <v>60554.8284676821</v>
      </c>
      <c r="E643" s="176" t="str">
        <f aca="false">IFERROR(VLOOKUP($B643,'Unit Cost Database'!$A:$H,3,FALSE()),"LS")</f>
        <v>LF</v>
      </c>
      <c r="F643" s="184" t="n">
        <f aca="false">IFERROR(VLOOKUP($B643,'Unit Cost Database'!$A:$H,8,FALSE()),0)</f>
        <v>85</v>
      </c>
      <c r="G643" s="179" t="n">
        <f aca="false">$F$7</f>
        <v>0.1</v>
      </c>
      <c r="H643" s="180" t="n">
        <f aca="false">IF(OR(D643="",F643="",D643=0,F643=0),0,D643*F643*$H$8*(1+G643)*(1+$H$7))</f>
        <v>5860042.13788877</v>
      </c>
      <c r="I643" s="177" t="s">
        <v>361</v>
      </c>
      <c r="J643" s="185" t="s">
        <v>77</v>
      </c>
    </row>
    <row r="644" customFormat="false" ht="15" hidden="false" customHeight="true" outlineLevel="1" collapsed="false">
      <c r="A644" s="176"/>
      <c r="B644" s="195" t="s">
        <v>1459</v>
      </c>
      <c r="C644" s="195" t="s">
        <v>1460</v>
      </c>
      <c r="D644" s="183" t="n">
        <v>0</v>
      </c>
      <c r="E644" s="176" t="str">
        <f aca="false">IFERROR(VLOOKUP($B644,'Unit Cost Database'!$A:$H,3,FALSE()),"LS")</f>
        <v>LS</v>
      </c>
      <c r="F644" s="184" t="n">
        <f aca="false">IFERROR(VLOOKUP($B644,'Unit Cost Database'!$A:$H,8,FALSE()),0)</f>
        <v>3088296.2518318</v>
      </c>
      <c r="G644" s="179" t="n">
        <f aca="false">$F$7</f>
        <v>0.1</v>
      </c>
      <c r="H644" s="180" t="n">
        <f aca="false">IF(OR(D644="",F644="",D644=0,F644=0),0,D644*F644*$H$8*(1+G644)*(1+$H$7))</f>
        <v>0</v>
      </c>
      <c r="I644" s="177" t="s">
        <v>361</v>
      </c>
      <c r="J644" s="185" t="s">
        <v>77</v>
      </c>
    </row>
    <row r="645" customFormat="false" ht="15" hidden="false" customHeight="true" outlineLevel="1" collapsed="false">
      <c r="A645" s="176"/>
      <c r="B645" s="195" t="s">
        <v>1461</v>
      </c>
      <c r="C645" s="195" t="s">
        <v>1462</v>
      </c>
      <c r="D645" s="183" t="n">
        <v>0</v>
      </c>
      <c r="E645" s="176" t="str">
        <f aca="false">IFERROR(VLOOKUP($B645,'Unit Cost Database'!$A:$H,3,FALSE()),"LS")</f>
        <v>LS</v>
      </c>
      <c r="F645" s="184" t="n">
        <f aca="false">IFERROR(VLOOKUP($B645,'Unit Cost Database'!$A:$H,8,FALSE()),0)</f>
        <v>1286790.10493824</v>
      </c>
      <c r="G645" s="179" t="n">
        <f aca="false">$F$7</f>
        <v>0.1</v>
      </c>
      <c r="H645" s="180" t="n">
        <f aca="false">IF(OR(D645="",F645="",D645=0,F645=0),0,D645*F645*$H$8*(1+G645)*(1+$H$7))</f>
        <v>0</v>
      </c>
      <c r="I645" s="177" t="s">
        <v>361</v>
      </c>
      <c r="J645" s="185" t="s">
        <v>77</v>
      </c>
    </row>
    <row r="646" customFormat="false" ht="15" hidden="false" customHeight="true" outlineLevel="1" collapsed="false">
      <c r="A646" s="176"/>
      <c r="B646" s="195" t="s">
        <v>1463</v>
      </c>
      <c r="C646" s="195" t="s">
        <v>1464</v>
      </c>
      <c r="D646" s="183" t="n">
        <v>0</v>
      </c>
      <c r="E646" s="176" t="str">
        <f aca="false">IFERROR(VLOOKUP($B646,'Unit Cost Database'!$A:$H,3,FALSE()),"LS")</f>
        <v>LS</v>
      </c>
      <c r="F646" s="184" t="n">
        <f aca="false">IFERROR(VLOOKUP($B646,'Unit Cost Database'!$A:$H,8,FALSE()),0)</f>
        <v>772074.062982935</v>
      </c>
      <c r="G646" s="179" t="n">
        <f aca="false">$F$7</f>
        <v>0.1</v>
      </c>
      <c r="H646" s="180" t="n">
        <f aca="false">IF(OR(D646="",F646="",D646=0,F646=0),0,D646*F646*$H$8*(1+G646)*(1+$H$7))</f>
        <v>0</v>
      </c>
      <c r="I646" s="177" t="s">
        <v>361</v>
      </c>
      <c r="J646" s="185" t="s">
        <v>77</v>
      </c>
    </row>
    <row r="647" customFormat="false" ht="15" hidden="false" customHeight="true" outlineLevel="1" collapsed="false">
      <c r="A647" s="176" t="n">
        <v>40</v>
      </c>
      <c r="B647" s="195" t="s">
        <v>1465</v>
      </c>
      <c r="C647" s="195" t="s">
        <v>1466</v>
      </c>
      <c r="D647" s="183" t="n">
        <v>1</v>
      </c>
      <c r="E647" s="176" t="str">
        <f aca="false">IFERROR(VLOOKUP($B647,'Unit Cost Database'!$A:$H,3,FALSE()),"LS")</f>
        <v>LS</v>
      </c>
      <c r="F647" s="184" t="n">
        <f aca="false">IFERROR(VLOOKUP($B647,'Unit Cost Database'!$A:$H,8,FALSE()),0)</f>
        <v>2800000</v>
      </c>
      <c r="G647" s="179" t="n">
        <f aca="false">$F$7</f>
        <v>0.1</v>
      </c>
      <c r="H647" s="180" t="n">
        <f aca="false">IF(OR(D647="",F647="",D647=0,F647=0),0,D647*F647*$H$8*(1+G647)*(1+$H$7))</f>
        <v>3187800</v>
      </c>
      <c r="I647" s="177" t="s">
        <v>361</v>
      </c>
      <c r="J647" s="185" t="s">
        <v>77</v>
      </c>
    </row>
    <row r="648" customFormat="false" ht="15" hidden="false" customHeight="true" outlineLevel="1" collapsed="false">
      <c r="A648" s="176"/>
      <c r="B648" s="195" t="s">
        <v>1467</v>
      </c>
      <c r="C648" s="195" t="s">
        <v>1468</v>
      </c>
      <c r="D648" s="183" t="n">
        <v>0</v>
      </c>
      <c r="E648" s="176" t="str">
        <f aca="false">IFERROR(VLOOKUP($B648,'Unit Cost Database'!$A:$H,3,FALSE()),"LS")</f>
        <v>LS</v>
      </c>
      <c r="F648" s="184" t="n">
        <f aca="false">IFERROR(VLOOKUP($B648,'Unit Cost Database'!$A:$H,8,FALSE()),0)</f>
        <v>1540000</v>
      </c>
      <c r="G648" s="179" t="n">
        <f aca="false">$F$7</f>
        <v>0.1</v>
      </c>
      <c r="H648" s="180" t="n">
        <f aca="false">IF(OR(D648="",F648="",D648=0,F648=0),0,D648*F648*$H$8*(1+G648)*(1+$H$7))</f>
        <v>0</v>
      </c>
      <c r="I648" s="177" t="s">
        <v>361</v>
      </c>
      <c r="J648" s="185" t="s">
        <v>77</v>
      </c>
    </row>
    <row r="649" customFormat="false" ht="15" hidden="false" customHeight="true" outlineLevel="1" collapsed="false">
      <c r="A649" s="176"/>
      <c r="B649" s="195" t="s">
        <v>1469</v>
      </c>
      <c r="C649" s="195" t="s">
        <v>1470</v>
      </c>
      <c r="D649" s="183" t="n">
        <v>0</v>
      </c>
      <c r="E649" s="176" t="str">
        <f aca="false">IFERROR(VLOOKUP($B649,'Unit Cost Database'!$A:$H,3,FALSE()),"LS")</f>
        <v>LS</v>
      </c>
      <c r="F649" s="184" t="n">
        <f aca="false">IFERROR(VLOOKUP($B649,'Unit Cost Database'!$A:$H,8,FALSE()),0)</f>
        <v>700000</v>
      </c>
      <c r="G649" s="179" t="n">
        <f aca="false">$F$7</f>
        <v>0.1</v>
      </c>
      <c r="H649" s="180" t="n">
        <f aca="false">IF(OR(D649="",F649="",D649=0,F649=0),0,D649*F649*$H$8*(1+G649)*(1+$H$7))</f>
        <v>0</v>
      </c>
      <c r="I649" s="177" t="s">
        <v>361</v>
      </c>
      <c r="J649" s="185" t="s">
        <v>77</v>
      </c>
    </row>
    <row r="650" customFormat="false" ht="15" hidden="false" customHeight="true" outlineLevel="1" collapsed="false">
      <c r="A650" s="176"/>
      <c r="B650" s="195" t="s">
        <v>1471</v>
      </c>
      <c r="C650" s="195" t="s">
        <v>1472</v>
      </c>
      <c r="D650" s="183" t="n">
        <v>0</v>
      </c>
      <c r="E650" s="176" t="str">
        <f aca="false">IFERROR(VLOOKUP($B650,'Unit Cost Database'!$A:$H,3,FALSE()),"LS")</f>
        <v>LS</v>
      </c>
      <c r="F650" s="184" t="n">
        <f aca="false">IFERROR(VLOOKUP($B650,'Unit Cost Database'!$A:$H,8,FALSE()),0)</f>
        <v>560000</v>
      </c>
      <c r="G650" s="179" t="n">
        <f aca="false">$F$7</f>
        <v>0.1</v>
      </c>
      <c r="H650" s="180" t="n">
        <f aca="false">IF(OR(D650="",F650="",D650=0,F650=0),0,D650*F650*$H$8*(1+G650)*(1+$H$7))</f>
        <v>0</v>
      </c>
      <c r="I650" s="177" t="s">
        <v>361</v>
      </c>
      <c r="J650" s="185" t="s">
        <v>77</v>
      </c>
    </row>
    <row r="651" customFormat="false" ht="15" hidden="false" customHeight="true" outlineLevel="1" collapsed="false">
      <c r="A651" s="176" t="n">
        <v>41</v>
      </c>
      <c r="B651" s="195" t="s">
        <v>1473</v>
      </c>
      <c r="C651" s="195" t="s">
        <v>1474</v>
      </c>
      <c r="D651" s="183" t="n">
        <v>24000</v>
      </c>
      <c r="E651" s="176" t="str">
        <f aca="false">IFERROR(VLOOKUP($B651,'Unit Cost Database'!$A:$H,3,FALSE()),"LS")</f>
        <v>LF</v>
      </c>
      <c r="F651" s="184" t="n">
        <f aca="false">IFERROR(VLOOKUP($B651,'Unit Cost Database'!$A:$H,8,FALSE()),0)</f>
        <v>65</v>
      </c>
      <c r="G651" s="179" t="n">
        <f aca="false">$F$7</f>
        <v>0.1</v>
      </c>
      <c r="H651" s="180" t="n">
        <f aca="false">IF(OR(D651="",F651="",D651=0,F651=0),0,D651*F651*$H$8*(1+G651)*(1+$H$7))</f>
        <v>1776060</v>
      </c>
      <c r="I651" s="177" t="s">
        <v>361</v>
      </c>
      <c r="J651" s="185" t="s">
        <v>77</v>
      </c>
    </row>
    <row r="652" customFormat="false" ht="15" hidden="false" customHeight="true" outlineLevel="1" collapsed="false">
      <c r="A652" s="176" t="n">
        <v>42</v>
      </c>
      <c r="B652" s="195" t="s">
        <v>1475</v>
      </c>
      <c r="C652" s="195" t="s">
        <v>1476</v>
      </c>
      <c r="D652" s="183" t="n">
        <v>4800</v>
      </c>
      <c r="E652" s="176" t="str">
        <f aca="false">IFERROR(VLOOKUP($B652,'Unit Cost Database'!$A:$H,3,FALSE()),"LS")</f>
        <v>EA</v>
      </c>
      <c r="F652" s="184" t="n">
        <f aca="false">IFERROR(VLOOKUP($B652,'Unit Cost Database'!$A:$H,8,FALSE()),0)</f>
        <v>95</v>
      </c>
      <c r="G652" s="179" t="n">
        <f aca="false">$F$7</f>
        <v>0.1</v>
      </c>
      <c r="H652" s="180" t="n">
        <f aca="false">IF(OR(D652="",F652="",D652=0,F652=0),0,D652*F652*$H$8*(1+G652)*(1+$H$7))</f>
        <v>519156</v>
      </c>
      <c r="I652" s="177" t="s">
        <v>361</v>
      </c>
      <c r="J652" s="185" t="s">
        <v>77</v>
      </c>
    </row>
    <row r="653" customFormat="false" ht="15" hidden="false" customHeight="true" outlineLevel="1" collapsed="false">
      <c r="A653" s="176" t="n">
        <v>43</v>
      </c>
      <c r="B653" s="195" t="s">
        <v>1477</v>
      </c>
      <c r="C653" s="195" t="s">
        <v>1478</v>
      </c>
      <c r="D653" s="183" t="n">
        <v>1</v>
      </c>
      <c r="E653" s="176" t="str">
        <f aca="false">IFERROR(VLOOKUP($B653,'Unit Cost Database'!$A:$H,3,FALSE()),"LS")</f>
        <v>LS</v>
      </c>
      <c r="F653" s="184" t="n">
        <f aca="false">IFERROR(VLOOKUP($B653,'Unit Cost Database'!$A:$H,8,FALSE()),0)</f>
        <v>850000</v>
      </c>
      <c r="G653" s="179" t="n">
        <f aca="false">$F$7</f>
        <v>0.1</v>
      </c>
      <c r="H653" s="180" t="n">
        <f aca="false">IF(OR(D653="",F653="",D653=0,F653=0),0,D653*F653*$H$8*(1+G653)*(1+$H$7))</f>
        <v>967725</v>
      </c>
      <c r="I653" s="177" t="s">
        <v>361</v>
      </c>
      <c r="J653" s="185" t="s">
        <v>77</v>
      </c>
    </row>
    <row r="654" customFormat="false" ht="15" hidden="false" customHeight="true" outlineLevel="1" collapsed="false">
      <c r="A654" s="176" t="n">
        <v>44</v>
      </c>
      <c r="B654" s="195" t="s">
        <v>1479</v>
      </c>
      <c r="C654" s="195" t="s">
        <v>1222</v>
      </c>
      <c r="D654" s="183" t="n">
        <v>1</v>
      </c>
      <c r="E654" s="176" t="str">
        <f aca="false">IFERROR(VLOOKUP($B654,'Unit Cost Database'!$A:$H,3,FALSE()),"LS")</f>
        <v>LS</v>
      </c>
      <c r="F654" s="184" t="n">
        <f aca="false">IFERROR(VLOOKUP($B654,'Unit Cost Database'!$A:$H,8,FALSE()),0)</f>
        <v>350000</v>
      </c>
      <c r="G654" s="179" t="n">
        <f aca="false">$F$7</f>
        <v>0.1</v>
      </c>
      <c r="H654" s="180" t="n">
        <f aca="false">IF(OR(D654="",F654="",D654=0,F654=0),0,D654*F654*$H$8*(1+G654)*(1+$H$7))</f>
        <v>398475</v>
      </c>
      <c r="I654" s="177" t="s">
        <v>361</v>
      </c>
      <c r="J654" s="185" t="s">
        <v>77</v>
      </c>
    </row>
    <row r="655" customFormat="false" ht="15" hidden="false" customHeight="true" outlineLevel="1" collapsed="false">
      <c r="A655" s="176" t="n">
        <v>45</v>
      </c>
      <c r="B655" s="195" t="s">
        <v>1480</v>
      </c>
      <c r="C655" s="195" t="s">
        <v>1481</v>
      </c>
      <c r="D655" s="183" t="n">
        <v>1</v>
      </c>
      <c r="E655" s="176" t="str">
        <f aca="false">IFERROR(VLOOKUP($B655,'Unit Cost Database'!$A:$H,3,FALSE()),"LS")</f>
        <v>LS</v>
      </c>
      <c r="F655" s="184" t="n">
        <f aca="false">IFERROR(VLOOKUP($B655,'Unit Cost Database'!$A:$H,8,FALSE()),0)</f>
        <v>180000</v>
      </c>
      <c r="G655" s="179" t="n">
        <f aca="false">$F$7</f>
        <v>0.1</v>
      </c>
      <c r="H655" s="180" t="n">
        <f aca="false">IF(OR(D655="",F655="",D655=0,F655=0),0,D655*F655*$H$8*(1+G655)*(1+$H$7))</f>
        <v>204930</v>
      </c>
      <c r="I655" s="177" t="s">
        <v>361</v>
      </c>
      <c r="J655" s="185" t="s">
        <v>77</v>
      </c>
    </row>
    <row r="656" customFormat="false" ht="15" hidden="false" customHeight="true" outlineLevel="1" collapsed="false">
      <c r="A656" s="176" t="n">
        <v>46</v>
      </c>
      <c r="B656" s="195" t="s">
        <v>1482</v>
      </c>
      <c r="C656" s="195" t="s">
        <v>1483</v>
      </c>
      <c r="D656" s="183" t="n">
        <v>1800</v>
      </c>
      <c r="E656" s="176" t="str">
        <f aca="false">IFERROR(VLOOKUP($B656,'Unit Cost Database'!$A:$H,3,FALSE()),"LS")</f>
        <v>EA</v>
      </c>
      <c r="F656" s="184" t="n">
        <f aca="false">IFERROR(VLOOKUP($B656,'Unit Cost Database'!$A:$H,8,FALSE()),0)</f>
        <v>280</v>
      </c>
      <c r="G656" s="179" t="n">
        <f aca="false">$F$7</f>
        <v>0.1</v>
      </c>
      <c r="H656" s="180" t="n">
        <f aca="false">IF(OR(D656="",F656="",D656=0,F656=0),0,D656*F656*$H$8*(1+G656)*(1+$H$7))</f>
        <v>573804</v>
      </c>
      <c r="I656" s="177" t="s">
        <v>361</v>
      </c>
      <c r="J656" s="185" t="s">
        <v>77</v>
      </c>
    </row>
    <row r="657" customFormat="false" ht="15" hidden="false" customHeight="true" outlineLevel="1" collapsed="false">
      <c r="A657" s="176" t="n">
        <v>47</v>
      </c>
      <c r="B657" s="195" t="s">
        <v>1484</v>
      </c>
      <c r="C657" s="195" t="s">
        <v>1485</v>
      </c>
      <c r="D657" s="183" t="n">
        <v>9</v>
      </c>
      <c r="E657" s="176" t="str">
        <f aca="false">IFERROR(VLOOKUP($B657,'Unit Cost Database'!$A:$H,3,FALSE()),"LS")</f>
        <v>EA</v>
      </c>
      <c r="F657" s="184" t="n">
        <f aca="false">IFERROR(VLOOKUP($B657,'Unit Cost Database'!$A:$H,8,FALSE()),0)</f>
        <v>185000</v>
      </c>
      <c r="G657" s="179" t="n">
        <f aca="false">$F$7</f>
        <v>0.1</v>
      </c>
      <c r="H657" s="180" t="n">
        <f aca="false">IF(OR(D657="",F657="",D657=0,F657=0),0,D657*F657*$H$8*(1+G657)*(1+$H$7))</f>
        <v>1895602.5</v>
      </c>
      <c r="I657" s="177" t="s">
        <v>361</v>
      </c>
      <c r="J657" s="185" t="s">
        <v>77</v>
      </c>
    </row>
    <row r="658" customFormat="false" ht="15" hidden="false" customHeight="true" outlineLevel="1" collapsed="false">
      <c r="A658" s="176" t="n">
        <v>48</v>
      </c>
      <c r="B658" s="195" t="s">
        <v>1486</v>
      </c>
      <c r="C658" s="195" t="s">
        <v>1487</v>
      </c>
      <c r="D658" s="183" t="n">
        <v>90</v>
      </c>
      <c r="E658" s="176" t="str">
        <f aca="false">IFERROR(VLOOKUP($B658,'Unit Cost Database'!$A:$H,3,FALSE()),"LS")</f>
        <v>MW</v>
      </c>
      <c r="F658" s="184" t="n">
        <f aca="false">IFERROR(VLOOKUP($B658,'Unit Cost Database'!$A:$H,8,FALSE()),0)</f>
        <v>6500</v>
      </c>
      <c r="G658" s="179" t="n">
        <f aca="false">$F$7</f>
        <v>0.1</v>
      </c>
      <c r="H658" s="180" t="n">
        <f aca="false">IF(OR(D658="",F658="",D658=0,F658=0),0,D658*F658*$H$8*(1+G658)*(1+$H$7))</f>
        <v>666022.5</v>
      </c>
      <c r="I658" s="177" t="s">
        <v>361</v>
      </c>
      <c r="J658" s="185" t="s">
        <v>77</v>
      </c>
    </row>
    <row r="659" customFormat="false" ht="15" hidden="false" customHeight="true" outlineLevel="1" collapsed="false">
      <c r="A659" s="176" t="n">
        <v>49</v>
      </c>
      <c r="B659" s="195" t="s">
        <v>1488</v>
      </c>
      <c r="C659" s="195" t="s">
        <v>1489</v>
      </c>
      <c r="D659" s="183" t="n">
        <v>800000</v>
      </c>
      <c r="E659" s="176" t="str">
        <f aca="false">IFERROR(VLOOKUP($B659,'Unit Cost Database'!$A:$H,3,FALSE()),"LS")</f>
        <v>SF</v>
      </c>
      <c r="F659" s="184" t="n">
        <f aca="false">IFERROR(VLOOKUP($B659,'Unit Cost Database'!$A:$H,8,FALSE()),0)</f>
        <v>0.15</v>
      </c>
      <c r="G659" s="179" t="n">
        <f aca="false">$F$7</f>
        <v>0.1</v>
      </c>
      <c r="H659" s="180" t="n">
        <f aca="false">IF(OR(D659="",F659="",D659=0,F659=0),0,D659*F659*$H$8*(1+G659)*(1+$H$7))</f>
        <v>136620</v>
      </c>
      <c r="I659" s="177" t="s">
        <v>361</v>
      </c>
      <c r="J659" s="185" t="s">
        <v>77</v>
      </c>
    </row>
    <row r="660" customFormat="false" ht="15" hidden="false" customHeight="true" outlineLevel="1" collapsed="false">
      <c r="A660" s="176" t="n">
        <v>50</v>
      </c>
      <c r="B660" s="195" t="s">
        <v>1490</v>
      </c>
      <c r="C660" s="195" t="s">
        <v>1491</v>
      </c>
      <c r="D660" s="183" t="n">
        <v>90</v>
      </c>
      <c r="E660" s="176" t="str">
        <f aca="false">IFERROR(VLOOKUP($B660,'Unit Cost Database'!$A:$H,3,FALSE()),"LS")</f>
        <v>MW</v>
      </c>
      <c r="F660" s="184" t="n">
        <f aca="false">IFERROR(VLOOKUP($B660,'Unit Cost Database'!$A:$H,8,FALSE()),0)</f>
        <v>12000</v>
      </c>
      <c r="G660" s="179" t="n">
        <f aca="false">$F$7</f>
        <v>0.1</v>
      </c>
      <c r="H660" s="180" t="n">
        <f aca="false">IF(OR(D660="",F660="",D660=0,F660=0),0,D660*F660*$H$8*(1+G660)*(1+$H$7))</f>
        <v>1229580</v>
      </c>
      <c r="I660" s="177" t="s">
        <v>361</v>
      </c>
      <c r="J660" s="185" t="s">
        <v>77</v>
      </c>
    </row>
    <row r="661" customFormat="false" ht="15" hidden="false" customHeight="true" outlineLevel="1" collapsed="false">
      <c r="A661" s="176" t="n">
        <v>51</v>
      </c>
      <c r="B661" s="195" t="s">
        <v>1492</v>
      </c>
      <c r="C661" s="195" t="s">
        <v>1493</v>
      </c>
      <c r="D661" s="183" t="n">
        <v>90</v>
      </c>
      <c r="E661" s="176" t="str">
        <f aca="false">IFERROR(VLOOKUP($B661,'Unit Cost Database'!$A:$H,3,FALSE()),"LS")</f>
        <v>MW</v>
      </c>
      <c r="F661" s="184" t="n">
        <f aca="false">IFERROR(VLOOKUP($B661,'Unit Cost Database'!$A:$H,8,FALSE()),0)</f>
        <v>4500</v>
      </c>
      <c r="G661" s="179" t="n">
        <f aca="false">$F$7</f>
        <v>0.1</v>
      </c>
      <c r="H661" s="180" t="n">
        <f aca="false">IF(OR(D661="",F661="",D661=0,F661=0),0,D661*F661*$H$8*(1+G661)*(1+$H$7))</f>
        <v>461092.5</v>
      </c>
      <c r="I661" s="177" t="s">
        <v>361</v>
      </c>
      <c r="J661" s="185" t="s">
        <v>77</v>
      </c>
    </row>
    <row r="662" customFormat="false" ht="15" hidden="false" customHeight="true" outlineLevel="1" collapsed="false">
      <c r="A662" s="176" t="n">
        <v>52</v>
      </c>
      <c r="B662" s="195" t="s">
        <v>1494</v>
      </c>
      <c r="C662" s="195" t="s">
        <v>1495</v>
      </c>
      <c r="D662" s="183" t="n">
        <v>56.25</v>
      </c>
      <c r="E662" s="176" t="str">
        <f aca="false">IFERROR(VLOOKUP($B662,'Unit Cost Database'!$A:$H,3,FALSE()),"LS")</f>
        <v>EA</v>
      </c>
      <c r="F662" s="184" t="n">
        <f aca="false">IFERROR(VLOOKUP($B662,'Unit Cost Database'!$A:$H,8,FALSE()),0)</f>
        <v>35000</v>
      </c>
      <c r="G662" s="179" t="n">
        <f aca="false">$F$7</f>
        <v>0.1</v>
      </c>
      <c r="H662" s="180" t="n">
        <f aca="false">IF(OR(D662="",F662="",D662=0,F662=0),0,D662*F662*$H$8*(1+G662)*(1+$H$7))</f>
        <v>2241421.875</v>
      </c>
      <c r="I662" s="177" t="s">
        <v>361</v>
      </c>
      <c r="J662" s="185" t="s">
        <v>77</v>
      </c>
    </row>
    <row r="663" customFormat="false" ht="15" hidden="false" customHeight="true" outlineLevel="1" collapsed="false">
      <c r="A663" s="176" t="n">
        <v>53</v>
      </c>
      <c r="B663" s="195" t="s">
        <v>1496</v>
      </c>
      <c r="C663" s="195" t="s">
        <v>1497</v>
      </c>
      <c r="D663" s="183" t="n">
        <v>56.25</v>
      </c>
      <c r="E663" s="176" t="str">
        <f aca="false">IFERROR(VLOOKUP($B663,'Unit Cost Database'!$A:$H,3,FALSE()),"LS")</f>
        <v>EA</v>
      </c>
      <c r="F663" s="184" t="n">
        <f aca="false">IFERROR(VLOOKUP($B663,'Unit Cost Database'!$A:$H,8,FALSE()),0)</f>
        <v>18000</v>
      </c>
      <c r="G663" s="179" t="n">
        <f aca="false">$F$7</f>
        <v>0.1</v>
      </c>
      <c r="H663" s="180" t="n">
        <f aca="false">IF(OR(D663="",F663="",D663=0,F663=0),0,D663*F663*$H$8*(1+G663)*(1+$H$7))</f>
        <v>1152731.25</v>
      </c>
      <c r="I663" s="177" t="s">
        <v>361</v>
      </c>
      <c r="J663" s="185" t="s">
        <v>77</v>
      </c>
    </row>
    <row r="664" customFormat="false" ht="15" hidden="false" customHeight="true" outlineLevel="1" collapsed="false">
      <c r="A664" s="176" t="n">
        <v>54</v>
      </c>
      <c r="B664" s="195" t="s">
        <v>1498</v>
      </c>
      <c r="C664" s="195" t="s">
        <v>1499</v>
      </c>
      <c r="D664" s="183" t="n">
        <v>112500</v>
      </c>
      <c r="E664" s="176" t="str">
        <f aca="false">IFERROR(VLOOKUP($B664,'Unit Cost Database'!$A:$H,3,FALSE()),"LS")</f>
        <v>kW</v>
      </c>
      <c r="F664" s="184" t="n">
        <f aca="false">IFERROR(VLOOKUP($B664,'Unit Cost Database'!$A:$H,8,FALSE()),0)</f>
        <v>25</v>
      </c>
      <c r="G664" s="179" t="n">
        <f aca="false">$F$7</f>
        <v>0.1</v>
      </c>
      <c r="H664" s="180" t="n">
        <f aca="false">IF(OR(D664="",F664="",D664=0,F664=0),0,D664*F664*$H$8*(1+G664)*(1+$H$7))</f>
        <v>3202031.25</v>
      </c>
      <c r="I664" s="177" t="s">
        <v>361</v>
      </c>
      <c r="J664" s="185" t="s">
        <v>77</v>
      </c>
    </row>
    <row r="665" customFormat="false" ht="15" hidden="false" customHeight="true" outlineLevel="1" collapsed="false">
      <c r="A665" s="186"/>
      <c r="B665" s="187"/>
      <c r="C665" s="188" t="s">
        <v>1500</v>
      </c>
      <c r="D665" s="189"/>
      <c r="E665" s="186"/>
      <c r="F665" s="190"/>
      <c r="G665" s="191"/>
      <c r="H665" s="192" t="n">
        <f aca="false">SUM(H518:H664)</f>
        <v>248147784.950389</v>
      </c>
      <c r="I665" s="187"/>
      <c r="J665" s="187"/>
    </row>
    <row r="666" customFormat="false" ht="15" hidden="false" customHeight="true" outlineLevel="1" collapsed="false">
      <c r="A666" s="176"/>
      <c r="B666" s="195"/>
      <c r="C666" s="195"/>
      <c r="D666" s="177"/>
      <c r="E666" s="176"/>
      <c r="F666" s="178"/>
      <c r="G666" s="179"/>
      <c r="H666" s="180"/>
    </row>
    <row r="667" customFormat="false" ht="15" hidden="false" customHeight="true" outlineLevel="1" collapsed="false">
      <c r="A667" s="193" t="s">
        <v>1501</v>
      </c>
      <c r="B667" s="193"/>
      <c r="C667" s="193"/>
      <c r="D667" s="193"/>
      <c r="E667" s="193"/>
      <c r="F667" s="193"/>
      <c r="G667" s="193"/>
      <c r="H667" s="193"/>
      <c r="I667" s="182"/>
      <c r="J667" s="182" t="s">
        <v>77</v>
      </c>
    </row>
    <row r="668" customFormat="false" ht="15" hidden="false" customHeight="true" outlineLevel="1" collapsed="false">
      <c r="A668" s="176" t="n">
        <v>1</v>
      </c>
      <c r="B668" s="195" t="s">
        <v>1502</v>
      </c>
      <c r="C668" s="195" t="s">
        <v>1503</v>
      </c>
      <c r="D668" s="183" t="n">
        <f aca="false">$C$9*500</f>
        <v>45000</v>
      </c>
      <c r="E668" s="176" t="str">
        <f aca="false">IFERROR(VLOOKUP($B668,'Unit Cost Database'!$A:$H,3,FALSE()),"LS")</f>
        <v>LF</v>
      </c>
      <c r="F668" s="184" t="n">
        <f aca="false">IFERROR(VLOOKUP($B668,'Unit Cost Database'!$A:$H,8,FALSE()),0)</f>
        <v>35</v>
      </c>
      <c r="G668" s="179" t="n">
        <f aca="false">$F$7</f>
        <v>0.1</v>
      </c>
      <c r="H668" s="180" t="n">
        <f aca="false">IF(OR(D668="",F668="",D668=0,F668=0),0,D668*F668*$H$8*(1+G668)*(1+$H$7))</f>
        <v>1793137.5</v>
      </c>
      <c r="I668" s="177" t="s">
        <v>361</v>
      </c>
      <c r="J668" s="185" t="s">
        <v>77</v>
      </c>
    </row>
    <row r="669" customFormat="false" ht="15" hidden="false" customHeight="true" outlineLevel="1" collapsed="false">
      <c r="A669" s="176" t="n">
        <v>2</v>
      </c>
      <c r="B669" s="195" t="s">
        <v>1504</v>
      </c>
      <c r="C669" s="195" t="s">
        <v>1505</v>
      </c>
      <c r="D669" s="183" t="n">
        <f aca="false">$C$11*50</f>
        <v>5625</v>
      </c>
      <c r="E669" s="176" t="str">
        <f aca="false">IFERROR(VLOOKUP($B669,'Unit Cost Database'!$A:$H,3,FALSE()),"LS")</f>
        <v>EA</v>
      </c>
      <c r="F669" s="184" t="n">
        <f aca="false">IFERROR(VLOOKUP($B669,'Unit Cost Database'!$A:$H,8,FALSE()),0)</f>
        <v>245</v>
      </c>
      <c r="G669" s="179" t="n">
        <f aca="false">$F$7</f>
        <v>0.1</v>
      </c>
      <c r="H669" s="180" t="n">
        <f aca="false">IF(OR(D669="",F669="",D669=0,F669=0),0,D669*F669*$H$8*(1+G669)*(1+$H$7))</f>
        <v>1568995.3125</v>
      </c>
      <c r="I669" s="177" t="s">
        <v>361</v>
      </c>
      <c r="J669" s="185" t="s">
        <v>77</v>
      </c>
    </row>
    <row r="670" customFormat="false" ht="15" hidden="false" customHeight="true" outlineLevel="0" collapsed="false">
      <c r="A670" s="176" t="n">
        <v>3</v>
      </c>
      <c r="B670" s="195" t="s">
        <v>1506</v>
      </c>
      <c r="C670" s="195" t="s">
        <v>1507</v>
      </c>
      <c r="D670" s="183" t="n">
        <f aca="false">$C$13/100</f>
        <v>4400</v>
      </c>
      <c r="E670" s="176" t="str">
        <f aca="false">IFERROR(VLOOKUP($B670,'Unit Cost Database'!$A:$H,3,FALSE()),"LS")</f>
        <v>DROP</v>
      </c>
      <c r="F670" s="184" t="n">
        <f aca="false">IFERROR(VLOOKUP($B670,'Unit Cost Database'!$A:$H,8,FALSE()),0)</f>
        <v>200</v>
      </c>
      <c r="G670" s="179" t="n">
        <f aca="false">$F$7</f>
        <v>0.1</v>
      </c>
      <c r="H670" s="180" t="n">
        <f aca="false">IF(OR(D670="",F670="",D670=0,F670=0),0,D670*F670*$H$8*(1+G670)*(1+$H$7))</f>
        <v>1001880</v>
      </c>
      <c r="I670" s="177" t="s">
        <v>361</v>
      </c>
      <c r="J670" s="185" t="s">
        <v>77</v>
      </c>
    </row>
    <row r="671" customFormat="false" ht="15" hidden="false" customHeight="true" outlineLevel="0" collapsed="false">
      <c r="A671" s="176" t="n">
        <v>4</v>
      </c>
      <c r="B671" s="195" t="s">
        <v>1508</v>
      </c>
      <c r="C671" s="195" t="s">
        <v>1509</v>
      </c>
      <c r="D671" s="183" t="n">
        <f aca="false">$C$6*0.15/200</f>
        <v>600</v>
      </c>
      <c r="E671" s="176" t="str">
        <f aca="false">IFERROR(VLOOKUP($B671,'Unit Cost Database'!$A:$H,3,FALSE()),"LS")</f>
        <v>DROP</v>
      </c>
      <c r="F671" s="184" t="n">
        <f aca="false">IFERROR(VLOOKUP($B671,'Unit Cost Database'!$A:$H,8,FALSE()),0)</f>
        <v>245</v>
      </c>
      <c r="G671" s="179" t="n">
        <f aca="false">$F$7</f>
        <v>0.1</v>
      </c>
      <c r="H671" s="180" t="n">
        <f aca="false">IF(OR(D671="",F671="",D671=0,F671=0),0,D671*F671*$H$8*(1+G671)*(1+$H$7))</f>
        <v>167359.5</v>
      </c>
      <c r="I671" s="177" t="s">
        <v>361</v>
      </c>
      <c r="J671" s="185" t="s">
        <v>77</v>
      </c>
    </row>
    <row r="672" customFormat="false" ht="15" hidden="false" customHeight="true" outlineLevel="0" collapsed="false">
      <c r="A672" s="176" t="n">
        <v>5</v>
      </c>
      <c r="B672" s="195" t="s">
        <v>1510</v>
      </c>
      <c r="C672" s="195" t="s">
        <v>1511</v>
      </c>
      <c r="D672" s="183" t="n">
        <f aca="false">$C$9*1000</f>
        <v>90000</v>
      </c>
      <c r="E672" s="176" t="str">
        <f aca="false">IFERROR(VLOOKUP($B672,'Unit Cost Database'!$A:$H,3,FALSE()),"LS")</f>
        <v>LF</v>
      </c>
      <c r="F672" s="184" t="n">
        <f aca="false">IFERROR(VLOOKUP($B672,'Unit Cost Database'!$A:$H,8,FALSE()),0)</f>
        <v>5</v>
      </c>
      <c r="G672" s="179" t="n">
        <f aca="false">$F$7</f>
        <v>0.1</v>
      </c>
      <c r="H672" s="180" t="n">
        <f aca="false">IF(OR(D672="",F672="",D672=0,F672=0),0,D672*F672*$H$8*(1+G672)*(1+$H$7))</f>
        <v>512325</v>
      </c>
      <c r="I672" s="177" t="s">
        <v>361</v>
      </c>
      <c r="J672" s="185" t="s">
        <v>77</v>
      </c>
    </row>
    <row r="673" customFormat="false" ht="15" hidden="false" customHeight="true" outlineLevel="1" collapsed="false">
      <c r="A673" s="176" t="n">
        <v>6</v>
      </c>
      <c r="B673" s="195" t="s">
        <v>1512</v>
      </c>
      <c r="C673" s="195" t="s">
        <v>1513</v>
      </c>
      <c r="D673" s="183" t="n">
        <f aca="false">$C$9*500</f>
        <v>45000</v>
      </c>
      <c r="E673" s="176" t="str">
        <f aca="false">IFERROR(VLOOKUP($B673,'Unit Cost Database'!$A:$H,3,FALSE()),"LS")</f>
        <v>LF</v>
      </c>
      <c r="F673" s="184" t="n">
        <f aca="false">IFERROR(VLOOKUP($B673,'Unit Cost Database'!$A:$H,8,FALSE()),0)</f>
        <v>5.6</v>
      </c>
      <c r="G673" s="179" t="n">
        <f aca="false">$F$7</f>
        <v>0.1</v>
      </c>
      <c r="H673" s="180" t="n">
        <f aca="false">IF(OR(D673="",F673="",D673=0,F673=0),0,D673*F673*$H$8*(1+G673)*(1+$H$7))</f>
        <v>286902</v>
      </c>
      <c r="I673" s="177" t="s">
        <v>361</v>
      </c>
      <c r="J673" s="185" t="s">
        <v>77</v>
      </c>
    </row>
    <row r="674" customFormat="false" ht="15" hidden="false" customHeight="true" outlineLevel="1" collapsed="false">
      <c r="A674" s="176" t="n">
        <v>7</v>
      </c>
      <c r="B674" s="195" t="s">
        <v>1514</v>
      </c>
      <c r="C674" s="195" t="s">
        <v>1515</v>
      </c>
      <c r="D674" s="183" t="n">
        <f aca="false">3</f>
        <v>3</v>
      </c>
      <c r="E674" s="176" t="str">
        <f aca="false">IFERROR(VLOOKUP($B674,'Unit Cost Database'!$A:$H,3,FALSE()),"LS")</f>
        <v>EA</v>
      </c>
      <c r="F674" s="184" t="n">
        <f aca="false">IFERROR(VLOOKUP($B674,'Unit Cost Database'!$A:$H,8,FALSE()),0)</f>
        <v>175000</v>
      </c>
      <c r="G674" s="179" t="n">
        <f aca="false">$F$7</f>
        <v>0.1</v>
      </c>
      <c r="H674" s="180" t="n">
        <f aca="false">IF(OR(D674="",F674="",D674=0,F674=0),0,D674*F674*$H$8*(1+G674)*(1+$H$7))</f>
        <v>597712.5</v>
      </c>
      <c r="I674" s="177" t="s">
        <v>361</v>
      </c>
      <c r="J674" s="185" t="s">
        <v>77</v>
      </c>
    </row>
    <row r="675" customFormat="false" ht="15" hidden="false" customHeight="true" outlineLevel="1" collapsed="false">
      <c r="A675" s="176" t="n">
        <v>8</v>
      </c>
      <c r="B675" s="195" t="s">
        <v>1516</v>
      </c>
      <c r="C675" s="195" t="s">
        <v>1517</v>
      </c>
      <c r="D675" s="183" t="n">
        <f aca="false">$C$13/50000</f>
        <v>8.8</v>
      </c>
      <c r="E675" s="176" t="str">
        <f aca="false">IFERROR(VLOOKUP($B675,'Unit Cost Database'!$A:$H,3,FALSE()),"LS")</f>
        <v>EA</v>
      </c>
      <c r="F675" s="184" t="n">
        <f aca="false">IFERROR(VLOOKUP($B675,'Unit Cost Database'!$A:$H,8,FALSE()),0)</f>
        <v>70000</v>
      </c>
      <c r="G675" s="179" t="n">
        <f aca="false">$F$7</f>
        <v>0.1</v>
      </c>
      <c r="H675" s="180" t="n">
        <f aca="false">IF(OR(D675="",F675="",D675=0,F675=0),0,D675*F675*$H$8*(1+G675)*(1+$H$7))</f>
        <v>701316</v>
      </c>
      <c r="I675" s="177" t="s">
        <v>361</v>
      </c>
      <c r="J675" s="185" t="s">
        <v>77</v>
      </c>
    </row>
    <row r="676" customFormat="false" ht="15" hidden="false" customHeight="true" outlineLevel="1" collapsed="false">
      <c r="A676" s="176" t="n">
        <v>9</v>
      </c>
      <c r="B676" s="195" t="s">
        <v>1518</v>
      </c>
      <c r="C676" s="195" t="s">
        <v>1519</v>
      </c>
      <c r="D676" s="183" t="n">
        <v>4400</v>
      </c>
      <c r="E676" s="176" t="str">
        <f aca="false">IFERROR(VLOOKUP($B676,'Unit Cost Database'!$A:$H,3,FALSE()),"LS")</f>
        <v>EA</v>
      </c>
      <c r="F676" s="184" t="n">
        <f aca="false">IFERROR(VLOOKUP($B676,'Unit Cost Database'!$A:$H,8,FALSE()),0)</f>
        <v>2500</v>
      </c>
      <c r="G676" s="179" t="n">
        <f aca="false">$F$7</f>
        <v>0.1</v>
      </c>
      <c r="H676" s="180" t="n">
        <f aca="false">IF(OR(D676="",F676="",D676=0,F676=0),0,D676*F676*$H$8*(1+G676)*(1+$H$7))</f>
        <v>12523500</v>
      </c>
      <c r="I676" s="177" t="s">
        <v>361</v>
      </c>
      <c r="J676" s="185" t="s">
        <v>77</v>
      </c>
    </row>
    <row r="677" customFormat="false" ht="15" hidden="false" customHeight="true" outlineLevel="1" collapsed="false">
      <c r="A677" s="176"/>
      <c r="B677" s="195" t="s">
        <v>1520</v>
      </c>
      <c r="C677" s="195" t="s">
        <v>1521</v>
      </c>
      <c r="D677" s="183" t="n">
        <v>0</v>
      </c>
      <c r="E677" s="176" t="str">
        <f aca="false">IFERROR(VLOOKUP($B677,'Unit Cost Database'!$A:$H,3,FALSE()),"LS")</f>
        <v>LS</v>
      </c>
      <c r="F677" s="184" t="n">
        <f aca="false">IFERROR(VLOOKUP($B677,'Unit Cost Database'!$A:$H,8,FALSE()),0)</f>
        <v>7150000</v>
      </c>
      <c r="G677" s="179" t="n">
        <f aca="false">$F$7</f>
        <v>0.1</v>
      </c>
      <c r="H677" s="180" t="n">
        <f aca="false">IF(OR(D677="",F677="",D677=0,F677=0),0,D677*F677*$H$8*(1+G677)*(1+$H$7))</f>
        <v>0</v>
      </c>
      <c r="I677" s="177" t="s">
        <v>361</v>
      </c>
      <c r="J677" s="185" t="s">
        <v>77</v>
      </c>
    </row>
    <row r="678" customFormat="false" ht="15" hidden="false" customHeight="true" outlineLevel="1" collapsed="false">
      <c r="A678" s="176"/>
      <c r="B678" s="195" t="s">
        <v>1522</v>
      </c>
      <c r="C678" s="195" t="s">
        <v>1523</v>
      </c>
      <c r="D678" s="183" t="n">
        <v>0</v>
      </c>
      <c r="E678" s="176" t="str">
        <f aca="false">IFERROR(VLOOKUP($B678,'Unit Cost Database'!$A:$H,3,FALSE()),"LS")</f>
        <v>LS</v>
      </c>
      <c r="F678" s="184" t="n">
        <f aca="false">IFERROR(VLOOKUP($B678,'Unit Cost Database'!$A:$H,8,FALSE()),0)</f>
        <v>2200000</v>
      </c>
      <c r="G678" s="179" t="n">
        <f aca="false">$F$7</f>
        <v>0.1</v>
      </c>
      <c r="H678" s="180" t="n">
        <f aca="false">IF(OR(D678="",F678="",D678=0,F678=0),0,D678*F678*$H$8*(1+G678)*(1+$H$7))</f>
        <v>0</v>
      </c>
      <c r="I678" s="177" t="s">
        <v>361</v>
      </c>
      <c r="J678" s="185" t="s">
        <v>77</v>
      </c>
    </row>
    <row r="679" customFormat="false" ht="15" hidden="false" customHeight="true" outlineLevel="1" collapsed="false">
      <c r="A679" s="176"/>
      <c r="B679" s="195" t="s">
        <v>1524</v>
      </c>
      <c r="C679" s="195" t="s">
        <v>1525</v>
      </c>
      <c r="D679" s="183" t="n">
        <v>0</v>
      </c>
      <c r="E679" s="176" t="str">
        <f aca="false">IFERROR(VLOOKUP($B679,'Unit Cost Database'!$A:$H,3,FALSE()),"LS")</f>
        <v>LS</v>
      </c>
      <c r="F679" s="184" t="n">
        <f aca="false">IFERROR(VLOOKUP($B679,'Unit Cost Database'!$A:$H,8,FALSE()),0)</f>
        <v>1650000</v>
      </c>
      <c r="G679" s="179" t="n">
        <f aca="false">$F$7</f>
        <v>0.1</v>
      </c>
      <c r="H679" s="180" t="n">
        <f aca="false">IF(OR(D679="",F679="",D679=0,F679=0),0,D679*F679*$H$8*(1+G679)*(1+$H$7))</f>
        <v>0</v>
      </c>
      <c r="I679" s="177" t="s">
        <v>361</v>
      </c>
      <c r="J679" s="185" t="s">
        <v>77</v>
      </c>
    </row>
    <row r="680" customFormat="false" ht="15" hidden="false" customHeight="true" outlineLevel="1" collapsed="false">
      <c r="A680" s="176" t="n">
        <v>10</v>
      </c>
      <c r="B680" s="195" t="s">
        <v>1526</v>
      </c>
      <c r="C680" s="195" t="s">
        <v>1527</v>
      </c>
      <c r="D680" s="183" t="n">
        <v>4440.6874208805</v>
      </c>
      <c r="E680" s="176" t="str">
        <f aca="false">IFERROR(VLOOKUP($B680,'Unit Cost Database'!$A:$H,3,FALSE()),"LS")</f>
        <v>EA</v>
      </c>
      <c r="F680" s="184" t="n">
        <f aca="false">IFERROR(VLOOKUP($B680,'Unit Cost Database'!$A:$H,8,FALSE()),0)</f>
        <v>1050</v>
      </c>
      <c r="G680" s="179" t="n">
        <f aca="false">$F$7</f>
        <v>0.1</v>
      </c>
      <c r="H680" s="180" t="n">
        <f aca="false">IF(OR(D680="",F680="",D680=0,F680=0),0,D680*F680*$H$8*(1+G680)*(1+$H$7))</f>
        <v>5308508.76010607</v>
      </c>
      <c r="I680" s="177" t="s">
        <v>361</v>
      </c>
      <c r="J680" s="185" t="s">
        <v>77</v>
      </c>
    </row>
    <row r="681" customFormat="false" ht="15" hidden="false" customHeight="true" outlineLevel="1" collapsed="false">
      <c r="A681" s="176"/>
      <c r="B681" s="195" t="s">
        <v>1528</v>
      </c>
      <c r="C681" s="195" t="s">
        <v>1529</v>
      </c>
      <c r="D681" s="183" t="n">
        <v>0</v>
      </c>
      <c r="E681" s="176" t="str">
        <f aca="false">IFERROR(VLOOKUP($B681,'Unit Cost Database'!$A:$H,3,FALSE()),"LS")</f>
        <v>LS</v>
      </c>
      <c r="F681" s="184" t="n">
        <f aca="false">IFERROR(VLOOKUP($B681,'Unit Cost Database'!$A:$H,8,FALSE()),0)</f>
        <v>1865088.71674982</v>
      </c>
      <c r="G681" s="179" t="n">
        <f aca="false">$F$7</f>
        <v>0.1</v>
      </c>
      <c r="H681" s="180" t="n">
        <f aca="false">IF(OR(D681="",F681="",D681=0,F681=0),0,D681*F681*$H$8*(1+G681)*(1+$H$7))</f>
        <v>0</v>
      </c>
      <c r="I681" s="177" t="s">
        <v>361</v>
      </c>
      <c r="J681" s="185" t="s">
        <v>77</v>
      </c>
    </row>
    <row r="682" customFormat="false" ht="15" hidden="false" customHeight="true" outlineLevel="1" collapsed="false">
      <c r="A682" s="176"/>
      <c r="B682" s="195" t="s">
        <v>1530</v>
      </c>
      <c r="C682" s="195" t="s">
        <v>1531</v>
      </c>
      <c r="D682" s="183" t="n">
        <v>0</v>
      </c>
      <c r="E682" s="176" t="str">
        <f aca="false">IFERROR(VLOOKUP($B682,'Unit Cost Database'!$A:$H,3,FALSE()),"LS")</f>
        <v>LS</v>
      </c>
      <c r="F682" s="184" t="n">
        <f aca="false">IFERROR(VLOOKUP($B682,'Unit Cost Database'!$A:$H,8,FALSE()),0)</f>
        <v>1631952.6271436</v>
      </c>
      <c r="G682" s="179" t="n">
        <f aca="false">$F$7</f>
        <v>0.1</v>
      </c>
      <c r="H682" s="180" t="n">
        <f aca="false">IF(OR(D682="",F682="",D682=0,F682=0),0,D682*F682*$H$8*(1+G682)*(1+$H$7))</f>
        <v>0</v>
      </c>
      <c r="I682" s="177" t="s">
        <v>361</v>
      </c>
      <c r="J682" s="185" t="s">
        <v>77</v>
      </c>
    </row>
    <row r="683" customFormat="false" ht="15" hidden="false" customHeight="true" outlineLevel="1" collapsed="false">
      <c r="A683" s="176"/>
      <c r="B683" s="195" t="s">
        <v>1532</v>
      </c>
      <c r="C683" s="195" t="s">
        <v>1533</v>
      </c>
      <c r="D683" s="183" t="n">
        <v>0</v>
      </c>
      <c r="E683" s="176" t="str">
        <f aca="false">IFERROR(VLOOKUP($B683,'Unit Cost Database'!$A:$H,3,FALSE()),"LS")</f>
        <v>LS</v>
      </c>
      <c r="F683" s="184" t="n">
        <f aca="false">IFERROR(VLOOKUP($B683,'Unit Cost Database'!$A:$H,8,FALSE()),0)</f>
        <v>1165680.4480311</v>
      </c>
      <c r="G683" s="179" t="n">
        <f aca="false">$F$7</f>
        <v>0.1</v>
      </c>
      <c r="H683" s="180" t="n">
        <f aca="false">IF(OR(D683="",F683="",D683=0,F683=0),0,D683*F683*$H$8*(1+G683)*(1+$H$7))</f>
        <v>0</v>
      </c>
      <c r="I683" s="177" t="s">
        <v>361</v>
      </c>
      <c r="J683" s="185" t="s">
        <v>77</v>
      </c>
    </row>
    <row r="684" customFormat="false" ht="15" hidden="false" customHeight="true" outlineLevel="1" collapsed="false">
      <c r="A684" s="176" t="n">
        <v>11</v>
      </c>
      <c r="B684" s="195" t="s">
        <v>1534</v>
      </c>
      <c r="C684" s="195" t="s">
        <v>1535</v>
      </c>
      <c r="D684" s="183" t="n">
        <f aca="false">$C$13*0.5</f>
        <v>220000</v>
      </c>
      <c r="E684" s="176" t="str">
        <f aca="false">IFERROR(VLOOKUP($B684,'Unit Cost Database'!$A:$H,3,FALSE()),"LS")</f>
        <v>SF</v>
      </c>
      <c r="F684" s="184" t="n">
        <f aca="false">IFERROR(VLOOKUP($B684,'Unit Cost Database'!$A:$H,8,FALSE()),0)</f>
        <v>1.4</v>
      </c>
      <c r="G684" s="179" t="n">
        <f aca="false">$F$7</f>
        <v>0.1</v>
      </c>
      <c r="H684" s="180" t="n">
        <f aca="false">IF(OR(D684="",F684="",D684=0,F684=0),0,D684*F684*$H$8*(1+G684)*(1+$H$7))</f>
        <v>350658</v>
      </c>
      <c r="I684" s="177" t="s">
        <v>361</v>
      </c>
      <c r="J684" s="185" t="s">
        <v>77</v>
      </c>
    </row>
    <row r="685" customFormat="false" ht="15" hidden="false" customHeight="true" outlineLevel="1" collapsed="false">
      <c r="A685" s="176" t="n">
        <v>12</v>
      </c>
      <c r="B685" s="195" t="s">
        <v>1536</v>
      </c>
      <c r="C685" s="195" t="s">
        <v>1537</v>
      </c>
      <c r="D685" s="183" t="n">
        <v>4400</v>
      </c>
      <c r="E685" s="176" t="str">
        <f aca="false">IFERROR(VLOOKUP($B685,'Unit Cost Database'!$A:$H,3,FALSE()),"LS")</f>
        <v>EA</v>
      </c>
      <c r="F685" s="184" t="n">
        <f aca="false">IFERROR(VLOOKUP($B685,'Unit Cost Database'!$A:$H,8,FALSE()),0)</f>
        <v>3150</v>
      </c>
      <c r="G685" s="179" t="n">
        <f aca="false">$F$7</f>
        <v>0.1</v>
      </c>
      <c r="H685" s="180" t="n">
        <f aca="false">IF(OR(D685="",F685="",D685=0,F685=0),0,D685*F685*$H$8*(1+G685)*(1+$H$7))</f>
        <v>15779610</v>
      </c>
      <c r="I685" s="177" t="s">
        <v>361</v>
      </c>
      <c r="J685" s="185" t="s">
        <v>77</v>
      </c>
    </row>
    <row r="686" customFormat="false" ht="15" hidden="false" customHeight="true" outlineLevel="1" collapsed="false">
      <c r="A686" s="176"/>
      <c r="B686" s="195" t="s">
        <v>1538</v>
      </c>
      <c r="C686" s="195" t="s">
        <v>1539</v>
      </c>
      <c r="D686" s="183" t="n">
        <v>0</v>
      </c>
      <c r="E686" s="176" t="str">
        <f aca="false">IFERROR(VLOOKUP($B686,'Unit Cost Database'!$A:$H,3,FALSE()),"LS")</f>
        <v>LS</v>
      </c>
      <c r="F686" s="184" t="n">
        <f aca="false">IFERROR(VLOOKUP($B686,'Unit Cost Database'!$A:$H,8,FALSE()),0)</f>
        <v>6930000</v>
      </c>
      <c r="G686" s="179" t="n">
        <f aca="false">$F$7</f>
        <v>0.1</v>
      </c>
      <c r="H686" s="180" t="n">
        <f aca="false">IF(OR(D686="",F686="",D686=0,F686=0),0,D686*F686*$H$8*(1+G686)*(1+$H$7))</f>
        <v>0</v>
      </c>
      <c r="I686" s="177" t="s">
        <v>361</v>
      </c>
      <c r="J686" s="185" t="s">
        <v>77</v>
      </c>
    </row>
    <row r="687" customFormat="false" ht="15" hidden="false" customHeight="true" outlineLevel="1" collapsed="false">
      <c r="A687" s="176"/>
      <c r="B687" s="195" t="s">
        <v>1540</v>
      </c>
      <c r="C687" s="195" t="s">
        <v>1541</v>
      </c>
      <c r="D687" s="183" t="n">
        <v>0</v>
      </c>
      <c r="E687" s="176" t="str">
        <f aca="false">IFERROR(VLOOKUP($B687,'Unit Cost Database'!$A:$H,3,FALSE()),"LS")</f>
        <v>LS</v>
      </c>
      <c r="F687" s="184" t="n">
        <f aca="false">IFERROR(VLOOKUP($B687,'Unit Cost Database'!$A:$H,8,FALSE()),0)</f>
        <v>4158000</v>
      </c>
      <c r="G687" s="179" t="n">
        <f aca="false">$F$7</f>
        <v>0.1</v>
      </c>
      <c r="H687" s="180" t="n">
        <f aca="false">IF(OR(D687="",F687="",D687=0,F687=0),0,D687*F687*$H$8*(1+G687)*(1+$H$7))</f>
        <v>0</v>
      </c>
      <c r="I687" s="177" t="s">
        <v>361</v>
      </c>
      <c r="J687" s="185" t="s">
        <v>77</v>
      </c>
    </row>
    <row r="688" customFormat="false" ht="15" hidden="false" customHeight="true" outlineLevel="1" collapsed="false">
      <c r="A688" s="176"/>
      <c r="B688" s="195" t="s">
        <v>1542</v>
      </c>
      <c r="C688" s="195" t="s">
        <v>1543</v>
      </c>
      <c r="D688" s="183" t="n">
        <v>0</v>
      </c>
      <c r="E688" s="176" t="str">
        <f aca="false">IFERROR(VLOOKUP($B688,'Unit Cost Database'!$A:$H,3,FALSE()),"LS")</f>
        <v>LS</v>
      </c>
      <c r="F688" s="184" t="n">
        <f aca="false">IFERROR(VLOOKUP($B688,'Unit Cost Database'!$A:$H,8,FALSE()),0)</f>
        <v>2772000</v>
      </c>
      <c r="G688" s="179" t="n">
        <f aca="false">$F$7</f>
        <v>0.1</v>
      </c>
      <c r="H688" s="180" t="n">
        <f aca="false">IF(OR(D688="",F688="",D688=0,F688=0),0,D688*F688*$H$8*(1+G688)*(1+$H$7))</f>
        <v>0</v>
      </c>
      <c r="I688" s="177" t="s">
        <v>361</v>
      </c>
      <c r="J688" s="185" t="s">
        <v>77</v>
      </c>
    </row>
    <row r="689" customFormat="false" ht="15" hidden="false" customHeight="true" outlineLevel="1" collapsed="false">
      <c r="A689" s="176" t="n">
        <v>13</v>
      </c>
      <c r="B689" s="195" t="s">
        <v>1544</v>
      </c>
      <c r="C689" s="195" t="s">
        <v>1545</v>
      </c>
      <c r="D689" s="183" t="n">
        <v>4400</v>
      </c>
      <c r="E689" s="176" t="str">
        <f aca="false">IFERROR(VLOOKUP($B689,'Unit Cost Database'!$A:$H,3,FALSE()),"LS")</f>
        <v>EA</v>
      </c>
      <c r="F689" s="184" t="n">
        <f aca="false">IFERROR(VLOOKUP($B689,'Unit Cost Database'!$A:$H,8,FALSE()),0)</f>
        <v>1050</v>
      </c>
      <c r="G689" s="179" t="n">
        <f aca="false">$F$7</f>
        <v>0.1</v>
      </c>
      <c r="H689" s="180" t="n">
        <f aca="false">IF(OR(D689="",F689="",D689=0,F689=0),0,D689*F689*$H$8*(1+G689)*(1+$H$7))</f>
        <v>5259870</v>
      </c>
      <c r="I689" s="177" t="s">
        <v>361</v>
      </c>
      <c r="J689" s="185" t="s">
        <v>77</v>
      </c>
    </row>
    <row r="690" customFormat="false" ht="15" hidden="false" customHeight="true" outlineLevel="1" collapsed="false">
      <c r="A690" s="176"/>
      <c r="B690" s="195" t="s">
        <v>1546</v>
      </c>
      <c r="C690" s="195" t="s">
        <v>1547</v>
      </c>
      <c r="D690" s="183" t="n">
        <v>0</v>
      </c>
      <c r="E690" s="176" t="str">
        <f aca="false">IFERROR(VLOOKUP($B690,'Unit Cost Database'!$A:$H,3,FALSE()),"LS")</f>
        <v>LS</v>
      </c>
      <c r="F690" s="184" t="n">
        <f aca="false">IFERROR(VLOOKUP($B690,'Unit Cost Database'!$A:$H,8,FALSE()),0)</f>
        <v>2541000</v>
      </c>
      <c r="G690" s="179" t="n">
        <f aca="false">$F$7</f>
        <v>0.1</v>
      </c>
      <c r="H690" s="180" t="n">
        <f aca="false">IF(OR(D690="",F690="",D690=0,F690=0),0,D690*F690*$H$8*(1+G690)*(1+$H$7))</f>
        <v>0</v>
      </c>
      <c r="I690" s="177" t="s">
        <v>361</v>
      </c>
      <c r="J690" s="185" t="s">
        <v>77</v>
      </c>
    </row>
    <row r="691" customFormat="false" ht="15" hidden="false" customHeight="true" outlineLevel="1" collapsed="false">
      <c r="A691" s="176"/>
      <c r="B691" s="195" t="s">
        <v>1548</v>
      </c>
      <c r="C691" s="195" t="s">
        <v>1549</v>
      </c>
      <c r="D691" s="183" t="n">
        <v>0</v>
      </c>
      <c r="E691" s="176" t="str">
        <f aca="false">IFERROR(VLOOKUP($B691,'Unit Cost Database'!$A:$H,3,FALSE()),"LS")</f>
        <v>LS</v>
      </c>
      <c r="F691" s="184" t="n">
        <f aca="false">IFERROR(VLOOKUP($B691,'Unit Cost Database'!$A:$H,8,FALSE()),0)</f>
        <v>1386000</v>
      </c>
      <c r="G691" s="179" t="n">
        <f aca="false">$F$7</f>
        <v>0.1</v>
      </c>
      <c r="H691" s="180" t="n">
        <f aca="false">IF(OR(D691="",F691="",D691=0,F691=0),0,D691*F691*$H$8*(1+G691)*(1+$H$7))</f>
        <v>0</v>
      </c>
      <c r="I691" s="177" t="s">
        <v>361</v>
      </c>
      <c r="J691" s="185" t="s">
        <v>77</v>
      </c>
    </row>
    <row r="692" customFormat="false" ht="15" hidden="false" customHeight="true" outlineLevel="1" collapsed="false">
      <c r="A692" s="176"/>
      <c r="B692" s="195" t="s">
        <v>1550</v>
      </c>
      <c r="C692" s="195" t="s">
        <v>1551</v>
      </c>
      <c r="D692" s="183" t="n">
        <v>0</v>
      </c>
      <c r="E692" s="176" t="str">
        <f aca="false">IFERROR(VLOOKUP($B692,'Unit Cost Database'!$A:$H,3,FALSE()),"LS")</f>
        <v>LS</v>
      </c>
      <c r="F692" s="184" t="n">
        <f aca="false">IFERROR(VLOOKUP($B692,'Unit Cost Database'!$A:$H,8,FALSE()),0)</f>
        <v>693000</v>
      </c>
      <c r="G692" s="179" t="n">
        <f aca="false">$F$7</f>
        <v>0.1</v>
      </c>
      <c r="H692" s="180" t="n">
        <f aca="false">IF(OR(D692="",F692="",D692=0,F692=0),0,D692*F692*$H$8*(1+G692)*(1+$H$7))</f>
        <v>0</v>
      </c>
      <c r="I692" s="177" t="s">
        <v>361</v>
      </c>
      <c r="J692" s="185" t="s">
        <v>77</v>
      </c>
    </row>
    <row r="693" customFormat="false" ht="15" hidden="false" customHeight="true" outlineLevel="1" collapsed="false">
      <c r="A693" s="176" t="n">
        <v>14</v>
      </c>
      <c r="B693" s="195" t="s">
        <v>1552</v>
      </c>
      <c r="C693" s="195" t="s">
        <v>1553</v>
      </c>
      <c r="D693" s="183" t="n">
        <f aca="false">$C$13/100</f>
        <v>4400</v>
      </c>
      <c r="E693" s="176" t="str">
        <f aca="false">IFERROR(VLOOKUP($B693,'Unit Cost Database'!$A:$H,3,FALSE()),"LS")</f>
        <v>CAB</v>
      </c>
      <c r="F693" s="184" t="n">
        <f aca="false">IFERROR(VLOOKUP($B693,'Unit Cost Database'!$A:$H,8,FALSE()),0)</f>
        <v>150</v>
      </c>
      <c r="G693" s="179" t="n">
        <f aca="false">$F$7</f>
        <v>0.1</v>
      </c>
      <c r="H693" s="180" t="n">
        <f aca="false">IF(OR(D693="",F693="",D693=0,F693=0),0,D693*F693*$H$8*(1+G693)*(1+$H$7))</f>
        <v>751410</v>
      </c>
      <c r="I693" s="177" t="s">
        <v>361</v>
      </c>
      <c r="J693" s="185" t="s">
        <v>77</v>
      </c>
    </row>
    <row r="694" customFormat="false" ht="15" hidden="false" customHeight="true" outlineLevel="1" collapsed="false">
      <c r="A694" s="176" t="n">
        <v>15</v>
      </c>
      <c r="B694" s="195" t="s">
        <v>1554</v>
      </c>
      <c r="C694" s="195" t="s">
        <v>1555</v>
      </c>
      <c r="D694" s="183" t="n">
        <f aca="false">$C$13/100</f>
        <v>4400</v>
      </c>
      <c r="E694" s="176" t="str">
        <f aca="false">IFERROR(VLOOKUP($B694,'Unit Cost Database'!$A:$H,3,FALSE()),"LS")</f>
        <v>EA</v>
      </c>
      <c r="F694" s="184" t="n">
        <f aca="false">IFERROR(VLOOKUP($B694,'Unit Cost Database'!$A:$H,8,FALSE()),0)</f>
        <v>245</v>
      </c>
      <c r="G694" s="179" t="n">
        <f aca="false">$F$7</f>
        <v>0.1</v>
      </c>
      <c r="H694" s="180" t="n">
        <f aca="false">IF(OR(D694="",F694="",D694=0,F694=0),0,D694*F694*$H$8*(1+G694)*(1+$H$7))</f>
        <v>1227303</v>
      </c>
      <c r="I694" s="177" t="s">
        <v>361</v>
      </c>
      <c r="J694" s="185" t="s">
        <v>77</v>
      </c>
    </row>
    <row r="695" customFormat="false" ht="15" hidden="false" customHeight="true" outlineLevel="1" collapsed="false">
      <c r="A695" s="176" t="n">
        <v>16</v>
      </c>
      <c r="B695" s="195" t="s">
        <v>1556</v>
      </c>
      <c r="C695" s="195" t="s">
        <v>1557</v>
      </c>
      <c r="D695" s="183" t="n">
        <v>444068.742092808</v>
      </c>
      <c r="E695" s="176" t="str">
        <f aca="false">IFERROR(VLOOKUP($B695,'Unit Cost Database'!$A:$H,3,FALSE()),"LS")</f>
        <v>LF</v>
      </c>
      <c r="F695" s="184" t="n">
        <f aca="false">IFERROR(VLOOKUP($B695,'Unit Cost Database'!$A:$H,8,FALSE()),0)</f>
        <v>10</v>
      </c>
      <c r="G695" s="179" t="n">
        <f aca="false">$F$7</f>
        <v>0.1</v>
      </c>
      <c r="H695" s="180" t="n">
        <f aca="false">IF(OR(D695="",F695="",D695=0,F695=0),0,D695*F695*$H$8*(1+G695)*(1+$H$7))</f>
        <v>5055722.62872662</v>
      </c>
      <c r="I695" s="177" t="s">
        <v>361</v>
      </c>
      <c r="J695" s="185" t="s">
        <v>77</v>
      </c>
    </row>
    <row r="696" customFormat="false" ht="15" hidden="false" customHeight="true" outlineLevel="1" collapsed="false">
      <c r="A696" s="176"/>
      <c r="B696" s="195" t="s">
        <v>1558</v>
      </c>
      <c r="C696" s="195" t="s">
        <v>1559</v>
      </c>
      <c r="D696" s="183" t="n">
        <v>0</v>
      </c>
      <c r="E696" s="176" t="str">
        <f aca="false">IFERROR(VLOOKUP($B696,'Unit Cost Database'!$A:$H,3,FALSE()),"LS")</f>
        <v>LS</v>
      </c>
      <c r="F696" s="194" t="n">
        <f aca="false">IFERROR(VLOOKUP($B696,'Unit Cost Database'!$A:$H,8,FALSE()),0)</f>
        <v>2220343.71046404</v>
      </c>
      <c r="G696" s="179" t="n">
        <f aca="false">$F$7</f>
        <v>0.1</v>
      </c>
      <c r="H696" s="180" t="n">
        <f aca="false">IF(OR(D696="",F696="",D696=0,F696=0),0,D696*F696*$H$8*(1+G696)*(1+$H$7))</f>
        <v>0</v>
      </c>
      <c r="I696" s="177" t="s">
        <v>361</v>
      </c>
      <c r="J696" s="185" t="s">
        <v>77</v>
      </c>
    </row>
    <row r="697" customFormat="false" ht="15" hidden="false" customHeight="true" outlineLevel="1" collapsed="false">
      <c r="A697" s="176"/>
      <c r="B697" s="195" t="s">
        <v>1560</v>
      </c>
      <c r="C697" s="195" t="s">
        <v>1561</v>
      </c>
      <c r="D697" s="183" t="n">
        <v>0</v>
      </c>
      <c r="E697" s="176" t="str">
        <f aca="false">IFERROR(VLOOKUP($B697,'Unit Cost Database'!$A:$H,3,FALSE()),"LS")</f>
        <v>LS</v>
      </c>
      <c r="F697" s="194" t="n">
        <f aca="false">IFERROR(VLOOKUP($B697,'Unit Cost Database'!$A:$H,8,FALSE()),0)</f>
        <v>1332206.22627842</v>
      </c>
      <c r="G697" s="179" t="n">
        <f aca="false">$F$7</f>
        <v>0.1</v>
      </c>
      <c r="H697" s="180" t="n">
        <f aca="false">IF(OR(D697="",F697="",D697=0,F697=0),0,D697*F697*$H$8*(1+G697)*(1+$H$7))</f>
        <v>0</v>
      </c>
      <c r="I697" s="177" t="s">
        <v>361</v>
      </c>
      <c r="J697" s="185" t="s">
        <v>77</v>
      </c>
    </row>
    <row r="698" customFormat="false" ht="15" hidden="false" customHeight="true" outlineLevel="0" collapsed="false">
      <c r="A698" s="176"/>
      <c r="B698" s="195" t="s">
        <v>1562</v>
      </c>
      <c r="C698" s="195" t="s">
        <v>1563</v>
      </c>
      <c r="D698" s="183" t="n">
        <v>0</v>
      </c>
      <c r="E698" s="176" t="str">
        <f aca="false">IFERROR(VLOOKUP($B698,'Unit Cost Database'!$A:$H,3,FALSE()),"LS")</f>
        <v>LS</v>
      </c>
      <c r="F698" s="194" t="n">
        <f aca="false">IFERROR(VLOOKUP($B698,'Unit Cost Database'!$A:$H,8,FALSE()),0)</f>
        <v>888137.484185615</v>
      </c>
      <c r="G698" s="179" t="n">
        <f aca="false">$F$7</f>
        <v>0.1</v>
      </c>
      <c r="H698" s="180" t="n">
        <f aca="false">IF(OR(D698="",F698="",D698=0,F698=0),0,D698*F698*$H$8*(1+G698)*(1+$H$7))</f>
        <v>0</v>
      </c>
      <c r="I698" s="177" t="s">
        <v>361</v>
      </c>
      <c r="J698" s="185" t="s">
        <v>77</v>
      </c>
    </row>
    <row r="699" customFormat="false" ht="15" hidden="false" customHeight="true" outlineLevel="0" collapsed="false">
      <c r="A699" s="176" t="n">
        <v>17</v>
      </c>
      <c r="B699" s="195" t="s">
        <v>1564</v>
      </c>
      <c r="C699" s="195" t="s">
        <v>1565</v>
      </c>
      <c r="D699" s="183" t="n">
        <f aca="false">1</f>
        <v>1</v>
      </c>
      <c r="E699" s="176" t="str">
        <f aca="false">IFERROR(VLOOKUP($B699,'Unit Cost Database'!$A:$H,3,FALSE()),"LS")</f>
        <v>LS</v>
      </c>
      <c r="F699" s="184" t="n">
        <f aca="false">IFERROR(VLOOKUP($B699,'Unit Cost Database'!$A:$H,8,FALSE()),0)</f>
        <v>245000</v>
      </c>
      <c r="G699" s="179" t="n">
        <f aca="false">$F$7</f>
        <v>0.1</v>
      </c>
      <c r="H699" s="180" t="n">
        <f aca="false">IF(OR(D699="",F699="",D699=0,F699=0),0,D699*F699*$H$8*(1+G699)*(1+$H$7))</f>
        <v>278932.5</v>
      </c>
      <c r="I699" s="177" t="s">
        <v>361</v>
      </c>
      <c r="J699" s="185" t="s">
        <v>77</v>
      </c>
    </row>
    <row r="700" customFormat="false" ht="15" hidden="false" customHeight="true" outlineLevel="0" collapsed="false">
      <c r="A700" s="176" t="n">
        <v>18</v>
      </c>
      <c r="B700" s="195" t="s">
        <v>1566</v>
      </c>
      <c r="C700" s="195" t="s">
        <v>1567</v>
      </c>
      <c r="D700" s="183" t="n">
        <f aca="false">12</f>
        <v>12</v>
      </c>
      <c r="E700" s="176" t="str">
        <f aca="false">IFERROR(VLOOKUP($B700,'Unit Cost Database'!$A:$H,3,FALSE()),"LS")</f>
        <v>EA</v>
      </c>
      <c r="F700" s="184" t="n">
        <f aca="false">IFERROR(VLOOKUP($B700,'Unit Cost Database'!$A:$H,8,FALSE()),0)</f>
        <v>17500</v>
      </c>
      <c r="G700" s="179" t="n">
        <f aca="false">$F$7</f>
        <v>0.1</v>
      </c>
      <c r="H700" s="180" t="n">
        <f aca="false">IF(OR(D700="",F700="",D700=0,F700=0),0,D700*F700*$H$8*(1+G700)*(1+$H$7))</f>
        <v>239085</v>
      </c>
      <c r="I700" s="177" t="s">
        <v>361</v>
      </c>
      <c r="J700" s="185" t="s">
        <v>77</v>
      </c>
    </row>
    <row r="701" customFormat="false" ht="15" hidden="false" customHeight="true" outlineLevel="1" collapsed="false">
      <c r="A701" s="176" t="n">
        <v>19</v>
      </c>
      <c r="B701" s="195" t="s">
        <v>1568</v>
      </c>
      <c r="C701" s="195" t="s">
        <v>1569</v>
      </c>
      <c r="D701" s="183" t="n">
        <f aca="false">$C$6/2500</f>
        <v>320</v>
      </c>
      <c r="E701" s="176" t="str">
        <f aca="false">IFERROR(VLOOKUP($B701,'Unit Cost Database'!$A:$H,3,FALSE()),"LS")</f>
        <v>EA</v>
      </c>
      <c r="F701" s="184" t="n">
        <f aca="false">IFERROR(VLOOKUP($B701,'Unit Cost Database'!$A:$H,8,FALSE()),0)</f>
        <v>1750</v>
      </c>
      <c r="G701" s="179" t="n">
        <f aca="false">$F$7</f>
        <v>0.1</v>
      </c>
      <c r="H701" s="180" t="n">
        <f aca="false">IF(OR(D701="",F701="",D701=0,F701=0),0,D701*F701*$H$8*(1+G701)*(1+$H$7))</f>
        <v>637560</v>
      </c>
      <c r="I701" s="177" t="s">
        <v>361</v>
      </c>
      <c r="J701" s="185" t="s">
        <v>77</v>
      </c>
    </row>
    <row r="702" customFormat="false" ht="15" hidden="false" customHeight="true" outlineLevel="1" collapsed="false">
      <c r="A702" s="176" t="n">
        <v>20</v>
      </c>
      <c r="B702" s="195" t="s">
        <v>1570</v>
      </c>
      <c r="C702" s="195" t="s">
        <v>1571</v>
      </c>
      <c r="D702" s="183" t="n">
        <f aca="false">3</f>
        <v>3</v>
      </c>
      <c r="E702" s="176" t="str">
        <f aca="false">IFERROR(VLOOKUP($B702,'Unit Cost Database'!$A:$H,3,FALSE()),"LS")</f>
        <v>EA</v>
      </c>
      <c r="F702" s="184" t="n">
        <f aca="false">IFERROR(VLOOKUP($B702,'Unit Cost Database'!$A:$H,8,FALSE()),0)</f>
        <v>175000</v>
      </c>
      <c r="G702" s="179" t="n">
        <f aca="false">$F$7</f>
        <v>0.1</v>
      </c>
      <c r="H702" s="180" t="n">
        <f aca="false">IF(OR(D702="",F702="",D702=0,F702=0),0,D702*F702*$H$8*(1+G702)*(1+$H$7))</f>
        <v>597712.5</v>
      </c>
      <c r="I702" s="177" t="s">
        <v>361</v>
      </c>
      <c r="J702" s="185" t="s">
        <v>77</v>
      </c>
    </row>
    <row r="703" customFormat="false" ht="15" hidden="false" customHeight="true" outlineLevel="1" collapsed="false">
      <c r="A703" s="176" t="n">
        <v>21</v>
      </c>
      <c r="B703" s="195" t="s">
        <v>1572</v>
      </c>
      <c r="C703" s="195" t="s">
        <v>1573</v>
      </c>
      <c r="D703" s="183" t="n">
        <v>1</v>
      </c>
      <c r="E703" s="176" t="str">
        <f aca="false">IFERROR(VLOOKUP($B703,'Unit Cost Database'!$A:$H,3,FALSE()),"LS")</f>
        <v>LS</v>
      </c>
      <c r="F703" s="184" t="n">
        <f aca="false">IFERROR(VLOOKUP($B703,'Unit Cost Database'!$A:$H,8,FALSE()),0)</f>
        <v>850000</v>
      </c>
      <c r="G703" s="179" t="n">
        <f aca="false">$F$7</f>
        <v>0.1</v>
      </c>
      <c r="H703" s="180" t="n">
        <f aca="false">IF(OR(D703="",F703="",D703=0,F703=0),0,D703*F703*$H$8*(1+G703)*(1+$H$7))</f>
        <v>967725</v>
      </c>
      <c r="I703" s="177" t="s">
        <v>361</v>
      </c>
      <c r="J703" s="185" t="s">
        <v>77</v>
      </c>
    </row>
    <row r="704" customFormat="false" ht="15" hidden="false" customHeight="true" outlineLevel="1" collapsed="false">
      <c r="A704" s="176" t="n">
        <v>22</v>
      </c>
      <c r="B704" s="195" t="s">
        <v>1574</v>
      </c>
      <c r="C704" s="195" t="s">
        <v>1575</v>
      </c>
      <c r="D704" s="183" t="n">
        <v>1</v>
      </c>
      <c r="E704" s="176" t="str">
        <f aca="false">IFERROR(VLOOKUP($B704,'Unit Cost Database'!$A:$H,3,FALSE()),"LS")</f>
        <v>LS</v>
      </c>
      <c r="F704" s="184" t="n">
        <f aca="false">IFERROR(VLOOKUP($B704,'Unit Cost Database'!$A:$H,8,FALSE()),0)</f>
        <v>280000</v>
      </c>
      <c r="G704" s="179" t="n">
        <f aca="false">$F$7</f>
        <v>0.1</v>
      </c>
      <c r="H704" s="180" t="n">
        <f aca="false">IF(OR(D704="",F704="",D704=0,F704=0),0,D704*F704*$H$8*(1+G704)*(1+$H$7))</f>
        <v>318780</v>
      </c>
      <c r="I704" s="177" t="s">
        <v>361</v>
      </c>
      <c r="J704" s="185" t="s">
        <v>77</v>
      </c>
    </row>
    <row r="705" customFormat="false" ht="15" hidden="false" customHeight="true" outlineLevel="1" collapsed="false">
      <c r="A705" s="176" t="n">
        <v>23</v>
      </c>
      <c r="B705" s="195" t="s">
        <v>1576</v>
      </c>
      <c r="C705" s="195" t="s">
        <v>1577</v>
      </c>
      <c r="D705" s="183" t="n">
        <v>1</v>
      </c>
      <c r="E705" s="176" t="str">
        <f aca="false">IFERROR(VLOOKUP($B705,'Unit Cost Database'!$A:$H,3,FALSE()),"LS")</f>
        <v>LS</v>
      </c>
      <c r="F705" s="184" t="n">
        <f aca="false">IFERROR(VLOOKUP($B705,'Unit Cost Database'!$A:$H,8,FALSE()),0)</f>
        <v>280000</v>
      </c>
      <c r="G705" s="179" t="n">
        <f aca="false">$F$7</f>
        <v>0.1</v>
      </c>
      <c r="H705" s="180" t="n">
        <f aca="false">IF(OR(D705="",F705="",D705=0,F705=0),0,D705*F705*$H$8*(1+G705)*(1+$H$7))</f>
        <v>318780</v>
      </c>
      <c r="I705" s="177" t="s">
        <v>361</v>
      </c>
      <c r="J705" s="185" t="s">
        <v>77</v>
      </c>
    </row>
    <row r="706" customFormat="false" ht="15" hidden="false" customHeight="true" outlineLevel="1" collapsed="false">
      <c r="A706" s="176" t="n">
        <v>24</v>
      </c>
      <c r="B706" s="195" t="s">
        <v>1578</v>
      </c>
      <c r="C706" s="195" t="s">
        <v>1579</v>
      </c>
      <c r="D706" s="183" t="n">
        <v>1</v>
      </c>
      <c r="E706" s="176" t="str">
        <f aca="false">IFERROR(VLOOKUP($B706,'Unit Cost Database'!$A:$H,3,FALSE()),"LS")</f>
        <v>LS</v>
      </c>
      <c r="F706" s="184" t="n">
        <f aca="false">IFERROR(VLOOKUP($B706,'Unit Cost Database'!$A:$H,8,FALSE()),0)</f>
        <v>650000</v>
      </c>
      <c r="G706" s="179" t="n">
        <f aca="false">$F$7</f>
        <v>0.1</v>
      </c>
      <c r="H706" s="180" t="n">
        <f aca="false">IF(OR(D706="",F706="",D706=0,F706=0),0,D706*F706*$H$8*(1+G706)*(1+$H$7))</f>
        <v>740025</v>
      </c>
      <c r="I706" s="177" t="s">
        <v>361</v>
      </c>
      <c r="J706" s="185" t="s">
        <v>77</v>
      </c>
    </row>
    <row r="707" customFormat="false" ht="15" hidden="false" customHeight="true" outlineLevel="1" collapsed="false">
      <c r="A707" s="176" t="n">
        <v>25</v>
      </c>
      <c r="B707" s="195" t="s">
        <v>1580</v>
      </c>
      <c r="C707" s="195" t="s">
        <v>1581</v>
      </c>
      <c r="D707" s="183" t="n">
        <v>1</v>
      </c>
      <c r="E707" s="176" t="str">
        <f aca="false">IFERROR(VLOOKUP($B707,'Unit Cost Database'!$A:$H,3,FALSE()),"LS")</f>
        <v>LS</v>
      </c>
      <c r="F707" s="184" t="n">
        <f aca="false">IFERROR(VLOOKUP($B707,'Unit Cost Database'!$A:$H,8,FALSE()),0)</f>
        <v>220000</v>
      </c>
      <c r="G707" s="179" t="n">
        <f aca="false">$F$7</f>
        <v>0.1</v>
      </c>
      <c r="H707" s="180" t="n">
        <f aca="false">IF(OR(D707="",F707="",D707=0,F707=0),0,D707*F707*$H$8*(1+G707)*(1+$H$7))</f>
        <v>250470</v>
      </c>
      <c r="I707" s="177" t="s">
        <v>361</v>
      </c>
      <c r="J707" s="185" t="s">
        <v>77</v>
      </c>
    </row>
    <row r="708" customFormat="false" ht="15" hidden="false" customHeight="true" outlineLevel="1" collapsed="false">
      <c r="A708" s="176" t="n">
        <v>26</v>
      </c>
      <c r="B708" s="195" t="s">
        <v>1582</v>
      </c>
      <c r="C708" s="195" t="s">
        <v>1583</v>
      </c>
      <c r="D708" s="183" t="n">
        <v>1</v>
      </c>
      <c r="E708" s="176" t="str">
        <f aca="false">IFERROR(VLOOKUP($B708,'Unit Cost Database'!$A:$H,3,FALSE()),"LS")</f>
        <v>LS</v>
      </c>
      <c r="F708" s="184" t="n">
        <f aca="false">IFERROR(VLOOKUP($B708,'Unit Cost Database'!$A:$H,8,FALSE()),0)</f>
        <v>480000</v>
      </c>
      <c r="G708" s="179" t="n">
        <f aca="false">$F$7</f>
        <v>0.1</v>
      </c>
      <c r="H708" s="180" t="n">
        <f aca="false">IF(OR(D708="",F708="",D708=0,F708=0),0,D708*F708*$H$8*(1+G708)*(1+$H$7))</f>
        <v>546480</v>
      </c>
      <c r="I708" s="177" t="s">
        <v>361</v>
      </c>
      <c r="J708" s="185" t="s">
        <v>77</v>
      </c>
    </row>
    <row r="709" customFormat="false" ht="15" hidden="false" customHeight="true" outlineLevel="1" collapsed="false">
      <c r="A709" s="176" t="n">
        <v>27</v>
      </c>
      <c r="B709" s="195" t="s">
        <v>1584</v>
      </c>
      <c r="C709" s="195" t="s">
        <v>1585</v>
      </c>
      <c r="D709" s="183" t="n">
        <v>40000</v>
      </c>
      <c r="E709" s="176" t="str">
        <f aca="false">IFERROR(VLOOKUP($B709,'Unit Cost Database'!$A:$H,3,FALSE()),"LS")</f>
        <v>LF</v>
      </c>
      <c r="F709" s="184" t="n">
        <f aca="false">IFERROR(VLOOKUP($B709,'Unit Cost Database'!$A:$H,8,FALSE()),0)</f>
        <v>12</v>
      </c>
      <c r="G709" s="179" t="n">
        <f aca="false">$F$7</f>
        <v>0.1</v>
      </c>
      <c r="H709" s="180" t="n">
        <f aca="false">IF(OR(D709="",F709="",D709=0,F709=0),0,D709*F709*$H$8*(1+G709)*(1+$H$7))</f>
        <v>546480</v>
      </c>
      <c r="I709" s="177" t="s">
        <v>361</v>
      </c>
      <c r="J709" s="185" t="s">
        <v>77</v>
      </c>
    </row>
    <row r="710" customFormat="false" ht="15" hidden="false" customHeight="true" outlineLevel="1" collapsed="false">
      <c r="A710" s="176" t="n">
        <v>28</v>
      </c>
      <c r="B710" s="195" t="s">
        <v>1586</v>
      </c>
      <c r="C710" s="195" t="s">
        <v>1587</v>
      </c>
      <c r="D710" s="183" t="n">
        <v>90</v>
      </c>
      <c r="E710" s="176" t="str">
        <f aca="false">IFERROR(VLOOKUP($B710,'Unit Cost Database'!$A:$H,3,FALSE()),"LS")</f>
        <v>MW</v>
      </c>
      <c r="F710" s="184" t="n">
        <f aca="false">IFERROR(VLOOKUP($B710,'Unit Cost Database'!$A:$H,8,FALSE()),0)</f>
        <v>3500</v>
      </c>
      <c r="G710" s="179" t="n">
        <f aca="false">$F$7</f>
        <v>0.1</v>
      </c>
      <c r="H710" s="180" t="n">
        <f aca="false">IF(OR(D710="",F710="",D710=0,F710=0),0,D710*F710*$H$8*(1+G710)*(1+$H$7))</f>
        <v>358627.5</v>
      </c>
      <c r="I710" s="177" t="s">
        <v>361</v>
      </c>
      <c r="J710" s="185" t="s">
        <v>77</v>
      </c>
    </row>
    <row r="711" customFormat="false" ht="15" hidden="false" customHeight="true" outlineLevel="1" collapsed="false">
      <c r="A711" s="176" t="n">
        <v>29</v>
      </c>
      <c r="B711" s="195" t="s">
        <v>1588</v>
      </c>
      <c r="C711" s="195" t="s">
        <v>1589</v>
      </c>
      <c r="D711" s="183" t="n">
        <v>4400</v>
      </c>
      <c r="E711" s="176" t="str">
        <f aca="false">IFERROR(VLOOKUP($B711,'Unit Cost Database'!$A:$H,3,FALSE()),"LS")</f>
        <v>EA</v>
      </c>
      <c r="F711" s="184" t="n">
        <f aca="false">IFERROR(VLOOKUP($B711,'Unit Cost Database'!$A:$H,8,FALSE()),0)</f>
        <v>145</v>
      </c>
      <c r="G711" s="179" t="n">
        <f aca="false">$F$7</f>
        <v>0.1</v>
      </c>
      <c r="H711" s="180" t="n">
        <f aca="false">IF(OR(D711="",F711="",D711=0,F711=0),0,D711*F711*$H$8*(1+G711)*(1+$H$7))</f>
        <v>726363</v>
      </c>
      <c r="I711" s="177" t="s">
        <v>361</v>
      </c>
      <c r="J711" s="185" t="s">
        <v>77</v>
      </c>
    </row>
    <row r="712" customFormat="false" ht="15" hidden="false" customHeight="true" outlineLevel="0" collapsed="false">
      <c r="A712" s="176" t="n">
        <v>30</v>
      </c>
      <c r="B712" s="195" t="s">
        <v>1590</v>
      </c>
      <c r="C712" s="195" t="s">
        <v>1591</v>
      </c>
      <c r="D712" s="183" t="n">
        <v>24000</v>
      </c>
      <c r="E712" s="176" t="str">
        <f aca="false">IFERROR(VLOOKUP($B712,'Unit Cost Database'!$A:$H,3,FALSE()),"LS")</f>
        <v>LF</v>
      </c>
      <c r="F712" s="184" t="n">
        <f aca="false">IFERROR(VLOOKUP($B712,'Unit Cost Database'!$A:$H,8,FALSE()),0)</f>
        <v>18</v>
      </c>
      <c r="G712" s="179" t="n">
        <f aca="false">$F$7</f>
        <v>0.1</v>
      </c>
      <c r="H712" s="180" t="n">
        <f aca="false">IF(OR(D712="",F712="",D712=0,F712=0),0,D712*F712*$H$8*(1+G712)*(1+$H$7))</f>
        <v>491832</v>
      </c>
      <c r="I712" s="177" t="s">
        <v>361</v>
      </c>
      <c r="J712" s="185" t="s">
        <v>77</v>
      </c>
    </row>
    <row r="713" customFormat="false" ht="15" hidden="false" customHeight="true" outlineLevel="0" collapsed="false">
      <c r="A713" s="176" t="n">
        <v>31</v>
      </c>
      <c r="B713" s="195" t="s">
        <v>1592</v>
      </c>
      <c r="C713" s="195" t="s">
        <v>1593</v>
      </c>
      <c r="D713" s="183" t="n">
        <v>36</v>
      </c>
      <c r="E713" s="176" t="str">
        <f aca="false">IFERROR(VLOOKUP($B713,'Unit Cost Database'!$A:$H,3,FALSE()),"LS")</f>
        <v>EA</v>
      </c>
      <c r="F713" s="184" t="n">
        <f aca="false">IFERROR(VLOOKUP($B713,'Unit Cost Database'!$A:$H,8,FALSE()),0)</f>
        <v>12500</v>
      </c>
      <c r="G713" s="179" t="n">
        <f aca="false">$F$7</f>
        <v>0.1</v>
      </c>
      <c r="H713" s="180" t="n">
        <f aca="false">IF(OR(D713="",F713="",D713=0,F713=0),0,D713*F713*$H$8*(1+G713)*(1+$H$7))</f>
        <v>512325</v>
      </c>
      <c r="I713" s="177" t="s">
        <v>361</v>
      </c>
      <c r="J713" s="185" t="s">
        <v>77</v>
      </c>
    </row>
    <row r="714" customFormat="false" ht="15" hidden="false" customHeight="true" outlineLevel="0" collapsed="false">
      <c r="A714" s="186"/>
      <c r="B714" s="187"/>
      <c r="C714" s="188" t="s">
        <v>1594</v>
      </c>
      <c r="D714" s="189"/>
      <c r="E714" s="186"/>
      <c r="F714" s="190"/>
      <c r="G714" s="191"/>
      <c r="H714" s="192" t="n">
        <f aca="false">SUM(H668:H713)</f>
        <v>60417387.7013327</v>
      </c>
      <c r="I714" s="187"/>
      <c r="J714" s="187"/>
    </row>
    <row r="715" customFormat="false" ht="15" hidden="false" customHeight="true" outlineLevel="1" collapsed="false">
      <c r="A715" s="176"/>
      <c r="B715" s="195"/>
      <c r="C715" s="195"/>
      <c r="D715" s="177"/>
      <c r="E715" s="176"/>
      <c r="F715" s="178"/>
      <c r="G715" s="179"/>
      <c r="H715" s="180"/>
    </row>
    <row r="716" customFormat="false" ht="15" hidden="false" customHeight="true" outlineLevel="1" collapsed="false">
      <c r="A716" s="193" t="s">
        <v>1595</v>
      </c>
      <c r="B716" s="193"/>
      <c r="C716" s="193"/>
      <c r="D716" s="193"/>
      <c r="E716" s="193"/>
      <c r="F716" s="193"/>
      <c r="G716" s="193"/>
      <c r="H716" s="193"/>
      <c r="I716" s="182"/>
      <c r="J716" s="182" t="s">
        <v>77</v>
      </c>
    </row>
    <row r="717" customFormat="false" ht="15" hidden="false" customHeight="true" outlineLevel="1" collapsed="false">
      <c r="A717" s="176" t="n">
        <v>1</v>
      </c>
      <c r="B717" s="195" t="s">
        <v>1596</v>
      </c>
      <c r="C717" s="195" t="s">
        <v>1597</v>
      </c>
      <c r="D717" s="183" t="n">
        <f aca="false">$C$6</f>
        <v>800000</v>
      </c>
      <c r="E717" s="176" t="str">
        <f aca="false">IFERROR(VLOOKUP($B717,'Unit Cost Database'!$A:$H,3,FALSE()),"LS")</f>
        <v>SF</v>
      </c>
      <c r="F717" s="184" t="n">
        <f aca="false">IFERROR(VLOOKUP($B717,'Unit Cost Database'!$A:$H,8,FALSE()),0)</f>
        <v>1.05</v>
      </c>
      <c r="G717" s="179" t="n">
        <f aca="false">$F$7</f>
        <v>0.1</v>
      </c>
      <c r="H717" s="180" t="n">
        <f aca="false">IF(OR(D717="",F717="",D717=0,F717=0),0,D717*F717*$H$8*(1+G717)*(1+$H$7))</f>
        <v>956340</v>
      </c>
      <c r="I717" s="177" t="s">
        <v>361</v>
      </c>
      <c r="J717" s="185" t="s">
        <v>77</v>
      </c>
    </row>
    <row r="718" customFormat="false" ht="15" hidden="false" customHeight="true" outlineLevel="1" collapsed="false">
      <c r="A718" s="176" t="n">
        <v>2</v>
      </c>
      <c r="B718" s="195" t="s">
        <v>1598</v>
      </c>
      <c r="C718" s="195" t="s">
        <v>1599</v>
      </c>
      <c r="D718" s="183" t="n">
        <f aca="false">$C$6/2500</f>
        <v>320</v>
      </c>
      <c r="E718" s="176" t="str">
        <f aca="false">IFERROR(VLOOKUP($B718,'Unit Cost Database'!$A:$H,3,FALSE()),"LS")</f>
        <v>EA</v>
      </c>
      <c r="F718" s="184" t="n">
        <f aca="false">IFERROR(VLOOKUP($B718,'Unit Cost Database'!$A:$H,8,FALSE()),0)</f>
        <v>3500</v>
      </c>
      <c r="G718" s="179" t="n">
        <f aca="false">$F$7</f>
        <v>0.1</v>
      </c>
      <c r="H718" s="180" t="n">
        <f aca="false">IF(OR(D718="",F718="",D718=0,F718=0),0,D718*F718*$H$8*(1+G718)*(1+$H$7))</f>
        <v>1275120</v>
      </c>
      <c r="I718" s="177" t="s">
        <v>361</v>
      </c>
      <c r="J718" s="185" t="s">
        <v>77</v>
      </c>
    </row>
    <row r="719" customFormat="false" ht="15" hidden="false" customHeight="true" outlineLevel="1" collapsed="false">
      <c r="A719" s="176" t="n">
        <v>3</v>
      </c>
      <c r="B719" s="195" t="s">
        <v>1600</v>
      </c>
      <c r="C719" s="195" t="s">
        <v>1601</v>
      </c>
      <c r="D719" s="183" t="n">
        <v>160</v>
      </c>
      <c r="E719" s="176" t="str">
        <f aca="false">IFERROR(VLOOKUP($B719,'Unit Cost Database'!$A:$H,3,FALSE()),"LS")</f>
        <v>EA</v>
      </c>
      <c r="F719" s="184" t="n">
        <f aca="false">IFERROR(VLOOKUP($B719,'Unit Cost Database'!$A:$H,8,FALSE()),0)</f>
        <v>35000</v>
      </c>
      <c r="G719" s="179" t="n">
        <f aca="false">$F$7</f>
        <v>0.1</v>
      </c>
      <c r="H719" s="180" t="n">
        <f aca="false">IF(OR(D719="",F719="",D719=0,F719=0),0,D719*F719*$H$8*(1+G719)*(1+$H$7))</f>
        <v>6375600</v>
      </c>
      <c r="I719" s="177" t="s">
        <v>361</v>
      </c>
      <c r="J719" s="185" t="s">
        <v>77</v>
      </c>
    </row>
    <row r="720" customFormat="false" ht="15" hidden="false" customHeight="true" outlineLevel="1" collapsed="false">
      <c r="A720" s="176"/>
      <c r="B720" s="195" t="s">
        <v>1602</v>
      </c>
      <c r="C720" s="195" t="s">
        <v>1603</v>
      </c>
      <c r="D720" s="183" t="n">
        <v>0</v>
      </c>
      <c r="E720" s="176" t="str">
        <f aca="false">IFERROR(VLOOKUP($B720,'Unit Cost Database'!$A:$H,3,FALSE()),"LS")</f>
        <v>LS</v>
      </c>
      <c r="F720" s="194" t="n">
        <f aca="false">IFERROR(VLOOKUP($B720,'Unit Cost Database'!$A:$H,8,FALSE()),0)</f>
        <v>2800000</v>
      </c>
      <c r="G720" s="179" t="n">
        <f aca="false">$F$7</f>
        <v>0.1</v>
      </c>
      <c r="H720" s="180" t="n">
        <f aca="false">IF(OR(D720="",F720="",D720=0,F720=0),0,D720*F720*$H$8*(1+G720)*(1+$H$7))</f>
        <v>0</v>
      </c>
      <c r="I720" s="177" t="s">
        <v>361</v>
      </c>
      <c r="J720" s="185" t="s">
        <v>77</v>
      </c>
    </row>
    <row r="721" customFormat="false" ht="15" hidden="false" customHeight="true" outlineLevel="1" collapsed="false">
      <c r="A721" s="176"/>
      <c r="B721" s="195" t="s">
        <v>1604</v>
      </c>
      <c r="C721" s="195" t="s">
        <v>1605</v>
      </c>
      <c r="D721" s="183" t="n">
        <v>0</v>
      </c>
      <c r="E721" s="176" t="str">
        <f aca="false">IFERROR(VLOOKUP($B721,'Unit Cost Database'!$A:$H,3,FALSE()),"LS")</f>
        <v>LS</v>
      </c>
      <c r="F721" s="194" t="n">
        <f aca="false">IFERROR(VLOOKUP($B721,'Unit Cost Database'!$A:$H,8,FALSE()),0)</f>
        <v>1400000</v>
      </c>
      <c r="G721" s="179" t="n">
        <f aca="false">$F$7</f>
        <v>0.1</v>
      </c>
      <c r="H721" s="180" t="n">
        <f aca="false">IF(OR(D721="",F721="",D721=0,F721=0),0,D721*F721*$H$8*(1+G721)*(1+$H$7))</f>
        <v>0</v>
      </c>
      <c r="I721" s="177" t="s">
        <v>361</v>
      </c>
      <c r="J721" s="185" t="s">
        <v>77</v>
      </c>
    </row>
    <row r="722" customFormat="false" ht="15" hidden="false" customHeight="true" outlineLevel="0" collapsed="false">
      <c r="A722" s="176"/>
      <c r="B722" s="195" t="s">
        <v>1606</v>
      </c>
      <c r="C722" s="195" t="s">
        <v>1607</v>
      </c>
      <c r="D722" s="183" t="n">
        <v>0</v>
      </c>
      <c r="E722" s="176" t="str">
        <f aca="false">IFERROR(VLOOKUP($B722,'Unit Cost Database'!$A:$H,3,FALSE()),"LS")</f>
        <v>LS</v>
      </c>
      <c r="F722" s="194" t="n">
        <f aca="false">IFERROR(VLOOKUP($B722,'Unit Cost Database'!$A:$H,8,FALSE()),0)</f>
        <v>840000</v>
      </c>
      <c r="G722" s="179" t="n">
        <f aca="false">$F$7</f>
        <v>0.1</v>
      </c>
      <c r="H722" s="180" t="n">
        <f aca="false">IF(OR(D722="",F722="",D722=0,F722=0),0,D722*F722*$H$8*(1+G722)*(1+$H$7))</f>
        <v>0</v>
      </c>
      <c r="I722" s="177" t="s">
        <v>361</v>
      </c>
      <c r="J722" s="185" t="s">
        <v>77</v>
      </c>
    </row>
    <row r="723" customFormat="false" ht="15" hidden="false" customHeight="true" outlineLevel="0" collapsed="false">
      <c r="A723" s="176"/>
      <c r="B723" s="195" t="s">
        <v>1608</v>
      </c>
      <c r="C723" s="195" t="s">
        <v>1609</v>
      </c>
      <c r="D723" s="183" t="n">
        <v>0</v>
      </c>
      <c r="E723" s="176" t="str">
        <f aca="false">IFERROR(VLOOKUP($B723,'Unit Cost Database'!$A:$H,3,FALSE()),"LS")</f>
        <v>LS</v>
      </c>
      <c r="F723" s="194" t="n">
        <f aca="false">IFERROR(VLOOKUP($B723,'Unit Cost Database'!$A:$H,8,FALSE()),0)</f>
        <v>560000</v>
      </c>
      <c r="G723" s="179" t="n">
        <f aca="false">$F$7</f>
        <v>0.1</v>
      </c>
      <c r="H723" s="180" t="n">
        <f aca="false">IF(OR(D723="",F723="",D723=0,F723=0),0,D723*F723*$H$8*(1+G723)*(1+$H$7))</f>
        <v>0</v>
      </c>
      <c r="I723" s="177" t="s">
        <v>361</v>
      </c>
      <c r="J723" s="185" t="s">
        <v>77</v>
      </c>
    </row>
    <row r="724" customFormat="false" ht="15" hidden="false" customHeight="true" outlineLevel="0" collapsed="false">
      <c r="A724" s="176" t="n">
        <v>4</v>
      </c>
      <c r="B724" s="195" t="s">
        <v>1610</v>
      </c>
      <c r="C724" s="195" t="s">
        <v>1611</v>
      </c>
      <c r="D724" s="183" t="n">
        <f aca="false">8</f>
        <v>8</v>
      </c>
      <c r="E724" s="176" t="str">
        <f aca="false">IFERROR(VLOOKUP($B724,'Unit Cost Database'!$A:$H,3,FALSE()),"LS")</f>
        <v>EA</v>
      </c>
      <c r="F724" s="184" t="n">
        <f aca="false">IFERROR(VLOOKUP($B724,'Unit Cost Database'!$A:$H,8,FALSE()),0)</f>
        <v>24500</v>
      </c>
      <c r="G724" s="179" t="n">
        <f aca="false">$F$7</f>
        <v>0.1</v>
      </c>
      <c r="H724" s="180" t="n">
        <f aca="false">IF(OR(D724="",F724="",D724=0,F724=0),0,D724*F724*$H$8*(1+G724)*(1+$H$7))</f>
        <v>223146</v>
      </c>
      <c r="I724" s="177" t="s">
        <v>361</v>
      </c>
      <c r="J724" s="185" t="s">
        <v>77</v>
      </c>
    </row>
    <row r="725" customFormat="false" ht="15" hidden="false" customHeight="true" outlineLevel="1" collapsed="false">
      <c r="A725" s="176" t="n">
        <v>5</v>
      </c>
      <c r="B725" s="195" t="s">
        <v>1612</v>
      </c>
      <c r="C725" s="195" t="s">
        <v>1613</v>
      </c>
      <c r="D725" s="183" t="n">
        <f aca="false">$C$6/2000</f>
        <v>400</v>
      </c>
      <c r="E725" s="176" t="str">
        <f aca="false">IFERROR(VLOOKUP($B725,'Unit Cost Database'!$A:$H,3,FALSE()),"LS")</f>
        <v>EA</v>
      </c>
      <c r="F725" s="184" t="n">
        <f aca="false">IFERROR(VLOOKUP($B725,'Unit Cost Database'!$A:$H,8,FALSE()),0)</f>
        <v>2500</v>
      </c>
      <c r="G725" s="179" t="n">
        <f aca="false">$F$7</f>
        <v>0.1</v>
      </c>
      <c r="H725" s="180" t="n">
        <f aca="false">IF(OR(D725="",F725="",D725=0,F725=0),0,D725*F725*$H$8*(1+G725)*(1+$H$7))</f>
        <v>1138500</v>
      </c>
      <c r="I725" s="177" t="s">
        <v>361</v>
      </c>
      <c r="J725" s="185" t="s">
        <v>77</v>
      </c>
    </row>
    <row r="726" customFormat="false" ht="15" hidden="false" customHeight="true" outlineLevel="1" collapsed="false">
      <c r="A726" s="176" t="n">
        <v>6</v>
      </c>
      <c r="B726" s="195" t="s">
        <v>1614</v>
      </c>
      <c r="C726" s="195" t="s">
        <v>1615</v>
      </c>
      <c r="D726" s="183" t="n">
        <f aca="false">80</f>
        <v>80</v>
      </c>
      <c r="E726" s="176" t="str">
        <f aca="false">IFERROR(VLOOKUP($B726,'Unit Cost Database'!$A:$H,3,FALSE()),"LS")</f>
        <v>EA</v>
      </c>
      <c r="F726" s="184" t="n">
        <f aca="false">IFERROR(VLOOKUP($B726,'Unit Cost Database'!$A:$H,8,FALSE()),0)</f>
        <v>5950</v>
      </c>
      <c r="G726" s="179" t="n">
        <f aca="false">$F$7</f>
        <v>0.1</v>
      </c>
      <c r="H726" s="180" t="n">
        <f aca="false">IF(OR(D726="",F726="",D726=0,F726=0),0,D726*F726*$H$8*(1+G726)*(1+$H$7))</f>
        <v>541926</v>
      </c>
      <c r="I726" s="177" t="s">
        <v>361</v>
      </c>
      <c r="J726" s="185" t="s">
        <v>77</v>
      </c>
    </row>
    <row r="727" customFormat="false" ht="15" hidden="false" customHeight="true" outlineLevel="1" collapsed="false">
      <c r="A727" s="176" t="n">
        <v>7</v>
      </c>
      <c r="B727" s="195" t="s">
        <v>1616</v>
      </c>
      <c r="C727" s="195" t="s">
        <v>1617</v>
      </c>
      <c r="D727" s="183" t="n">
        <f aca="false">1</f>
        <v>1</v>
      </c>
      <c r="E727" s="176" t="str">
        <f aca="false">IFERROR(VLOOKUP($B727,'Unit Cost Database'!$A:$H,3,FALSE()),"LS")</f>
        <v>LS</v>
      </c>
      <c r="F727" s="184" t="n">
        <f aca="false">IFERROR(VLOOKUP($B727,'Unit Cost Database'!$A:$H,8,FALSE()),0)</f>
        <v>525000</v>
      </c>
      <c r="G727" s="179" t="n">
        <f aca="false">$F$7</f>
        <v>0.1</v>
      </c>
      <c r="H727" s="180" t="n">
        <f aca="false">IF(OR(D727="",F727="",D727=0,F727=0),0,D727*F727*$H$8*(1+G727)*(1+$H$7))</f>
        <v>597712.5</v>
      </c>
      <c r="I727" s="177" t="s">
        <v>361</v>
      </c>
      <c r="J727" s="185" t="s">
        <v>77</v>
      </c>
    </row>
    <row r="728" customFormat="false" ht="15" hidden="false" customHeight="true" outlineLevel="1" collapsed="false">
      <c r="A728" s="176" t="n">
        <v>8</v>
      </c>
      <c r="B728" s="195" t="s">
        <v>1618</v>
      </c>
      <c r="C728" s="195" t="s">
        <v>1619</v>
      </c>
      <c r="D728" s="183" t="n">
        <f aca="false">SQRT($C$6)*4</f>
        <v>3577.70876399966</v>
      </c>
      <c r="E728" s="176" t="str">
        <f aca="false">IFERROR(VLOOKUP($B728,'Unit Cost Database'!$A:$H,3,FALSE()),"LS")</f>
        <v>LF</v>
      </c>
      <c r="F728" s="184" t="n">
        <f aca="false">IFERROR(VLOOKUP($B728,'Unit Cost Database'!$A:$H,8,FALSE()),0)</f>
        <v>24.5</v>
      </c>
      <c r="G728" s="179" t="n">
        <f aca="false">$F$7</f>
        <v>0.1</v>
      </c>
      <c r="H728" s="180" t="n">
        <f aca="false">IF(OR(D728="",F728="",D728=0,F728=0),0,D728*F728*$H$8*(1+G728)*(1+$H$7))</f>
        <v>99793.9249814336</v>
      </c>
      <c r="I728" s="177" t="s">
        <v>361</v>
      </c>
      <c r="J728" s="185" t="s">
        <v>77</v>
      </c>
    </row>
    <row r="729" customFormat="false" ht="15" hidden="false" customHeight="true" outlineLevel="1" collapsed="false">
      <c r="A729" s="176" t="n">
        <v>9</v>
      </c>
      <c r="B729" s="195" t="s">
        <v>1620</v>
      </c>
      <c r="C729" s="195" t="s">
        <v>1621</v>
      </c>
      <c r="D729" s="183" t="n">
        <f aca="false">$C$6/2000</f>
        <v>400</v>
      </c>
      <c r="E729" s="176" t="str">
        <f aca="false">IFERROR(VLOOKUP($B729,'Unit Cost Database'!$A:$H,3,FALSE()),"LS")</f>
        <v>EA</v>
      </c>
      <c r="F729" s="184" t="n">
        <f aca="false">IFERROR(VLOOKUP($B729,'Unit Cost Database'!$A:$H,8,FALSE()),0)</f>
        <v>595</v>
      </c>
      <c r="G729" s="179" t="n">
        <f aca="false">$F$7</f>
        <v>0.1</v>
      </c>
      <c r="H729" s="180" t="n">
        <f aca="false">IF(OR(D729="",F729="",D729=0,F729=0),0,D729*F729*$H$8*(1+G729)*(1+$H$7))</f>
        <v>270963</v>
      </c>
      <c r="I729" s="177" t="s">
        <v>361</v>
      </c>
      <c r="J729" s="185" t="s">
        <v>77</v>
      </c>
    </row>
    <row r="730" customFormat="false" ht="15" hidden="false" customHeight="true" outlineLevel="1" collapsed="false">
      <c r="A730" s="176" t="n">
        <v>10</v>
      </c>
      <c r="B730" s="195" t="s">
        <v>1622</v>
      </c>
      <c r="C730" s="195" t="s">
        <v>1623</v>
      </c>
      <c r="D730" s="183" t="n">
        <f aca="false">1</f>
        <v>1</v>
      </c>
      <c r="E730" s="176" t="str">
        <f aca="false">IFERROR(VLOOKUP($B730,'Unit Cost Database'!$A:$H,3,FALSE()),"LS")</f>
        <v>LS</v>
      </c>
      <c r="F730" s="184" t="n">
        <f aca="false">IFERROR(VLOOKUP($B730,'Unit Cost Database'!$A:$H,8,FALSE()),0)</f>
        <v>595000</v>
      </c>
      <c r="G730" s="179" t="n">
        <f aca="false">$F$7</f>
        <v>0.1</v>
      </c>
      <c r="H730" s="180" t="n">
        <f aca="false">IF(OR(D730="",F730="",D730=0,F730=0),0,D730*F730*$H$8*(1+G730)*(1+$H$7))</f>
        <v>677407.5</v>
      </c>
      <c r="I730" s="177" t="s">
        <v>361</v>
      </c>
      <c r="J730" s="185" t="s">
        <v>77</v>
      </c>
    </row>
    <row r="731" customFormat="false" ht="15" hidden="false" customHeight="true" outlineLevel="1" collapsed="false">
      <c r="A731" s="176" t="n">
        <v>11</v>
      </c>
      <c r="B731" s="195" t="s">
        <v>1624</v>
      </c>
      <c r="C731" s="195" t="s">
        <v>1625</v>
      </c>
      <c r="D731" s="183" t="n">
        <f aca="false">1</f>
        <v>1</v>
      </c>
      <c r="E731" s="176" t="str">
        <f aca="false">IFERROR(VLOOKUP($B731,'Unit Cost Database'!$A:$H,3,FALSE()),"LS")</f>
        <v>LS</v>
      </c>
      <c r="F731" s="184" t="n">
        <f aca="false">IFERROR(VLOOKUP($B731,'Unit Cost Database'!$A:$H,8,FALSE()),0)</f>
        <v>52500</v>
      </c>
      <c r="G731" s="179" t="n">
        <f aca="false">$F$7</f>
        <v>0.1</v>
      </c>
      <c r="H731" s="180" t="n">
        <f aca="false">IF(OR(D731="",F731="",D731=0,F731=0),0,D731*F731*$H$8*(1+G731)*(1+$H$7))</f>
        <v>59771.25</v>
      </c>
      <c r="I731" s="177" t="s">
        <v>361</v>
      </c>
      <c r="J731" s="185" t="s">
        <v>77</v>
      </c>
    </row>
    <row r="732" customFormat="false" ht="15" hidden="false" customHeight="true" outlineLevel="1" collapsed="false">
      <c r="A732" s="176" t="n">
        <v>12</v>
      </c>
      <c r="B732" s="195" t="s">
        <v>1626</v>
      </c>
      <c r="C732" s="195" t="s">
        <v>1627</v>
      </c>
      <c r="D732" s="183" t="n">
        <f aca="false">3</f>
        <v>3</v>
      </c>
      <c r="E732" s="176" t="str">
        <f aca="false">IFERROR(VLOOKUP($B732,'Unit Cost Database'!$A:$H,3,FALSE()),"LS")</f>
        <v>EA</v>
      </c>
      <c r="F732" s="184" t="n">
        <f aca="false">IFERROR(VLOOKUP($B732,'Unit Cost Database'!$A:$H,8,FALSE()),0)</f>
        <v>87500</v>
      </c>
      <c r="G732" s="179" t="n">
        <f aca="false">$F$7</f>
        <v>0.1</v>
      </c>
      <c r="H732" s="180" t="n">
        <f aca="false">IF(OR(D732="",F732="",D732=0,F732=0),0,D732*F732*$H$8*(1+G732)*(1+$H$7))</f>
        <v>298856.25</v>
      </c>
      <c r="I732" s="177" t="s">
        <v>361</v>
      </c>
      <c r="J732" s="185" t="s">
        <v>77</v>
      </c>
    </row>
    <row r="733" customFormat="false" ht="15" hidden="false" customHeight="true" outlineLevel="1" collapsed="false">
      <c r="A733" s="176" t="n">
        <v>13</v>
      </c>
      <c r="B733" s="195" t="s">
        <v>1628</v>
      </c>
      <c r="C733" s="195" t="s">
        <v>1629</v>
      </c>
      <c r="D733" s="183" t="n">
        <f aca="false">1</f>
        <v>1</v>
      </c>
      <c r="E733" s="176" t="str">
        <f aca="false">IFERROR(VLOOKUP($B733,'Unit Cost Database'!$A:$H,3,FALSE()),"LS")</f>
        <v>LS</v>
      </c>
      <c r="F733" s="184" t="n">
        <f aca="false">IFERROR(VLOOKUP($B733,'Unit Cost Database'!$A:$H,8,FALSE()),0)</f>
        <v>245000</v>
      </c>
      <c r="G733" s="179" t="n">
        <f aca="false">$F$7</f>
        <v>0.1</v>
      </c>
      <c r="H733" s="180" t="n">
        <f aca="false">IF(OR(D733="",F733="",D733=0,F733=0),0,D733*F733*$H$8*(1+G733)*(1+$H$7))</f>
        <v>278932.5</v>
      </c>
      <c r="I733" s="177" t="s">
        <v>361</v>
      </c>
      <c r="J733" s="185" t="s">
        <v>77</v>
      </c>
    </row>
    <row r="734" customFormat="false" ht="15" hidden="false" customHeight="true" outlineLevel="1" collapsed="false">
      <c r="A734" s="176" t="n">
        <v>14</v>
      </c>
      <c r="B734" s="195" t="s">
        <v>1630</v>
      </c>
      <c r="C734" s="195" t="s">
        <v>1631</v>
      </c>
      <c r="D734" s="183" t="n">
        <f aca="false">12</f>
        <v>12</v>
      </c>
      <c r="E734" s="176" t="str">
        <f aca="false">IFERROR(VLOOKUP($B734,'Unit Cost Database'!$A:$H,3,FALSE()),"LS")</f>
        <v>EA</v>
      </c>
      <c r="F734" s="184" t="n">
        <f aca="false">IFERROR(VLOOKUP($B734,'Unit Cost Database'!$A:$H,8,FALSE()),0)</f>
        <v>15000</v>
      </c>
      <c r="G734" s="179" t="n">
        <f aca="false">$F$7</f>
        <v>0.1</v>
      </c>
      <c r="H734" s="180" t="n">
        <f aca="false">IF(OR(D734="",F734="",D734=0,F734=0),0,D734*F734*$H$8*(1+G734)*(1+$H$7))</f>
        <v>204930</v>
      </c>
      <c r="I734" s="177" t="s">
        <v>361</v>
      </c>
      <c r="J734" s="185" t="s">
        <v>77</v>
      </c>
    </row>
    <row r="735" customFormat="false" ht="15" hidden="false" customHeight="true" outlineLevel="0" collapsed="false">
      <c r="A735" s="176" t="n">
        <v>15</v>
      </c>
      <c r="B735" s="195" t="s">
        <v>1632</v>
      </c>
      <c r="C735" s="195" t="s">
        <v>1633</v>
      </c>
      <c r="D735" s="183" t="n">
        <f aca="false">100</f>
        <v>100</v>
      </c>
      <c r="E735" s="176" t="str">
        <f aca="false">IFERROR(VLOOKUP($B735,'Unit Cost Database'!$A:$H,3,FALSE()),"LS")</f>
        <v>EA</v>
      </c>
      <c r="F735" s="184" t="n">
        <f aca="false">IFERROR(VLOOKUP($B735,'Unit Cost Database'!$A:$H,8,FALSE()),0)</f>
        <v>1050</v>
      </c>
      <c r="G735" s="179" t="n">
        <f aca="false">$F$7</f>
        <v>0.1</v>
      </c>
      <c r="H735" s="180" t="n">
        <f aca="false">IF(OR(D735="",F735="",D735=0,F735=0),0,D735*F735*$H$8*(1+G735)*(1+$H$7))</f>
        <v>119542.5</v>
      </c>
      <c r="I735" s="177" t="s">
        <v>361</v>
      </c>
      <c r="J735" s="185" t="s">
        <v>77</v>
      </c>
    </row>
    <row r="736" customFormat="false" ht="15" hidden="false" customHeight="true" outlineLevel="0" collapsed="false">
      <c r="A736" s="176" t="n">
        <v>16</v>
      </c>
      <c r="B736" s="195" t="s">
        <v>1634</v>
      </c>
      <c r="C736" s="195" t="s">
        <v>1635</v>
      </c>
      <c r="D736" s="183" t="n">
        <v>24</v>
      </c>
      <c r="E736" s="176" t="str">
        <f aca="false">IFERROR(VLOOKUP($B736,'Unit Cost Database'!$A:$H,3,FALSE()),"LS")</f>
        <v>EA</v>
      </c>
      <c r="F736" s="184" t="n">
        <f aca="false">IFERROR(VLOOKUP($B736,'Unit Cost Database'!$A:$H,8,FALSE()),0)</f>
        <v>28000</v>
      </c>
      <c r="G736" s="179" t="n">
        <f aca="false">$F$7</f>
        <v>0.1</v>
      </c>
      <c r="H736" s="180" t="n">
        <f aca="false">IF(OR(D736="",F736="",D736=0,F736=0),0,D736*F736*$H$8*(1+G736)*(1+$H$7))</f>
        <v>765072</v>
      </c>
      <c r="I736" s="177" t="s">
        <v>361</v>
      </c>
      <c r="J736" s="185" t="s">
        <v>77</v>
      </c>
    </row>
    <row r="737" customFormat="false" ht="15" hidden="false" customHeight="true" outlineLevel="0" collapsed="false">
      <c r="A737" s="176" t="n">
        <v>17</v>
      </c>
      <c r="B737" s="195" t="s">
        <v>1636</v>
      </c>
      <c r="C737" s="195" t="s">
        <v>1637</v>
      </c>
      <c r="D737" s="183" t="n">
        <v>1</v>
      </c>
      <c r="E737" s="176" t="str">
        <f aca="false">IFERROR(VLOOKUP($B737,'Unit Cost Database'!$A:$H,3,FALSE()),"LS")</f>
        <v>LS</v>
      </c>
      <c r="F737" s="184" t="n">
        <f aca="false">IFERROR(VLOOKUP($B737,'Unit Cost Database'!$A:$H,8,FALSE()),0)</f>
        <v>280000</v>
      </c>
      <c r="G737" s="179" t="n">
        <f aca="false">$F$7</f>
        <v>0.1</v>
      </c>
      <c r="H737" s="180" t="n">
        <f aca="false">IF(OR(D737="",F737="",D737=0,F737=0),0,D737*F737*$H$8*(1+G737)*(1+$H$7))</f>
        <v>318780</v>
      </c>
      <c r="I737" s="177" t="s">
        <v>361</v>
      </c>
      <c r="J737" s="185" t="s">
        <v>77</v>
      </c>
    </row>
    <row r="738" customFormat="false" ht="15" hidden="false" customHeight="true" outlineLevel="1" collapsed="false">
      <c r="A738" s="176" t="n">
        <v>18</v>
      </c>
      <c r="B738" s="195" t="s">
        <v>1638</v>
      </c>
      <c r="C738" s="195" t="s">
        <v>1639</v>
      </c>
      <c r="D738" s="183" t="n">
        <v>1</v>
      </c>
      <c r="E738" s="176" t="str">
        <f aca="false">IFERROR(VLOOKUP($B738,'Unit Cost Database'!$A:$H,3,FALSE()),"LS")</f>
        <v>LS</v>
      </c>
      <c r="F738" s="184" t="n">
        <f aca="false">IFERROR(VLOOKUP($B738,'Unit Cost Database'!$A:$H,8,FALSE()),0)</f>
        <v>280000</v>
      </c>
      <c r="G738" s="179" t="n">
        <f aca="false">$F$7</f>
        <v>0.1</v>
      </c>
      <c r="H738" s="180" t="n">
        <f aca="false">IF(OR(D738="",F738="",D738=0,F738=0),0,D738*F738*$H$8*(1+G738)*(1+$H$7))</f>
        <v>318780</v>
      </c>
      <c r="I738" s="177" t="s">
        <v>361</v>
      </c>
      <c r="J738" s="185" t="s">
        <v>77</v>
      </c>
    </row>
    <row r="739" customFormat="false" ht="15" hidden="false" customHeight="true" outlineLevel="1" collapsed="false">
      <c r="A739" s="176" t="n">
        <v>19</v>
      </c>
      <c r="B739" s="195" t="s">
        <v>1640</v>
      </c>
      <c r="C739" s="195" t="s">
        <v>1641</v>
      </c>
      <c r="D739" s="183" t="n">
        <v>12</v>
      </c>
      <c r="E739" s="176" t="str">
        <f aca="false">IFERROR(VLOOKUP($B739,'Unit Cost Database'!$A:$H,3,FALSE()),"LS")</f>
        <v>EA</v>
      </c>
      <c r="F739" s="184" t="n">
        <f aca="false">IFERROR(VLOOKUP($B739,'Unit Cost Database'!$A:$H,8,FALSE()),0)</f>
        <v>45000</v>
      </c>
      <c r="G739" s="179" t="n">
        <f aca="false">$F$7</f>
        <v>0.1</v>
      </c>
      <c r="H739" s="180" t="n">
        <f aca="false">IF(OR(D739="",F739="",D739=0,F739=0),0,D739*F739*$H$8*(1+G739)*(1+$H$7))</f>
        <v>614790</v>
      </c>
      <c r="I739" s="177" t="s">
        <v>361</v>
      </c>
      <c r="J739" s="185" t="s">
        <v>77</v>
      </c>
    </row>
    <row r="740" customFormat="false" ht="15" hidden="false" customHeight="true" outlineLevel="1" collapsed="false">
      <c r="A740" s="176" t="n">
        <v>20</v>
      </c>
      <c r="B740" s="195" t="s">
        <v>1642</v>
      </c>
      <c r="C740" s="195" t="s">
        <v>1643</v>
      </c>
      <c r="D740" s="183" t="n">
        <v>90</v>
      </c>
      <c r="E740" s="176" t="str">
        <f aca="false">IFERROR(VLOOKUP($B740,'Unit Cost Database'!$A:$H,3,FALSE()),"LS")</f>
        <v>MW</v>
      </c>
      <c r="F740" s="184" t="n">
        <f aca="false">IFERROR(VLOOKUP($B740,'Unit Cost Database'!$A:$H,8,FALSE()),0)</f>
        <v>2500</v>
      </c>
      <c r="G740" s="179" t="n">
        <f aca="false">$F$7</f>
        <v>0.1</v>
      </c>
      <c r="H740" s="180" t="n">
        <f aca="false">IF(OR(D740="",F740="",D740=0,F740=0),0,D740*F740*$H$8*(1+G740)*(1+$H$7))</f>
        <v>256162.5</v>
      </c>
      <c r="I740" s="177" t="s">
        <v>361</v>
      </c>
      <c r="J740" s="185" t="s">
        <v>77</v>
      </c>
    </row>
    <row r="741" customFormat="false" ht="15" hidden="false" customHeight="true" outlineLevel="1" collapsed="false">
      <c r="A741" s="176" t="n">
        <v>21</v>
      </c>
      <c r="B741" s="195" t="s">
        <v>1644</v>
      </c>
      <c r="C741" s="195" t="s">
        <v>1625</v>
      </c>
      <c r="D741" s="183" t="n">
        <v>9</v>
      </c>
      <c r="E741" s="176" t="str">
        <f aca="false">IFERROR(VLOOKUP($B741,'Unit Cost Database'!$A:$H,3,FALSE()),"LS")</f>
        <v>EA</v>
      </c>
      <c r="F741" s="184" t="n">
        <f aca="false">IFERROR(VLOOKUP($B741,'Unit Cost Database'!$A:$H,8,FALSE()),0)</f>
        <v>35000</v>
      </c>
      <c r="G741" s="179" t="n">
        <f aca="false">$F$7</f>
        <v>0.1</v>
      </c>
      <c r="H741" s="180" t="n">
        <f aca="false">IF(OR(D741="",F741="",D741=0,F741=0),0,D741*F741*$H$8*(1+G741)*(1+$H$7))</f>
        <v>358627.5</v>
      </c>
      <c r="I741" s="177" t="s">
        <v>361</v>
      </c>
      <c r="J741" s="185" t="s">
        <v>77</v>
      </c>
    </row>
    <row r="742" customFormat="false" ht="15" hidden="false" customHeight="true" outlineLevel="1" collapsed="false">
      <c r="A742" s="186"/>
      <c r="B742" s="187"/>
      <c r="C742" s="188" t="s">
        <v>1645</v>
      </c>
      <c r="D742" s="189"/>
      <c r="E742" s="186"/>
      <c r="F742" s="190"/>
      <c r="G742" s="191"/>
      <c r="H742" s="192" t="n">
        <f aca="false">SUM(H717:H741)</f>
        <v>15750753.4249814</v>
      </c>
      <c r="I742" s="187"/>
      <c r="J742" s="187"/>
    </row>
    <row r="743" customFormat="false" ht="15" hidden="false" customHeight="true" outlineLevel="1" collapsed="false">
      <c r="A743" s="193" t="s">
        <v>1646</v>
      </c>
      <c r="B743" s="193"/>
      <c r="C743" s="193"/>
      <c r="D743" s="193"/>
      <c r="E743" s="193"/>
      <c r="F743" s="193"/>
      <c r="G743" s="193"/>
      <c r="H743" s="193"/>
      <c r="I743" s="182"/>
      <c r="J743" s="182" t="s">
        <v>76</v>
      </c>
    </row>
    <row r="744" customFormat="false" ht="15" hidden="false" customHeight="true" outlineLevel="1" collapsed="false">
      <c r="A744" s="176" t="n">
        <v>1</v>
      </c>
      <c r="B744" s="195" t="s">
        <v>1647</v>
      </c>
      <c r="C744" s="195" t="s">
        <v>1648</v>
      </c>
      <c r="D744" s="183" t="n">
        <f aca="false">$C$6*1.5</f>
        <v>1200000</v>
      </c>
      <c r="E744" s="176" t="str">
        <f aca="false">IFERROR(VLOOKUP($B744,'Unit Cost Database'!$A:$H,3,FALSE()),"LS")</f>
        <v>SF</v>
      </c>
      <c r="F744" s="184" t="n">
        <f aca="false">IFERROR(VLOOKUP($B744,'Unit Cost Database'!$A:$H,8,FALSE()),0)</f>
        <v>1.5</v>
      </c>
      <c r="G744" s="179" t="n">
        <f aca="false">$F$7</f>
        <v>0.1</v>
      </c>
      <c r="H744" s="180" t="n">
        <f aca="false">IF(OR(D744="",F744="",D744=0,F744=0),0,D744*F744*$H$8*(1+G744)*(1+$H$7))</f>
        <v>2049300</v>
      </c>
      <c r="I744" s="177" t="s">
        <v>281</v>
      </c>
      <c r="J744" s="185" t="s">
        <v>76</v>
      </c>
    </row>
    <row r="745" customFormat="false" ht="15" hidden="false" customHeight="true" outlineLevel="0" collapsed="false">
      <c r="A745" s="176" t="n">
        <v>2</v>
      </c>
      <c r="B745" s="195" t="s">
        <v>1649</v>
      </c>
      <c r="C745" s="195" t="s">
        <v>1650</v>
      </c>
      <c r="D745" s="183" t="n">
        <f aca="false">$C$6/27*0.5</f>
        <v>14814.8148148148</v>
      </c>
      <c r="E745" s="176" t="str">
        <f aca="false">IFERROR(VLOOKUP($B745,'Unit Cost Database'!$A:$H,3,FALSE()),"LS")</f>
        <v>CY</v>
      </c>
      <c r="F745" s="184" t="n">
        <f aca="false">IFERROR(VLOOKUP($B745,'Unit Cost Database'!$A:$H,8,FALSE()),0)</f>
        <v>8</v>
      </c>
      <c r="G745" s="179" t="n">
        <f aca="false">$F$7</f>
        <v>0.1</v>
      </c>
      <c r="H745" s="180" t="n">
        <f aca="false">IF(OR(D745="",F745="",D745=0,F745=0),0,D745*F745*$H$8*(1+G745)*(1+$H$7))</f>
        <v>134933.333333333</v>
      </c>
      <c r="I745" s="177" t="s">
        <v>281</v>
      </c>
      <c r="J745" s="185" t="s">
        <v>76</v>
      </c>
    </row>
    <row r="746" customFormat="false" ht="15" hidden="false" customHeight="true" outlineLevel="0" collapsed="false">
      <c r="A746" s="176" t="n">
        <v>3</v>
      </c>
      <c r="B746" s="195" t="s">
        <v>1651</v>
      </c>
      <c r="C746" s="195" t="s">
        <v>1652</v>
      </c>
      <c r="D746" s="183" t="n">
        <f aca="false">$C$6/27*0.4</f>
        <v>11851.8518518519</v>
      </c>
      <c r="E746" s="176" t="str">
        <f aca="false">IFERROR(VLOOKUP($B746,'Unit Cost Database'!$A:$H,3,FALSE()),"LS")</f>
        <v>CY</v>
      </c>
      <c r="F746" s="184" t="n">
        <f aca="false">IFERROR(VLOOKUP($B746,'Unit Cost Database'!$A:$H,8,FALSE()),0)</f>
        <v>12</v>
      </c>
      <c r="G746" s="179" t="n">
        <f aca="false">$F$7</f>
        <v>0.1</v>
      </c>
      <c r="H746" s="180" t="n">
        <f aca="false">IF(OR(D746="",F746="",D746=0,F746=0),0,D746*F746*$H$8*(1+G746)*(1+$H$7))</f>
        <v>161920</v>
      </c>
      <c r="I746" s="177" t="s">
        <v>281</v>
      </c>
      <c r="J746" s="185" t="s">
        <v>76</v>
      </c>
    </row>
    <row r="747" customFormat="false" ht="15" hidden="false" customHeight="true" outlineLevel="0" collapsed="false">
      <c r="A747" s="176" t="n">
        <v>4</v>
      </c>
      <c r="B747" s="195" t="s">
        <v>1653</v>
      </c>
      <c r="C747" s="195" t="s">
        <v>1654</v>
      </c>
      <c r="D747" s="183" t="n">
        <f aca="false">$C$6/27*0.5</f>
        <v>14814.8148148148</v>
      </c>
      <c r="E747" s="176" t="str">
        <f aca="false">IFERROR(VLOOKUP($B747,'Unit Cost Database'!$A:$H,3,FALSE()),"LS")</f>
        <v>CY</v>
      </c>
      <c r="F747" s="184" t="n">
        <f aca="false">IFERROR(VLOOKUP($B747,'Unit Cost Database'!$A:$H,8,FALSE()),0)</f>
        <v>22</v>
      </c>
      <c r="G747" s="179" t="n">
        <f aca="false">$F$7</f>
        <v>0.1</v>
      </c>
      <c r="H747" s="180" t="n">
        <f aca="false">IF(OR(D747="",F747="",D747=0,F747=0),0,D747*F747*$H$8*(1+G747)*(1+$H$7))</f>
        <v>371066.666666667</v>
      </c>
      <c r="I747" s="177" t="s">
        <v>281</v>
      </c>
      <c r="J747" s="185" t="s">
        <v>76</v>
      </c>
    </row>
    <row r="748" customFormat="false" ht="15" hidden="false" customHeight="true" outlineLevel="1" collapsed="false">
      <c r="A748" s="176" t="n">
        <v>5</v>
      </c>
      <c r="B748" s="195" t="s">
        <v>1655</v>
      </c>
      <c r="C748" s="195" t="s">
        <v>1656</v>
      </c>
      <c r="D748" s="183" t="n">
        <f aca="false">$C$6*1.5</f>
        <v>1200000</v>
      </c>
      <c r="E748" s="176" t="str">
        <f aca="false">IFERROR(VLOOKUP($B748,'Unit Cost Database'!$A:$H,3,FALSE()),"LS")</f>
        <v>SF</v>
      </c>
      <c r="F748" s="184" t="n">
        <f aca="false">IFERROR(VLOOKUP($B748,'Unit Cost Database'!$A:$H,8,FALSE()),0)</f>
        <v>0.15</v>
      </c>
      <c r="G748" s="179" t="n">
        <f aca="false">$F$7</f>
        <v>0.1</v>
      </c>
      <c r="H748" s="180" t="n">
        <f aca="false">IF(OR(D748="",F748="",D748=0,F748=0),0,D748*F748*$H$8*(1+G748)*(1+$H$7))</f>
        <v>204930</v>
      </c>
      <c r="I748" s="177" t="s">
        <v>281</v>
      </c>
      <c r="J748" s="185" t="s">
        <v>76</v>
      </c>
    </row>
    <row r="749" customFormat="false" ht="15" hidden="false" customHeight="true" outlineLevel="1" collapsed="false">
      <c r="A749" s="176" t="n">
        <v>6</v>
      </c>
      <c r="B749" s="195" t="s">
        <v>1657</v>
      </c>
      <c r="C749" s="195" t="s">
        <v>1658</v>
      </c>
      <c r="D749" s="183" t="n">
        <f aca="false">$C$6*0.1</f>
        <v>80000</v>
      </c>
      <c r="E749" s="176" t="str">
        <f aca="false">IFERROR(VLOOKUP($B749,'Unit Cost Database'!$A:$H,3,FALSE()),"LS")</f>
        <v>SF</v>
      </c>
      <c r="F749" s="184" t="n">
        <f aca="false">IFERROR(VLOOKUP($B749,'Unit Cost Database'!$A:$H,8,FALSE()),0)</f>
        <v>1.5</v>
      </c>
      <c r="G749" s="179" t="n">
        <f aca="false">$F$7</f>
        <v>0.1</v>
      </c>
      <c r="H749" s="180" t="n">
        <f aca="false">IF(OR(D749="",F749="",D749=0,F749=0),0,D749*F749*$H$8*(1+G749)*(1+$H$7))</f>
        <v>136620</v>
      </c>
      <c r="I749" s="177" t="s">
        <v>281</v>
      </c>
      <c r="J749" s="185" t="s">
        <v>76</v>
      </c>
    </row>
    <row r="750" customFormat="false" ht="15" hidden="false" customHeight="true" outlineLevel="1" collapsed="false">
      <c r="A750" s="176" t="n">
        <v>7</v>
      </c>
      <c r="B750" s="195" t="s">
        <v>1659</v>
      </c>
      <c r="C750" s="195" t="s">
        <v>1660</v>
      </c>
      <c r="D750" s="183" t="n">
        <f aca="false">$C$6*0.05</f>
        <v>40000</v>
      </c>
      <c r="E750" s="176" t="str">
        <f aca="false">IFERROR(VLOOKUP($B750,'Unit Cost Database'!$A:$H,3,FALSE()),"LS")</f>
        <v>SF</v>
      </c>
      <c r="F750" s="184" t="n">
        <f aca="false">IFERROR(VLOOKUP($B750,'Unit Cost Database'!$A:$H,8,FALSE()),0)</f>
        <v>17.5</v>
      </c>
      <c r="G750" s="179" t="n">
        <f aca="false">$F$7</f>
        <v>0.1</v>
      </c>
      <c r="H750" s="180" t="n">
        <f aca="false">IF(OR(D750="",F750="",D750=0,F750=0),0,D750*F750*$H$8*(1+G750)*(1+$H$7))</f>
        <v>796950</v>
      </c>
      <c r="I750" s="177" t="s">
        <v>281</v>
      </c>
      <c r="J750" s="185" t="s">
        <v>76</v>
      </c>
    </row>
    <row r="751" customFormat="false" ht="15" hidden="false" customHeight="true" outlineLevel="1" collapsed="false">
      <c r="A751" s="176" t="n">
        <v>8</v>
      </c>
      <c r="B751" s="195" t="s">
        <v>1661</v>
      </c>
      <c r="C751" s="195" t="s">
        <v>1662</v>
      </c>
      <c r="D751" s="183" t="n">
        <f aca="false">$C$6*0.05</f>
        <v>40000</v>
      </c>
      <c r="E751" s="176" t="str">
        <f aca="false">IFERROR(VLOOKUP($B751,'Unit Cost Database'!$A:$H,3,FALSE()),"LS")</f>
        <v>SF</v>
      </c>
      <c r="F751" s="184" t="n">
        <f aca="false">IFERROR(VLOOKUP($B751,'Unit Cost Database'!$A:$H,8,FALSE()),0)</f>
        <v>24.5</v>
      </c>
      <c r="G751" s="179" t="n">
        <f aca="false">$F$7</f>
        <v>0.1</v>
      </c>
      <c r="H751" s="180" t="n">
        <f aca="false">IF(OR(D751="",F751="",D751=0,F751=0),0,D751*F751*$H$8*(1+G751)*(1+$H$7))</f>
        <v>1115730</v>
      </c>
      <c r="I751" s="177" t="s">
        <v>281</v>
      </c>
      <c r="J751" s="185" t="s">
        <v>76</v>
      </c>
    </row>
    <row r="752" customFormat="false" ht="15" hidden="false" customHeight="true" outlineLevel="1" collapsed="false">
      <c r="A752" s="176" t="n">
        <v>9</v>
      </c>
      <c r="B752" s="195" t="s">
        <v>1663</v>
      </c>
      <c r="C752" s="195" t="s">
        <v>1664</v>
      </c>
      <c r="D752" s="183" t="n">
        <v>240000</v>
      </c>
      <c r="E752" s="176" t="str">
        <f aca="false">IFERROR(VLOOKUP($B752,'Unit Cost Database'!$A:$H,3,FALSE()),"LS")</f>
        <v>LF</v>
      </c>
      <c r="F752" s="184" t="n">
        <f aca="false">IFERROR(VLOOKUP($B752,'Unit Cost Database'!$A:$H,8,FALSE()),0)</f>
        <v>35</v>
      </c>
      <c r="G752" s="179" t="n">
        <f aca="false">$F$7</f>
        <v>0.1</v>
      </c>
      <c r="H752" s="180" t="n">
        <f aca="false">IF(OR(D752="",F752="",D752=0,F752=0),0,D752*F752*$H$8*(1+G752)*(1+$H$7))</f>
        <v>9563400</v>
      </c>
      <c r="I752" s="177" t="s">
        <v>281</v>
      </c>
      <c r="J752" s="185" t="s">
        <v>76</v>
      </c>
    </row>
    <row r="753" customFormat="false" ht="15" hidden="false" customHeight="true" outlineLevel="1" collapsed="false">
      <c r="A753" s="176"/>
      <c r="B753" s="195" t="s">
        <v>1665</v>
      </c>
      <c r="C753" s="195" t="s">
        <v>1666</v>
      </c>
      <c r="D753" s="183" t="n">
        <v>0</v>
      </c>
      <c r="E753" s="176" t="str">
        <f aca="false">IFERROR(VLOOKUP($B753,'Unit Cost Database'!$A:$H,3,FALSE()),"LS")</f>
        <v>LS</v>
      </c>
      <c r="F753" s="184" t="n">
        <f aca="false">IFERROR(VLOOKUP($B753,'Unit Cost Database'!$A:$H,8,FALSE()),0)</f>
        <v>4200000</v>
      </c>
      <c r="G753" s="179" t="n">
        <f aca="false">$F$7</f>
        <v>0.1</v>
      </c>
      <c r="H753" s="180" t="n">
        <f aca="false">IF(OR(D753="",F753="",D753=0,F753=0),0,D753*F753*$H$8*(1+G753)*(1+$H$7))</f>
        <v>0</v>
      </c>
      <c r="I753" s="177" t="s">
        <v>281</v>
      </c>
      <c r="J753" s="185" t="s">
        <v>76</v>
      </c>
    </row>
    <row r="754" customFormat="false" ht="15" hidden="false" customHeight="true" outlineLevel="0" collapsed="false">
      <c r="A754" s="176"/>
      <c r="B754" s="195" t="s">
        <v>1667</v>
      </c>
      <c r="C754" s="195" t="s">
        <v>1668</v>
      </c>
      <c r="D754" s="183" t="n">
        <v>0</v>
      </c>
      <c r="E754" s="176" t="str">
        <f aca="false">IFERROR(VLOOKUP($B754,'Unit Cost Database'!$A:$H,3,FALSE()),"LS")</f>
        <v>LS</v>
      </c>
      <c r="F754" s="184" t="n">
        <f aca="false">IFERROR(VLOOKUP($B754,'Unit Cost Database'!$A:$H,8,FALSE()),0)</f>
        <v>2940000</v>
      </c>
      <c r="G754" s="179" t="n">
        <f aca="false">$F$7</f>
        <v>0.1</v>
      </c>
      <c r="H754" s="180" t="n">
        <f aca="false">IF(OR(D754="",F754="",D754=0,F754=0),0,D754*F754*$H$8*(1+G754)*(1+$H$7))</f>
        <v>0</v>
      </c>
      <c r="I754" s="177" t="s">
        <v>281</v>
      </c>
      <c r="J754" s="185" t="s">
        <v>76</v>
      </c>
    </row>
    <row r="755" customFormat="false" ht="15" hidden="false" customHeight="true" outlineLevel="0" collapsed="false">
      <c r="A755" s="176"/>
      <c r="B755" s="195" t="s">
        <v>1669</v>
      </c>
      <c r="C755" s="195" t="s">
        <v>1670</v>
      </c>
      <c r="D755" s="183" t="n">
        <v>0</v>
      </c>
      <c r="E755" s="176" t="str">
        <f aca="false">IFERROR(VLOOKUP($B755,'Unit Cost Database'!$A:$H,3,FALSE()),"LS")</f>
        <v>LS</v>
      </c>
      <c r="F755" s="184" t="n">
        <f aca="false">IFERROR(VLOOKUP($B755,'Unit Cost Database'!$A:$H,8,FALSE()),0)</f>
        <v>840000</v>
      </c>
      <c r="G755" s="179" t="n">
        <f aca="false">$F$7</f>
        <v>0.1</v>
      </c>
      <c r="H755" s="180" t="n">
        <f aca="false">IF(OR(D755="",F755="",D755=0,F755=0),0,D755*F755*$H$8*(1+G755)*(1+$H$7))</f>
        <v>0</v>
      </c>
      <c r="I755" s="177" t="s">
        <v>281</v>
      </c>
      <c r="J755" s="185" t="s">
        <v>76</v>
      </c>
    </row>
    <row r="756" customFormat="false" ht="15" hidden="false" customHeight="true" outlineLevel="0" collapsed="false">
      <c r="A756" s="176"/>
      <c r="B756" s="195" t="s">
        <v>1671</v>
      </c>
      <c r="C756" s="195" t="s">
        <v>1672</v>
      </c>
      <c r="D756" s="183" t="n">
        <v>0</v>
      </c>
      <c r="E756" s="176" t="str">
        <f aca="false">IFERROR(VLOOKUP($B756,'Unit Cost Database'!$A:$H,3,FALSE()),"LS")</f>
        <v>LS</v>
      </c>
      <c r="F756" s="184" t="n">
        <f aca="false">IFERROR(VLOOKUP($B756,'Unit Cost Database'!$A:$H,8,FALSE()),0)</f>
        <v>420000</v>
      </c>
      <c r="G756" s="179" t="n">
        <f aca="false">$F$7</f>
        <v>0.1</v>
      </c>
      <c r="H756" s="180" t="n">
        <f aca="false">IF(OR(D756="",F756="",D756=0,F756=0),0,D756*F756*$H$8*(1+G756)*(1+$H$7))</f>
        <v>0</v>
      </c>
      <c r="I756" s="177" t="s">
        <v>281</v>
      </c>
      <c r="J756" s="185" t="s">
        <v>76</v>
      </c>
    </row>
    <row r="757" customFormat="false" ht="15" hidden="false" customHeight="true" outlineLevel="1" collapsed="false">
      <c r="A757" s="176" t="n">
        <v>10</v>
      </c>
      <c r="B757" s="195" t="s">
        <v>1673</v>
      </c>
      <c r="C757" s="195" t="s">
        <v>1674</v>
      </c>
      <c r="D757" s="183" t="n">
        <v>40000</v>
      </c>
      <c r="E757" s="176" t="str">
        <f aca="false">IFERROR(VLOOKUP($B757,'Unit Cost Database'!$A:$H,3,FALSE()),"LS")</f>
        <v>LF</v>
      </c>
      <c r="F757" s="184" t="n">
        <f aca="false">IFERROR(VLOOKUP($B757,'Unit Cost Database'!$A:$H,8,FALSE()),0)</f>
        <v>140</v>
      </c>
      <c r="G757" s="179" t="n">
        <f aca="false">$F$7</f>
        <v>0.1</v>
      </c>
      <c r="H757" s="180" t="n">
        <f aca="false">IF(OR(D757="",F757="",D757=0,F757=0),0,D757*F757*$H$8*(1+G757)*(1+$H$7))</f>
        <v>6375600</v>
      </c>
      <c r="I757" s="177" t="s">
        <v>281</v>
      </c>
      <c r="J757" s="185" t="s">
        <v>76</v>
      </c>
    </row>
    <row r="758" customFormat="false" ht="15" hidden="false" customHeight="true" outlineLevel="1" collapsed="false">
      <c r="A758" s="176"/>
      <c r="B758" s="195" t="s">
        <v>1675</v>
      </c>
      <c r="C758" s="195" t="s">
        <v>1676</v>
      </c>
      <c r="D758" s="183" t="n">
        <v>0</v>
      </c>
      <c r="E758" s="176" t="str">
        <f aca="false">IFERROR(VLOOKUP($B758,'Unit Cost Database'!$A:$H,3,FALSE()),"LS")</f>
        <v>LS</v>
      </c>
      <c r="F758" s="184" t="n">
        <f aca="false">IFERROR(VLOOKUP($B758,'Unit Cost Database'!$A:$H,8,FALSE()),0)</f>
        <v>2800000</v>
      </c>
      <c r="G758" s="179" t="n">
        <f aca="false">$F$7</f>
        <v>0.1</v>
      </c>
      <c r="H758" s="180" t="n">
        <f aca="false">IF(OR(D758="",F758="",D758=0,F758=0),0,D758*F758*$H$8*(1+G758)*(1+$H$7))</f>
        <v>0</v>
      </c>
      <c r="I758" s="177" t="s">
        <v>281</v>
      </c>
      <c r="J758" s="185" t="s">
        <v>76</v>
      </c>
    </row>
    <row r="759" customFormat="false" ht="15" hidden="false" customHeight="true" outlineLevel="1" collapsed="false">
      <c r="A759" s="176"/>
      <c r="B759" s="195" t="s">
        <v>1677</v>
      </c>
      <c r="C759" s="195" t="s">
        <v>1678</v>
      </c>
      <c r="D759" s="183" t="n">
        <v>0</v>
      </c>
      <c r="E759" s="176" t="str">
        <f aca="false">IFERROR(VLOOKUP($B759,'Unit Cost Database'!$A:$H,3,FALSE()),"LS")</f>
        <v>LS</v>
      </c>
      <c r="F759" s="184" t="n">
        <f aca="false">IFERROR(VLOOKUP($B759,'Unit Cost Database'!$A:$H,8,FALSE()),0)</f>
        <v>1680000</v>
      </c>
      <c r="G759" s="179" t="n">
        <f aca="false">$F$7</f>
        <v>0.1</v>
      </c>
      <c r="H759" s="180" t="n">
        <f aca="false">IF(OR(D759="",F759="",D759=0,F759=0),0,D759*F759*$H$8*(1+G759)*(1+$H$7))</f>
        <v>0</v>
      </c>
      <c r="I759" s="177" t="s">
        <v>281</v>
      </c>
      <c r="J759" s="185" t="s">
        <v>76</v>
      </c>
    </row>
    <row r="760" customFormat="false" ht="15" hidden="false" customHeight="true" outlineLevel="1" collapsed="false">
      <c r="A760" s="176"/>
      <c r="B760" s="195" t="s">
        <v>1679</v>
      </c>
      <c r="C760" s="195" t="s">
        <v>1680</v>
      </c>
      <c r="D760" s="183" t="n">
        <v>0</v>
      </c>
      <c r="E760" s="176" t="str">
        <f aca="false">IFERROR(VLOOKUP($B760,'Unit Cost Database'!$A:$H,3,FALSE()),"LS")</f>
        <v>LS</v>
      </c>
      <c r="F760" s="184" t="n">
        <f aca="false">IFERROR(VLOOKUP($B760,'Unit Cost Database'!$A:$H,8,FALSE()),0)</f>
        <v>672000</v>
      </c>
      <c r="G760" s="179" t="n">
        <f aca="false">$F$7</f>
        <v>0.1</v>
      </c>
      <c r="H760" s="180" t="n">
        <f aca="false">IF(OR(D760="",F760="",D760=0,F760=0),0,D760*F760*$H$8*(1+G760)*(1+$H$7))</f>
        <v>0</v>
      </c>
      <c r="I760" s="177" t="s">
        <v>281</v>
      </c>
      <c r="J760" s="185" t="s">
        <v>76</v>
      </c>
    </row>
    <row r="761" customFormat="false" ht="15" hidden="false" customHeight="true" outlineLevel="1" collapsed="false">
      <c r="A761" s="176"/>
      <c r="B761" s="195" t="s">
        <v>1681</v>
      </c>
      <c r="C761" s="195" t="s">
        <v>1682</v>
      </c>
      <c r="D761" s="183" t="n">
        <v>0</v>
      </c>
      <c r="E761" s="176" t="str">
        <f aca="false">IFERROR(VLOOKUP($B761,'Unit Cost Database'!$A:$H,3,FALSE()),"LS")</f>
        <v>LS</v>
      </c>
      <c r="F761" s="184" t="n">
        <f aca="false">IFERROR(VLOOKUP($B761,'Unit Cost Database'!$A:$H,8,FALSE()),0)</f>
        <v>448000</v>
      </c>
      <c r="G761" s="179" t="n">
        <f aca="false">$F$7</f>
        <v>0.1</v>
      </c>
      <c r="H761" s="180" t="n">
        <f aca="false">IF(OR(D761="",F761="",D761=0,F761=0),0,D761*F761*$H$8*(1+G761)*(1+$H$7))</f>
        <v>0</v>
      </c>
      <c r="I761" s="177" t="s">
        <v>281</v>
      </c>
      <c r="J761" s="185" t="s">
        <v>76</v>
      </c>
    </row>
    <row r="762" customFormat="false" ht="15" hidden="false" customHeight="true" outlineLevel="1" collapsed="false">
      <c r="A762" s="176" t="n">
        <v>11</v>
      </c>
      <c r="B762" s="195" t="s">
        <v>1683</v>
      </c>
      <c r="C762" s="195" t="s">
        <v>1684</v>
      </c>
      <c r="D762" s="183" t="n">
        <v>1</v>
      </c>
      <c r="E762" s="176" t="str">
        <f aca="false">IFERROR(VLOOKUP($B762,'Unit Cost Database'!$A:$H,3,FALSE()),"LS")</f>
        <v>LS</v>
      </c>
      <c r="F762" s="184" t="n">
        <f aca="false">IFERROR(VLOOKUP($B762,'Unit Cost Database'!$A:$H,8,FALSE()),0)</f>
        <v>350000</v>
      </c>
      <c r="G762" s="179" t="n">
        <f aca="false">$F$7</f>
        <v>0.1</v>
      </c>
      <c r="H762" s="180" t="n">
        <f aca="false">IF(OR(D762="",F762="",D762=0,F762=0),0,D762*F762*$H$8*(1+G762)*(1+$H$7))</f>
        <v>398475</v>
      </c>
      <c r="I762" s="177" t="s">
        <v>281</v>
      </c>
      <c r="J762" s="185" t="s">
        <v>76</v>
      </c>
    </row>
    <row r="763" customFormat="false" ht="15" hidden="false" customHeight="true" outlineLevel="1" collapsed="false">
      <c r="A763" s="176" t="n">
        <v>12</v>
      </c>
      <c r="B763" s="195" t="s">
        <v>1685</v>
      </c>
      <c r="C763" s="195" t="s">
        <v>1686</v>
      </c>
      <c r="D763" s="183" t="n">
        <v>18000</v>
      </c>
      <c r="E763" s="176" t="str">
        <f aca="false">IFERROR(VLOOKUP($B763,'Unit Cost Database'!$A:$H,3,FALSE()),"LS")</f>
        <v>CY</v>
      </c>
      <c r="F763" s="184" t="n">
        <f aca="false">IFERROR(VLOOKUP($B763,'Unit Cost Database'!$A:$H,8,FALSE()),0)</f>
        <v>38</v>
      </c>
      <c r="G763" s="179" t="n">
        <f aca="false">$F$7</f>
        <v>0.1</v>
      </c>
      <c r="H763" s="180" t="n">
        <f aca="false">IF(OR(D763="",F763="",D763=0,F763=0),0,D763*F763*$H$8*(1+G763)*(1+$H$7))</f>
        <v>778734</v>
      </c>
      <c r="I763" s="177" t="s">
        <v>281</v>
      </c>
      <c r="J763" s="185" t="s">
        <v>76</v>
      </c>
    </row>
    <row r="764" customFormat="false" ht="15" hidden="false" customHeight="true" outlineLevel="1" collapsed="false">
      <c r="A764" s="176" t="n">
        <v>13</v>
      </c>
      <c r="B764" s="195" t="s">
        <v>1687</v>
      </c>
      <c r="C764" s="195" t="s">
        <v>1688</v>
      </c>
      <c r="D764" s="183" t="n">
        <v>600000</v>
      </c>
      <c r="E764" s="176" t="str">
        <f aca="false">IFERROR(VLOOKUP($B764,'Unit Cost Database'!$A:$H,3,FALSE()),"LS")</f>
        <v>SF</v>
      </c>
      <c r="F764" s="184" t="n">
        <f aca="false">IFERROR(VLOOKUP($B764,'Unit Cost Database'!$A:$H,8,FALSE()),0)</f>
        <v>0.6</v>
      </c>
      <c r="G764" s="179" t="n">
        <f aca="false">$F$7</f>
        <v>0.1</v>
      </c>
      <c r="H764" s="180" t="n">
        <f aca="false">IF(OR(D764="",F764="",D764=0,F764=0),0,D764*F764*$H$8*(1+G764)*(1+$H$7))</f>
        <v>409860</v>
      </c>
      <c r="I764" s="177" t="s">
        <v>281</v>
      </c>
      <c r="J764" s="185" t="s">
        <v>76</v>
      </c>
    </row>
    <row r="765" customFormat="false" ht="15" hidden="false" customHeight="true" outlineLevel="1" collapsed="false">
      <c r="A765" s="176" t="n">
        <v>14</v>
      </c>
      <c r="B765" s="195" t="s">
        <v>1689</v>
      </c>
      <c r="C765" s="195" t="s">
        <v>1690</v>
      </c>
      <c r="D765" s="183" t="n">
        <v>8000</v>
      </c>
      <c r="E765" s="176" t="str">
        <f aca="false">IFERROR(VLOOKUP($B765,'Unit Cost Database'!$A:$H,3,FALSE()),"LS")</f>
        <v>CY</v>
      </c>
      <c r="F765" s="184" t="n">
        <f aca="false">IFERROR(VLOOKUP($B765,'Unit Cost Database'!$A:$H,8,FALSE()),0)</f>
        <v>65</v>
      </c>
      <c r="G765" s="179" t="n">
        <f aca="false">$F$7</f>
        <v>0.1</v>
      </c>
      <c r="H765" s="180" t="n">
        <f aca="false">IF(OR(D765="",F765="",D765=0,F765=0),0,D765*F765*$H$8*(1+G765)*(1+$H$7))</f>
        <v>592020</v>
      </c>
      <c r="I765" s="177" t="s">
        <v>281</v>
      </c>
      <c r="J765" s="185" t="s">
        <v>76</v>
      </c>
    </row>
    <row r="766" customFormat="false" ht="15" hidden="false" customHeight="true" outlineLevel="1" collapsed="false">
      <c r="A766" s="176" t="n">
        <v>15</v>
      </c>
      <c r="B766" s="195" t="s">
        <v>1691</v>
      </c>
      <c r="C766" s="195" t="s">
        <v>1692</v>
      </c>
      <c r="D766" s="183" t="n">
        <v>60000</v>
      </c>
      <c r="E766" s="176" t="str">
        <f aca="false">IFERROR(VLOOKUP($B766,'Unit Cost Database'!$A:$H,3,FALSE()),"LS")</f>
        <v>CY</v>
      </c>
      <c r="F766" s="184" t="n">
        <f aca="false">IFERROR(VLOOKUP($B766,'Unit Cost Database'!$A:$H,8,FALSE()),0)</f>
        <v>14</v>
      </c>
      <c r="G766" s="179" t="n">
        <f aca="false">$F$7</f>
        <v>0.1</v>
      </c>
      <c r="H766" s="180" t="n">
        <f aca="false">IF(OR(D766="",F766="",D766=0,F766=0),0,D766*F766*$H$8*(1+G766)*(1+$H$7))</f>
        <v>956340</v>
      </c>
      <c r="I766" s="177" t="s">
        <v>281</v>
      </c>
      <c r="J766" s="185" t="s">
        <v>76</v>
      </c>
    </row>
    <row r="767" customFormat="false" ht="15" hidden="false" customHeight="true" outlineLevel="1" collapsed="false">
      <c r="A767" s="176" t="n">
        <v>16</v>
      </c>
      <c r="B767" s="195" t="s">
        <v>1693</v>
      </c>
      <c r="C767" s="195" t="s">
        <v>1694</v>
      </c>
      <c r="D767" s="183" t="n">
        <v>1</v>
      </c>
      <c r="E767" s="176" t="str">
        <f aca="false">IFERROR(VLOOKUP($B767,'Unit Cost Database'!$A:$H,3,FALSE()),"LS")</f>
        <v>LS</v>
      </c>
      <c r="F767" s="184" t="n">
        <f aca="false">IFERROR(VLOOKUP($B767,'Unit Cost Database'!$A:$H,8,FALSE()),0)</f>
        <v>600000</v>
      </c>
      <c r="G767" s="179" t="n">
        <f aca="false">$F$7</f>
        <v>0.1</v>
      </c>
      <c r="H767" s="180" t="n">
        <f aca="false">IF(OR(D767="",F767="",D767=0,F767=0),0,D767*F767*$H$8*(1+G767)*(1+$H$7))</f>
        <v>683100</v>
      </c>
      <c r="I767" s="177" t="s">
        <v>281</v>
      </c>
      <c r="J767" s="185" t="s">
        <v>76</v>
      </c>
    </row>
    <row r="768" customFormat="false" ht="15" hidden="false" customHeight="true" outlineLevel="1" collapsed="false">
      <c r="A768" s="176" t="n">
        <v>17</v>
      </c>
      <c r="B768" s="195" t="s">
        <v>1695</v>
      </c>
      <c r="C768" s="195" t="s">
        <v>1696</v>
      </c>
      <c r="D768" s="183" t="n">
        <v>22000</v>
      </c>
      <c r="E768" s="176" t="str">
        <f aca="false">IFERROR(VLOOKUP($B768,'Unit Cost Database'!$A:$H,3,FALSE()),"LS")</f>
        <v>CY</v>
      </c>
      <c r="F768" s="184" t="n">
        <f aca="false">IFERROR(VLOOKUP($B768,'Unit Cost Database'!$A:$H,8,FALSE()),0)</f>
        <v>8</v>
      </c>
      <c r="G768" s="179" t="n">
        <f aca="false">$F$7</f>
        <v>0.1</v>
      </c>
      <c r="H768" s="180" t="n">
        <f aca="false">IF(OR(D768="",F768="",D768=0,F768=0),0,D768*F768*$H$8*(1+G768)*(1+$H$7))</f>
        <v>200376</v>
      </c>
      <c r="I768" s="177" t="s">
        <v>281</v>
      </c>
      <c r="J768" s="185" t="s">
        <v>76</v>
      </c>
    </row>
    <row r="769" customFormat="false" ht="15" hidden="false" customHeight="true" outlineLevel="1" collapsed="false">
      <c r="A769" s="176" t="n">
        <v>18</v>
      </c>
      <c r="B769" s="195" t="s">
        <v>1697</v>
      </c>
      <c r="C769" s="195" t="s">
        <v>1698</v>
      </c>
      <c r="D769" s="183" t="n">
        <v>800000</v>
      </c>
      <c r="E769" s="176" t="str">
        <f aca="false">IFERROR(VLOOKUP($B769,'Unit Cost Database'!$A:$H,3,FALSE()),"LS")</f>
        <v>SF</v>
      </c>
      <c r="F769" s="184" t="n">
        <f aca="false">IFERROR(VLOOKUP($B769,'Unit Cost Database'!$A:$H,8,FALSE()),0)</f>
        <v>0.4</v>
      </c>
      <c r="G769" s="179" t="n">
        <f aca="false">$F$7</f>
        <v>0.1</v>
      </c>
      <c r="H769" s="180" t="n">
        <f aca="false">IF(OR(D769="",F769="",D769=0,F769=0),0,D769*F769*$H$8*(1+G769)*(1+$H$7))</f>
        <v>364320</v>
      </c>
      <c r="I769" s="177" t="s">
        <v>281</v>
      </c>
      <c r="J769" s="185" t="s">
        <v>76</v>
      </c>
    </row>
    <row r="770" customFormat="false" ht="15" hidden="false" customHeight="true" outlineLevel="1" collapsed="false">
      <c r="A770" s="176" t="n">
        <v>19</v>
      </c>
      <c r="B770" s="195" t="s">
        <v>1699</v>
      </c>
      <c r="C770" s="195" t="s">
        <v>1700</v>
      </c>
      <c r="D770" s="183" t="n">
        <v>1</v>
      </c>
      <c r="E770" s="176" t="str">
        <f aca="false">IFERROR(VLOOKUP($B770,'Unit Cost Database'!$A:$H,3,FALSE()),"LS")</f>
        <v>LS</v>
      </c>
      <c r="F770" s="184" t="n">
        <f aca="false">IFERROR(VLOOKUP($B770,'Unit Cost Database'!$A:$H,8,FALSE()),0)</f>
        <v>180000</v>
      </c>
      <c r="G770" s="179" t="n">
        <f aca="false">$F$7</f>
        <v>0.1</v>
      </c>
      <c r="H770" s="180" t="n">
        <f aca="false">IF(OR(D770="",F770="",D770=0,F770=0),0,D770*F770*$H$8*(1+G770)*(1+$H$7))</f>
        <v>204930</v>
      </c>
      <c r="I770" s="177" t="s">
        <v>281</v>
      </c>
      <c r="J770" s="185" t="s">
        <v>76</v>
      </c>
    </row>
    <row r="771" customFormat="false" ht="15" hidden="false" customHeight="true" outlineLevel="1" collapsed="false">
      <c r="A771" s="176" t="n">
        <v>20</v>
      </c>
      <c r="B771" s="195" t="s">
        <v>1701</v>
      </c>
      <c r="C771" s="195" t="s">
        <v>1702</v>
      </c>
      <c r="D771" s="183" t="n">
        <v>12</v>
      </c>
      <c r="E771" s="176" t="str">
        <f aca="false">IFERROR(VLOOKUP($B771,'Unit Cost Database'!$A:$H,3,FALSE()),"LS")</f>
        <v>EA</v>
      </c>
      <c r="F771" s="184" t="n">
        <f aca="false">IFERROR(VLOOKUP($B771,'Unit Cost Database'!$A:$H,8,FALSE()),0)</f>
        <v>8500</v>
      </c>
      <c r="G771" s="179" t="n">
        <f aca="false">$F$7</f>
        <v>0.1</v>
      </c>
      <c r="H771" s="180" t="n">
        <f aca="false">IF(OR(D771="",F771="",D771=0,F771=0),0,D771*F771*$H$8*(1+G771)*(1+$H$7))</f>
        <v>116127</v>
      </c>
      <c r="I771" s="177" t="s">
        <v>361</v>
      </c>
      <c r="J771" s="185" t="s">
        <v>76</v>
      </c>
    </row>
    <row r="772" customFormat="false" ht="15" hidden="false" customHeight="true" outlineLevel="1" collapsed="false">
      <c r="A772" s="186"/>
      <c r="B772" s="187"/>
      <c r="C772" s="188" t="s">
        <v>1703</v>
      </c>
      <c r="D772" s="189"/>
      <c r="E772" s="186"/>
      <c r="F772" s="190"/>
      <c r="G772" s="191"/>
      <c r="H772" s="192" t="n">
        <f aca="false">SUM(H744:H771)</f>
        <v>25614732</v>
      </c>
      <c r="I772" s="187"/>
      <c r="J772" s="187"/>
    </row>
    <row r="773" customFormat="false" ht="15" hidden="false" customHeight="true" outlineLevel="1" collapsed="false">
      <c r="A773" s="176"/>
      <c r="B773" s="195"/>
      <c r="C773" s="195"/>
      <c r="D773" s="177"/>
      <c r="E773" s="176"/>
      <c r="F773" s="178"/>
      <c r="G773" s="179"/>
      <c r="H773" s="180"/>
    </row>
    <row r="774" customFormat="false" ht="15" hidden="false" customHeight="true" outlineLevel="1" collapsed="false">
      <c r="A774" s="193" t="s">
        <v>1704</v>
      </c>
      <c r="B774" s="193"/>
      <c r="C774" s="193"/>
      <c r="D774" s="193"/>
      <c r="E774" s="193"/>
      <c r="F774" s="193"/>
      <c r="G774" s="193"/>
      <c r="H774" s="193"/>
      <c r="I774" s="182"/>
      <c r="J774" s="182" t="s">
        <v>76</v>
      </c>
    </row>
    <row r="775" customFormat="false" ht="15" hidden="false" customHeight="true" outlineLevel="1" collapsed="false">
      <c r="A775" s="176" t="n">
        <v>1</v>
      </c>
      <c r="B775" s="195" t="s">
        <v>1705</v>
      </c>
      <c r="C775" s="195" t="s">
        <v>1706</v>
      </c>
      <c r="D775" s="183" t="n">
        <f aca="false">$C$6*0.5</f>
        <v>400000</v>
      </c>
      <c r="E775" s="176" t="str">
        <f aca="false">IFERROR(VLOOKUP($B775,'Unit Cost Database'!$A:$H,3,FALSE()),"LS")</f>
        <v>SF</v>
      </c>
      <c r="F775" s="184" t="n">
        <f aca="false">IFERROR(VLOOKUP($B775,'Unit Cost Database'!$A:$H,8,FALSE()),0)</f>
        <v>3.5</v>
      </c>
      <c r="G775" s="179" t="n">
        <f aca="false">$F$7</f>
        <v>0.1</v>
      </c>
      <c r="H775" s="180" t="n">
        <f aca="false">IF(OR(D775="",F775="",D775=0,F775=0),0,D775*F775*$H$8*(1+G775)*(1+$H$7))</f>
        <v>1593900</v>
      </c>
      <c r="I775" s="177" t="s">
        <v>281</v>
      </c>
      <c r="J775" s="185" t="s">
        <v>76</v>
      </c>
    </row>
    <row r="776" customFormat="false" ht="15" hidden="false" customHeight="true" outlineLevel="0" collapsed="false">
      <c r="A776" s="176" t="n">
        <v>2</v>
      </c>
      <c r="B776" s="195" t="s">
        <v>1707</v>
      </c>
      <c r="C776" s="195" t="s">
        <v>1708</v>
      </c>
      <c r="D776" s="183" t="n">
        <f aca="false">$C$6*0.15</f>
        <v>120000</v>
      </c>
      <c r="E776" s="176" t="str">
        <f aca="false">IFERROR(VLOOKUP($B776,'Unit Cost Database'!$A:$H,3,FALSE()),"LS")</f>
        <v>SF</v>
      </c>
      <c r="F776" s="184" t="n">
        <f aca="false">IFERROR(VLOOKUP($B776,'Unit Cost Database'!$A:$H,8,FALSE()),0)</f>
        <v>7</v>
      </c>
      <c r="G776" s="179" t="n">
        <f aca="false">$F$7</f>
        <v>0.1</v>
      </c>
      <c r="H776" s="180" t="n">
        <f aca="false">IF(OR(D776="",F776="",D776=0,F776=0),0,D776*F776*$H$8*(1+G776)*(1+$H$7))</f>
        <v>956340</v>
      </c>
      <c r="I776" s="177" t="s">
        <v>281</v>
      </c>
      <c r="J776" s="185" t="s">
        <v>76</v>
      </c>
    </row>
    <row r="777" customFormat="false" ht="15" hidden="false" customHeight="true" outlineLevel="0" collapsed="false">
      <c r="A777" s="176" t="n">
        <v>3</v>
      </c>
      <c r="B777" s="195" t="s">
        <v>1709</v>
      </c>
      <c r="C777" s="195" t="s">
        <v>1710</v>
      </c>
      <c r="D777" s="183" t="n">
        <f aca="false">SQRT($C$6)*4</f>
        <v>3577.70876399966</v>
      </c>
      <c r="E777" s="176" t="str">
        <f aca="false">IFERROR(VLOOKUP($B777,'Unit Cost Database'!$A:$H,3,FALSE()),"LS")</f>
        <v>LF</v>
      </c>
      <c r="F777" s="184" t="n">
        <f aca="false">IFERROR(VLOOKUP($B777,'Unit Cost Database'!$A:$H,8,FALSE()),0)</f>
        <v>35</v>
      </c>
      <c r="G777" s="179" t="n">
        <f aca="false">$F$7</f>
        <v>0.1</v>
      </c>
      <c r="H777" s="180" t="n">
        <f aca="false">IF(OR(D777="",F777="",D777=0,F777=0),0,D777*F777*$H$8*(1+G777)*(1+$H$7))</f>
        <v>142562.749973477</v>
      </c>
      <c r="I777" s="177" t="s">
        <v>281</v>
      </c>
      <c r="J777" s="185" t="s">
        <v>76</v>
      </c>
    </row>
    <row r="778" customFormat="false" ht="15" hidden="false" customHeight="true" outlineLevel="0" collapsed="false">
      <c r="A778" s="176" t="n">
        <v>4</v>
      </c>
      <c r="B778" s="195" t="s">
        <v>1711</v>
      </c>
      <c r="C778" s="195" t="s">
        <v>1712</v>
      </c>
      <c r="D778" s="183" t="n">
        <f aca="false">$C$6*0.5</f>
        <v>400000</v>
      </c>
      <c r="E778" s="176" t="str">
        <f aca="false">IFERROR(VLOOKUP($B778,'Unit Cost Database'!$A:$H,3,FALSE()),"LS")</f>
        <v>SF</v>
      </c>
      <c r="F778" s="184" t="n">
        <f aca="false">IFERROR(VLOOKUP($B778,'Unit Cost Database'!$A:$H,8,FALSE()),0)</f>
        <v>0.35</v>
      </c>
      <c r="G778" s="179" t="n">
        <f aca="false">$F$7</f>
        <v>0.1</v>
      </c>
      <c r="H778" s="180" t="n">
        <f aca="false">IF(OR(D778="",F778="",D778=0,F778=0),0,D778*F778*$H$8*(1+G778)*(1+$H$7))</f>
        <v>159390</v>
      </c>
      <c r="I778" s="177" t="s">
        <v>281</v>
      </c>
      <c r="J778" s="185" t="s">
        <v>76</v>
      </c>
    </row>
    <row r="779" customFormat="false" ht="15" hidden="false" customHeight="true" outlineLevel="1" collapsed="false">
      <c r="A779" s="176" t="n">
        <v>5</v>
      </c>
      <c r="B779" s="195" t="s">
        <v>1713</v>
      </c>
      <c r="C779" s="195" t="s">
        <v>1714</v>
      </c>
      <c r="D779" s="183" t="n">
        <f aca="false">SQRT($C$6)*4</f>
        <v>3577.70876399966</v>
      </c>
      <c r="E779" s="176" t="str">
        <f aca="false">IFERROR(VLOOKUP($B779,'Unit Cost Database'!$A:$H,3,FALSE()),"LS")</f>
        <v>LF</v>
      </c>
      <c r="F779" s="184" t="n">
        <f aca="false">IFERROR(VLOOKUP($B779,'Unit Cost Database'!$A:$H,8,FALSE()),0)</f>
        <v>45</v>
      </c>
      <c r="G779" s="179" t="n">
        <f aca="false">$F$7</f>
        <v>0.1</v>
      </c>
      <c r="H779" s="180" t="n">
        <f aca="false">IF(OR(D779="",F779="",D779=0,F779=0),0,D779*F779*$H$8*(1+G779)*(1+$H$7))</f>
        <v>183294.964251613</v>
      </c>
      <c r="I779" s="177" t="s">
        <v>281</v>
      </c>
      <c r="J779" s="185" t="s">
        <v>76</v>
      </c>
    </row>
    <row r="780" customFormat="false" ht="15" hidden="false" customHeight="true" outlineLevel="1" collapsed="false">
      <c r="A780" s="176" t="n">
        <v>6</v>
      </c>
      <c r="B780" s="195" t="s">
        <v>1715</v>
      </c>
      <c r="C780" s="195" t="s">
        <v>1716</v>
      </c>
      <c r="D780" s="183" t="n">
        <f aca="false">100</f>
        <v>100</v>
      </c>
      <c r="E780" s="176" t="str">
        <f aca="false">IFERROR(VLOOKUP($B780,'Unit Cost Database'!$A:$H,3,FALSE()),"LS")</f>
        <v>EA</v>
      </c>
      <c r="F780" s="184" t="n">
        <f aca="false">IFERROR(VLOOKUP($B780,'Unit Cost Database'!$A:$H,8,FALSE()),0)</f>
        <v>3500</v>
      </c>
      <c r="G780" s="179" t="n">
        <f aca="false">$F$7</f>
        <v>0.1</v>
      </c>
      <c r="H780" s="180" t="n">
        <f aca="false">IF(OR(D780="",F780="",D780=0,F780=0),0,D780*F780*$H$8*(1+G780)*(1+$H$7))</f>
        <v>398475</v>
      </c>
      <c r="I780" s="177" t="s">
        <v>281</v>
      </c>
      <c r="J780" s="185" t="s">
        <v>76</v>
      </c>
    </row>
    <row r="781" customFormat="false" ht="15" hidden="false" customHeight="true" outlineLevel="1" collapsed="false">
      <c r="A781" s="176" t="n">
        <v>7</v>
      </c>
      <c r="B781" s="195" t="s">
        <v>1717</v>
      </c>
      <c r="C781" s="195" t="s">
        <v>1718</v>
      </c>
      <c r="D781" s="183" t="n">
        <f aca="false">8</f>
        <v>8</v>
      </c>
      <c r="E781" s="176" t="str">
        <f aca="false">IFERROR(VLOOKUP($B781,'Unit Cost Database'!$A:$H,3,FALSE()),"LS")</f>
        <v>EA</v>
      </c>
      <c r="F781" s="184" t="n">
        <f aca="false">IFERROR(VLOOKUP($B781,'Unit Cost Database'!$A:$H,8,FALSE()),0)</f>
        <v>52500</v>
      </c>
      <c r="G781" s="179" t="n">
        <f aca="false">$F$7</f>
        <v>0.1</v>
      </c>
      <c r="H781" s="180" t="n">
        <f aca="false">IF(OR(D781="",F781="",D781=0,F781=0),0,D781*F781*$H$8*(1+G781)*(1+$H$7))</f>
        <v>478170</v>
      </c>
      <c r="I781" s="177" t="s">
        <v>281</v>
      </c>
      <c r="J781" s="185" t="s">
        <v>76</v>
      </c>
    </row>
    <row r="782" customFormat="false" ht="15" hidden="false" customHeight="true" outlineLevel="1" collapsed="false">
      <c r="A782" s="176" t="n">
        <v>8</v>
      </c>
      <c r="B782" s="195" t="s">
        <v>1719</v>
      </c>
      <c r="C782" s="195" t="s">
        <v>1720</v>
      </c>
      <c r="D782" s="183" t="n">
        <f aca="false">$C$6*0.2</f>
        <v>160000</v>
      </c>
      <c r="E782" s="176" t="str">
        <f aca="false">IFERROR(VLOOKUP($B782,'Unit Cost Database'!$A:$H,3,FALSE()),"LS")</f>
        <v>SF</v>
      </c>
      <c r="F782" s="184" t="n">
        <f aca="false">IFERROR(VLOOKUP($B782,'Unit Cost Database'!$A:$H,8,FALSE()),0)</f>
        <v>1.05</v>
      </c>
      <c r="G782" s="179" t="n">
        <f aca="false">$F$7</f>
        <v>0.1</v>
      </c>
      <c r="H782" s="180" t="n">
        <f aca="false">IF(OR(D782="",F782="",D782=0,F782=0),0,D782*F782*$H$8*(1+G782)*(1+$H$7))</f>
        <v>191268</v>
      </c>
      <c r="I782" s="177" t="s">
        <v>281</v>
      </c>
      <c r="J782" s="185" t="s">
        <v>76</v>
      </c>
    </row>
    <row r="783" customFormat="false" ht="15" hidden="false" customHeight="true" outlineLevel="1" collapsed="false">
      <c r="A783" s="176" t="n">
        <v>9</v>
      </c>
      <c r="B783" s="195" t="s">
        <v>1721</v>
      </c>
      <c r="C783" s="195" t="s">
        <v>1722</v>
      </c>
      <c r="D783" s="183" t="n">
        <f aca="false">$C$6*0.3</f>
        <v>240000</v>
      </c>
      <c r="E783" s="176" t="str">
        <f aca="false">IFERROR(VLOOKUP($B783,'Unit Cost Database'!$A:$H,3,FALSE()),"LS")</f>
        <v>SF</v>
      </c>
      <c r="F783" s="184" t="n">
        <f aca="false">IFERROR(VLOOKUP($B783,'Unit Cost Database'!$A:$H,8,FALSE()),0)</f>
        <v>2.8</v>
      </c>
      <c r="G783" s="179" t="n">
        <f aca="false">$F$7</f>
        <v>0.1</v>
      </c>
      <c r="H783" s="180" t="n">
        <f aca="false">IF(OR(D783="",F783="",D783=0,F783=0),0,D783*F783*$H$8*(1+G783)*(1+$H$7))</f>
        <v>765072</v>
      </c>
      <c r="I783" s="177" t="s">
        <v>281</v>
      </c>
      <c r="J783" s="185" t="s">
        <v>76</v>
      </c>
    </row>
    <row r="784" customFormat="false" ht="15" hidden="false" customHeight="true" outlineLevel="1" collapsed="false">
      <c r="A784" s="176" t="n">
        <v>10</v>
      </c>
      <c r="B784" s="195" t="s">
        <v>1723</v>
      </c>
      <c r="C784" s="195" t="s">
        <v>1724</v>
      </c>
      <c r="D784" s="183" t="n">
        <f aca="false">$C$6*0.05</f>
        <v>40000</v>
      </c>
      <c r="E784" s="176" t="str">
        <f aca="false">IFERROR(VLOOKUP($B784,'Unit Cost Database'!$A:$H,3,FALSE()),"LS")</f>
        <v>SF</v>
      </c>
      <c r="F784" s="184" t="n">
        <f aca="false">IFERROR(VLOOKUP($B784,'Unit Cost Database'!$A:$H,8,FALSE()),0)</f>
        <v>8</v>
      </c>
      <c r="G784" s="179" t="n">
        <f aca="false">$F$7</f>
        <v>0.1</v>
      </c>
      <c r="H784" s="180" t="n">
        <f aca="false">IF(OR(D784="",F784="",D784=0,F784=0),0,D784*F784*$H$8*(1+G784)*(1+$H$7))</f>
        <v>364320</v>
      </c>
      <c r="I784" s="177" t="s">
        <v>281</v>
      </c>
      <c r="J784" s="185" t="s">
        <v>76</v>
      </c>
    </row>
    <row r="785" customFormat="false" ht="15" hidden="false" customHeight="true" outlineLevel="1" collapsed="false">
      <c r="A785" s="176" t="n">
        <v>11</v>
      </c>
      <c r="B785" s="195" t="s">
        <v>1725</v>
      </c>
      <c r="C785" s="195" t="s">
        <v>1726</v>
      </c>
      <c r="D785" s="183" t="n">
        <v>12000</v>
      </c>
      <c r="E785" s="176" t="str">
        <f aca="false">IFERROR(VLOOKUP($B785,'Unit Cost Database'!$A:$H,3,FALSE()),"LS")</f>
        <v>SF</v>
      </c>
      <c r="F785" s="184" t="n">
        <f aca="false">IFERROR(VLOOKUP($B785,'Unit Cost Database'!$A:$H,8,FALSE()),0)</f>
        <v>45</v>
      </c>
      <c r="G785" s="179" t="n">
        <f aca="false">$F$7</f>
        <v>0.1</v>
      </c>
      <c r="H785" s="180" t="n">
        <f aca="false">IF(OR(D785="",F785="",D785=0,F785=0),0,D785*F785*$H$8*(1+G785)*(1+$H$7))</f>
        <v>614790</v>
      </c>
      <c r="I785" s="177" t="s">
        <v>281</v>
      </c>
      <c r="J785" s="185" t="s">
        <v>76</v>
      </c>
    </row>
    <row r="786" customFormat="false" ht="15" hidden="false" customHeight="true" outlineLevel="1" collapsed="false">
      <c r="A786" s="176" t="n">
        <v>12</v>
      </c>
      <c r="B786" s="195" t="s">
        <v>1727</v>
      </c>
      <c r="C786" s="195" t="s">
        <v>1728</v>
      </c>
      <c r="D786" s="183" t="n">
        <v>3500</v>
      </c>
      <c r="E786" s="176" t="str">
        <f aca="false">IFERROR(VLOOKUP($B786,'Unit Cost Database'!$A:$H,3,FALSE()),"LS")</f>
        <v>LF</v>
      </c>
      <c r="F786" s="184" t="n">
        <f aca="false">IFERROR(VLOOKUP($B786,'Unit Cost Database'!$A:$H,8,FALSE()),0)</f>
        <v>55</v>
      </c>
      <c r="G786" s="179" t="n">
        <f aca="false">$F$7</f>
        <v>0.1</v>
      </c>
      <c r="H786" s="180" t="n">
        <f aca="false">IF(OR(D786="",F786="",D786=0,F786=0),0,D786*F786*$H$8*(1+G786)*(1+$H$7))</f>
        <v>219161.25</v>
      </c>
      <c r="I786" s="177" t="s">
        <v>281</v>
      </c>
      <c r="J786" s="185" t="s">
        <v>76</v>
      </c>
    </row>
    <row r="787" customFormat="false" ht="15" hidden="false" customHeight="true" outlineLevel="1" collapsed="false">
      <c r="A787" s="176" t="n">
        <v>13</v>
      </c>
      <c r="B787" s="195" t="s">
        <v>1729</v>
      </c>
      <c r="C787" s="195" t="s">
        <v>1730</v>
      </c>
      <c r="D787" s="183" t="n">
        <v>90000</v>
      </c>
      <c r="E787" s="176" t="str">
        <f aca="false">IFERROR(VLOOKUP($B787,'Unit Cost Database'!$A:$H,3,FALSE()),"LS")</f>
        <v>SF</v>
      </c>
      <c r="F787" s="184" t="n">
        <f aca="false">IFERROR(VLOOKUP($B787,'Unit Cost Database'!$A:$H,8,FALSE()),0)</f>
        <v>14</v>
      </c>
      <c r="G787" s="179" t="n">
        <f aca="false">$F$7</f>
        <v>0.1</v>
      </c>
      <c r="H787" s="180" t="n">
        <f aca="false">IF(OR(D787="",F787="",D787=0,F787=0),0,D787*F787*$H$8*(1+G787)*(1+$H$7))</f>
        <v>1434510</v>
      </c>
      <c r="I787" s="177" t="s">
        <v>281</v>
      </c>
      <c r="J787" s="185" t="s">
        <v>76</v>
      </c>
    </row>
    <row r="788" customFormat="false" ht="15" hidden="false" customHeight="true" outlineLevel="1" collapsed="false">
      <c r="A788" s="176" t="n">
        <v>14</v>
      </c>
      <c r="B788" s="195" t="s">
        <v>1731</v>
      </c>
      <c r="C788" s="195" t="s">
        <v>1732</v>
      </c>
      <c r="D788" s="183" t="n">
        <v>60000</v>
      </c>
      <c r="E788" s="176" t="str">
        <f aca="false">IFERROR(VLOOKUP($B788,'Unit Cost Database'!$A:$H,3,FALSE()),"LS")</f>
        <v>SF</v>
      </c>
      <c r="F788" s="184" t="n">
        <f aca="false">IFERROR(VLOOKUP($B788,'Unit Cost Database'!$A:$H,8,FALSE()),0)</f>
        <v>9</v>
      </c>
      <c r="G788" s="179" t="n">
        <f aca="false">$F$7</f>
        <v>0.1</v>
      </c>
      <c r="H788" s="180" t="n">
        <f aca="false">IF(OR(D788="",F788="",D788=0,F788=0),0,D788*F788*$H$8*(1+G788)*(1+$H$7))</f>
        <v>614790</v>
      </c>
      <c r="I788" s="177" t="s">
        <v>281</v>
      </c>
      <c r="J788" s="185" t="s">
        <v>76</v>
      </c>
    </row>
    <row r="789" customFormat="false" ht="15" hidden="false" customHeight="true" outlineLevel="1" collapsed="false">
      <c r="A789" s="176" t="n">
        <v>15</v>
      </c>
      <c r="B789" s="195" t="s">
        <v>1733</v>
      </c>
      <c r="C789" s="195" t="s">
        <v>1734</v>
      </c>
      <c r="D789" s="183" t="n">
        <v>600</v>
      </c>
      <c r="E789" s="176" t="str">
        <f aca="false">IFERROR(VLOOKUP($B789,'Unit Cost Database'!$A:$H,3,FALSE()),"LS")</f>
        <v>EA</v>
      </c>
      <c r="F789" s="184" t="n">
        <f aca="false">IFERROR(VLOOKUP($B789,'Unit Cost Database'!$A:$H,8,FALSE()),0)</f>
        <v>65</v>
      </c>
      <c r="G789" s="179" t="n">
        <f aca="false">$F$7</f>
        <v>0.1</v>
      </c>
      <c r="H789" s="180" t="n">
        <f aca="false">IF(OR(D789="",F789="",D789=0,F789=0),0,D789*F789*$H$8*(1+G789)*(1+$H$7))</f>
        <v>44401.5</v>
      </c>
      <c r="I789" s="177" t="s">
        <v>281</v>
      </c>
      <c r="J789" s="185" t="s">
        <v>76</v>
      </c>
    </row>
    <row r="790" customFormat="false" ht="15" hidden="false" customHeight="true" outlineLevel="1" collapsed="false">
      <c r="A790" s="176" t="n">
        <v>16</v>
      </c>
      <c r="B790" s="195" t="s">
        <v>1735</v>
      </c>
      <c r="C790" s="195" t="s">
        <v>1736</v>
      </c>
      <c r="D790" s="183" t="n">
        <v>120</v>
      </c>
      <c r="E790" s="176" t="str">
        <f aca="false">IFERROR(VLOOKUP($B790,'Unit Cost Database'!$A:$H,3,FALSE()),"LS")</f>
        <v>EA</v>
      </c>
      <c r="F790" s="184" t="n">
        <f aca="false">IFERROR(VLOOKUP($B790,'Unit Cost Database'!$A:$H,8,FALSE()),0)</f>
        <v>3200</v>
      </c>
      <c r="G790" s="179" t="n">
        <f aca="false">$F$7</f>
        <v>0.1</v>
      </c>
      <c r="H790" s="180" t="n">
        <f aca="false">IF(OR(D790="",F790="",D790=0,F790=0),0,D790*F790*$H$8*(1+G790)*(1+$H$7))</f>
        <v>437184</v>
      </c>
      <c r="I790" s="177" t="s">
        <v>281</v>
      </c>
      <c r="J790" s="185" t="s">
        <v>76</v>
      </c>
    </row>
    <row r="791" customFormat="false" ht="15" hidden="false" customHeight="true" outlineLevel="1" collapsed="false">
      <c r="A791" s="176" t="n">
        <v>17</v>
      </c>
      <c r="B791" s="195" t="s">
        <v>1737</v>
      </c>
      <c r="C791" s="195" t="s">
        <v>1738</v>
      </c>
      <c r="D791" s="183" t="n">
        <v>8</v>
      </c>
      <c r="E791" s="176" t="str">
        <f aca="false">IFERROR(VLOOKUP($B791,'Unit Cost Database'!$A:$H,3,FALSE()),"LS")</f>
        <v>EA</v>
      </c>
      <c r="F791" s="184" t="n">
        <f aca="false">IFERROR(VLOOKUP($B791,'Unit Cost Database'!$A:$H,8,FALSE()),0)</f>
        <v>85000</v>
      </c>
      <c r="G791" s="179" t="n">
        <f aca="false">$F$7</f>
        <v>0.1</v>
      </c>
      <c r="H791" s="180" t="n">
        <f aca="false">IF(OR(D791="",F791="",D791=0,F791=0),0,D791*F791*$H$8*(1+G791)*(1+$H$7))</f>
        <v>774180</v>
      </c>
      <c r="I791" s="177" t="s">
        <v>361</v>
      </c>
      <c r="J791" s="185" t="s">
        <v>76</v>
      </c>
    </row>
    <row r="792" customFormat="false" ht="15" hidden="false" customHeight="true" outlineLevel="1" collapsed="false">
      <c r="A792" s="186"/>
      <c r="B792" s="187"/>
      <c r="C792" s="188" t="s">
        <v>1739</v>
      </c>
      <c r="D792" s="189"/>
      <c r="E792" s="186"/>
      <c r="F792" s="190"/>
      <c r="G792" s="191"/>
      <c r="H792" s="192" t="n">
        <f aca="false">SUM(H775:H791)</f>
        <v>9371809.46422509</v>
      </c>
      <c r="I792" s="187"/>
      <c r="J792" s="187"/>
    </row>
    <row r="793" customFormat="false" ht="15" hidden="false" customHeight="true" outlineLevel="0" collapsed="false">
      <c r="A793" s="176"/>
      <c r="B793" s="195"/>
      <c r="C793" s="195"/>
      <c r="D793" s="177"/>
      <c r="E793" s="176"/>
      <c r="F793" s="178"/>
      <c r="G793" s="179"/>
      <c r="H793" s="180"/>
    </row>
    <row r="794" customFormat="false" ht="15" hidden="false" customHeight="true" outlineLevel="0" collapsed="false">
      <c r="A794" s="193" t="s">
        <v>1740</v>
      </c>
      <c r="B794" s="193"/>
      <c r="C794" s="193"/>
      <c r="D794" s="193"/>
      <c r="E794" s="193"/>
      <c r="F794" s="193"/>
      <c r="G794" s="193"/>
      <c r="H794" s="193"/>
      <c r="I794" s="182"/>
      <c r="J794" s="182" t="s">
        <v>76</v>
      </c>
    </row>
    <row r="795" customFormat="false" ht="15" hidden="false" customHeight="true" outlineLevel="0" collapsed="false">
      <c r="A795" s="176" t="n">
        <v>1</v>
      </c>
      <c r="B795" s="195" t="s">
        <v>1741</v>
      </c>
      <c r="C795" s="195" t="s">
        <v>1742</v>
      </c>
      <c r="D795" s="183" t="n">
        <f aca="false">1</f>
        <v>1</v>
      </c>
      <c r="E795" s="176" t="str">
        <f aca="false">IFERROR(VLOOKUP($B795,'Unit Cost Database'!$A:$H,3,FALSE()),"LS")</f>
        <v>LS</v>
      </c>
      <c r="F795" s="184" t="n">
        <f aca="false">IFERROR(VLOOKUP($B795,'Unit Cost Database'!$A:$H,8,FALSE()),0)</f>
        <v>75000</v>
      </c>
      <c r="G795" s="179" t="n">
        <f aca="false">$F$7</f>
        <v>0.1</v>
      </c>
      <c r="H795" s="180" t="n">
        <f aca="false">IF(OR(D795="",F795="",D795=0,F795=0),0,D795*F795*$H$8*(1+G795)*(1+$H$7))</f>
        <v>85387.5</v>
      </c>
      <c r="I795" s="177" t="s">
        <v>281</v>
      </c>
      <c r="J795" s="185" t="s">
        <v>76</v>
      </c>
    </row>
    <row r="796" customFormat="false" ht="15" hidden="false" customHeight="true" outlineLevel="1" collapsed="false">
      <c r="A796" s="176" t="n">
        <v>2</v>
      </c>
      <c r="B796" s="195" t="s">
        <v>1743</v>
      </c>
      <c r="C796" s="195" t="s">
        <v>1744</v>
      </c>
      <c r="D796" s="183" t="n">
        <f aca="false">1</f>
        <v>1</v>
      </c>
      <c r="E796" s="176" t="str">
        <f aca="false">IFERROR(VLOOKUP($B796,'Unit Cost Database'!$A:$H,3,FALSE()),"LS")</f>
        <v>LS</v>
      </c>
      <c r="F796" s="184" t="n">
        <f aca="false">IFERROR(VLOOKUP($B796,'Unit Cost Database'!$A:$H,8,FALSE()),0)</f>
        <v>140000</v>
      </c>
      <c r="G796" s="179" t="n">
        <f aca="false">$F$7</f>
        <v>0.1</v>
      </c>
      <c r="H796" s="180" t="n">
        <f aca="false">IF(OR(D796="",F796="",D796=0,F796=0),0,D796*F796*$H$8*(1+G796)*(1+$H$7))</f>
        <v>159390</v>
      </c>
      <c r="I796" s="177" t="s">
        <v>281</v>
      </c>
      <c r="J796" s="185" t="s">
        <v>76</v>
      </c>
    </row>
    <row r="797" customFormat="false" ht="15" hidden="false" customHeight="true" outlineLevel="1" collapsed="false">
      <c r="A797" s="176" t="n">
        <v>3</v>
      </c>
      <c r="B797" s="195" t="s">
        <v>1745</v>
      </c>
      <c r="C797" s="195" t="s">
        <v>1746</v>
      </c>
      <c r="D797" s="183" t="n">
        <v>800000</v>
      </c>
      <c r="E797" s="176" t="str">
        <f aca="false">IFERROR(VLOOKUP($B797,'Unit Cost Database'!$A:$H,3,FALSE()),"LS")</f>
        <v>SF</v>
      </c>
      <c r="F797" s="184" t="n">
        <f aca="false">IFERROR(VLOOKUP($B797,'Unit Cost Database'!$A:$H,8,FALSE()),0)</f>
        <v>2.5</v>
      </c>
      <c r="G797" s="179" t="n">
        <f aca="false">$F$7</f>
        <v>0.1</v>
      </c>
      <c r="H797" s="180" t="n">
        <f aca="false">IF(OR(D797="",F797="",D797=0,F797=0),0,D797*F797*$H$8*(1+G797)*(1+$H$7))</f>
        <v>2277000</v>
      </c>
      <c r="I797" s="177" t="s">
        <v>281</v>
      </c>
      <c r="J797" s="185" t="s">
        <v>76</v>
      </c>
    </row>
    <row r="798" customFormat="false" ht="15" hidden="false" customHeight="true" outlineLevel="1" collapsed="false">
      <c r="A798" s="176"/>
      <c r="B798" s="195" t="s">
        <v>1747</v>
      </c>
      <c r="C798" s="195" t="s">
        <v>1748</v>
      </c>
      <c r="D798" s="183" t="n">
        <v>0</v>
      </c>
      <c r="E798" s="176" t="str">
        <f aca="false">IFERROR(VLOOKUP($B798,'Unit Cost Database'!$A:$H,3,FALSE()),"LS")</f>
        <v>LS</v>
      </c>
      <c r="F798" s="184" t="n">
        <f aca="false">IFERROR(VLOOKUP($B798,'Unit Cost Database'!$A:$H,8,FALSE()),0)</f>
        <v>1100000</v>
      </c>
      <c r="G798" s="179" t="n">
        <f aca="false">$F$7</f>
        <v>0.1</v>
      </c>
      <c r="H798" s="180" t="n">
        <f aca="false">IF(OR(D798="",F798="",D798=0,F798=0),0,D798*F798*$H$8*(1+G798)*(1+$H$7))</f>
        <v>0</v>
      </c>
      <c r="I798" s="177" t="s">
        <v>281</v>
      </c>
      <c r="J798" s="185" t="s">
        <v>76</v>
      </c>
    </row>
    <row r="799" customFormat="false" ht="15" hidden="false" customHeight="true" outlineLevel="1" collapsed="false">
      <c r="A799" s="176"/>
      <c r="B799" s="195" t="s">
        <v>1749</v>
      </c>
      <c r="C799" s="195" t="s">
        <v>1750</v>
      </c>
      <c r="D799" s="183" t="n">
        <v>0</v>
      </c>
      <c r="E799" s="176" t="str">
        <f aca="false">IFERROR(VLOOKUP($B799,'Unit Cost Database'!$A:$H,3,FALSE()),"LS")</f>
        <v>LS</v>
      </c>
      <c r="F799" s="184" t="n">
        <f aca="false">IFERROR(VLOOKUP($B799,'Unit Cost Database'!$A:$H,8,FALSE()),0)</f>
        <v>600000</v>
      </c>
      <c r="G799" s="179" t="n">
        <f aca="false">$F$7</f>
        <v>0.1</v>
      </c>
      <c r="H799" s="180" t="n">
        <f aca="false">IF(OR(D799="",F799="",D799=0,F799=0),0,D799*F799*$H$8*(1+G799)*(1+$H$7))</f>
        <v>0</v>
      </c>
      <c r="I799" s="177" t="s">
        <v>281</v>
      </c>
      <c r="J799" s="185" t="s">
        <v>76</v>
      </c>
    </row>
    <row r="800" customFormat="false" ht="15" hidden="false" customHeight="true" outlineLevel="1" collapsed="false">
      <c r="A800" s="176"/>
      <c r="B800" s="195" t="s">
        <v>1751</v>
      </c>
      <c r="C800" s="195" t="s">
        <v>1752</v>
      </c>
      <c r="D800" s="183" t="n">
        <v>0</v>
      </c>
      <c r="E800" s="176" t="str">
        <f aca="false">IFERROR(VLOOKUP($B800,'Unit Cost Database'!$A:$H,3,FALSE()),"LS")</f>
        <v>LS</v>
      </c>
      <c r="F800" s="184" t="n">
        <f aca="false">IFERROR(VLOOKUP($B800,'Unit Cost Database'!$A:$H,8,FALSE()),0)</f>
        <v>300000</v>
      </c>
      <c r="G800" s="179" t="n">
        <f aca="false">$F$7</f>
        <v>0.1</v>
      </c>
      <c r="H800" s="180" t="n">
        <f aca="false">IF(OR(D800="",F800="",D800=0,F800=0),0,D800*F800*$H$8*(1+G800)*(1+$H$7))</f>
        <v>0</v>
      </c>
      <c r="I800" s="177" t="s">
        <v>281</v>
      </c>
      <c r="J800" s="185" t="s">
        <v>76</v>
      </c>
    </row>
    <row r="801" customFormat="false" ht="15" hidden="false" customHeight="true" outlineLevel="1" collapsed="false">
      <c r="A801" s="176" t="n">
        <v>4</v>
      </c>
      <c r="B801" s="195" t="s">
        <v>1753</v>
      </c>
      <c r="C801" s="195" t="s">
        <v>1754</v>
      </c>
      <c r="D801" s="183" t="n">
        <f aca="false">$C$6*0.1</f>
        <v>80000</v>
      </c>
      <c r="E801" s="176" t="str">
        <f aca="false">IFERROR(VLOOKUP($B801,'Unit Cost Database'!$A:$H,3,FALSE()),"LS")</f>
        <v>SF</v>
      </c>
      <c r="F801" s="184" t="n">
        <f aca="false">IFERROR(VLOOKUP($B801,'Unit Cost Database'!$A:$H,8,FALSE()),0)</f>
        <v>5.6</v>
      </c>
      <c r="G801" s="179" t="n">
        <f aca="false">$F$7</f>
        <v>0.1</v>
      </c>
      <c r="H801" s="180" t="n">
        <f aca="false">IF(OR(D801="",F801="",D801=0,F801=0),0,D801*F801*$H$8*(1+G801)*(1+$H$7))</f>
        <v>510048</v>
      </c>
      <c r="I801" s="177" t="s">
        <v>281</v>
      </c>
      <c r="J801" s="185" t="s">
        <v>76</v>
      </c>
    </row>
    <row r="802" customFormat="false" ht="15" hidden="false" customHeight="true" outlineLevel="1" collapsed="false">
      <c r="A802" s="176" t="n">
        <v>5</v>
      </c>
      <c r="B802" s="195" t="s">
        <v>1755</v>
      </c>
      <c r="C802" s="195" t="s">
        <v>1756</v>
      </c>
      <c r="D802" s="183" t="n">
        <v>112500</v>
      </c>
      <c r="E802" s="176" t="str">
        <f aca="false">IFERROR(VLOOKUP($B802,'Unit Cost Database'!$A:$H,3,FALSE()),"LS")</f>
        <v>LF</v>
      </c>
      <c r="F802" s="184" t="n">
        <f aca="false">IFERROR(VLOOKUP($B802,'Unit Cost Database'!$A:$H,8,FALSE()),0)</f>
        <v>105</v>
      </c>
      <c r="G802" s="179" t="n">
        <f aca="false">$F$7</f>
        <v>0.1</v>
      </c>
      <c r="H802" s="180" t="n">
        <f aca="false">IF(OR(D802="",F802="",D802=0,F802=0),0,D802*F802*$H$8*(1+G802)*(1+$H$7))</f>
        <v>13448531.25</v>
      </c>
      <c r="I802" s="177" t="s">
        <v>281</v>
      </c>
      <c r="J802" s="185" t="s">
        <v>76</v>
      </c>
    </row>
    <row r="803" customFormat="false" ht="15" hidden="false" customHeight="true" outlineLevel="1" collapsed="false">
      <c r="A803" s="176"/>
      <c r="B803" s="195" t="s">
        <v>1757</v>
      </c>
      <c r="C803" s="195" t="s">
        <v>1758</v>
      </c>
      <c r="D803" s="183" t="n">
        <v>0</v>
      </c>
      <c r="E803" s="176" t="str">
        <f aca="false">IFERROR(VLOOKUP($B803,'Unit Cost Database'!$A:$H,3,FALSE()),"LS")</f>
        <v>LS</v>
      </c>
      <c r="F803" s="184" t="n">
        <f aca="false">IFERROR(VLOOKUP($B803,'Unit Cost Database'!$A:$H,8,FALSE()),0)</f>
        <v>5315625</v>
      </c>
      <c r="G803" s="179" t="n">
        <f aca="false">$F$7</f>
        <v>0.1</v>
      </c>
      <c r="H803" s="180" t="n">
        <f aca="false">IF(OR(D803="",F803="",D803=0,F803=0),0,D803*F803*$H$8*(1+G803)*(1+$H$7))</f>
        <v>0</v>
      </c>
      <c r="I803" s="177" t="s">
        <v>281</v>
      </c>
      <c r="J803" s="185" t="s">
        <v>76</v>
      </c>
    </row>
    <row r="804" customFormat="false" ht="15" hidden="false" customHeight="true" outlineLevel="1" collapsed="false">
      <c r="A804" s="176"/>
      <c r="B804" s="195" t="s">
        <v>1759</v>
      </c>
      <c r="C804" s="195" t="s">
        <v>1760</v>
      </c>
      <c r="D804" s="183" t="n">
        <v>0</v>
      </c>
      <c r="E804" s="176" t="str">
        <f aca="false">IFERROR(VLOOKUP($B804,'Unit Cost Database'!$A:$H,3,FALSE()),"LS")</f>
        <v>LS</v>
      </c>
      <c r="F804" s="184" t="n">
        <f aca="false">IFERROR(VLOOKUP($B804,'Unit Cost Database'!$A:$H,8,FALSE()),0)</f>
        <v>2953125</v>
      </c>
      <c r="G804" s="179" t="n">
        <f aca="false">$F$7</f>
        <v>0.1</v>
      </c>
      <c r="H804" s="180" t="n">
        <f aca="false">IF(OR(D804="",F804="",D804=0,F804=0),0,D804*F804*$H$8*(1+G804)*(1+$H$7))</f>
        <v>0</v>
      </c>
      <c r="I804" s="177" t="s">
        <v>281</v>
      </c>
      <c r="J804" s="185" t="s">
        <v>76</v>
      </c>
    </row>
    <row r="805" customFormat="false" ht="15" hidden="false" customHeight="true" outlineLevel="1" collapsed="false">
      <c r="A805" s="176"/>
      <c r="B805" s="195" t="s">
        <v>1761</v>
      </c>
      <c r="C805" s="195" t="s">
        <v>1762</v>
      </c>
      <c r="D805" s="183" t="n">
        <v>0</v>
      </c>
      <c r="E805" s="176" t="str">
        <f aca="false">IFERROR(VLOOKUP($B805,'Unit Cost Database'!$A:$H,3,FALSE()),"LS")</f>
        <v>LS</v>
      </c>
      <c r="F805" s="184" t="n">
        <f aca="false">IFERROR(VLOOKUP($B805,'Unit Cost Database'!$A:$H,8,FALSE()),0)</f>
        <v>1771875</v>
      </c>
      <c r="G805" s="179" t="n">
        <f aca="false">$F$7</f>
        <v>0.1</v>
      </c>
      <c r="H805" s="180" t="n">
        <f aca="false">IF(OR(D805="",F805="",D805=0,F805=0),0,D805*F805*$H$8*(1+G805)*(1+$H$7))</f>
        <v>0</v>
      </c>
      <c r="I805" s="177" t="s">
        <v>281</v>
      </c>
      <c r="J805" s="185" t="s">
        <v>76</v>
      </c>
    </row>
    <row r="806" customFormat="false" ht="15" hidden="false" customHeight="true" outlineLevel="1" collapsed="false">
      <c r="A806" s="176"/>
      <c r="B806" s="195" t="s">
        <v>1763</v>
      </c>
      <c r="C806" s="195" t="s">
        <v>1764</v>
      </c>
      <c r="D806" s="183" t="n">
        <v>0</v>
      </c>
      <c r="E806" s="176" t="str">
        <f aca="false">IFERROR(VLOOKUP($B806,'Unit Cost Database'!$A:$H,3,FALSE()),"LS")</f>
        <v>LS</v>
      </c>
      <c r="F806" s="184" t="n">
        <f aca="false">IFERROR(VLOOKUP($B806,'Unit Cost Database'!$A:$H,8,FALSE()),0)</f>
        <v>1771875</v>
      </c>
      <c r="G806" s="179" t="n">
        <f aca="false">$F$7</f>
        <v>0.1</v>
      </c>
      <c r="H806" s="180" t="n">
        <f aca="false">IF(OR(D806="",F806="",D806=0,F806=0),0,D806*F806*$H$8*(1+G806)*(1+$H$7))</f>
        <v>0</v>
      </c>
      <c r="I806" s="177" t="s">
        <v>281</v>
      </c>
      <c r="J806" s="185" t="s">
        <v>76</v>
      </c>
    </row>
    <row r="807" customFormat="false" ht="15" hidden="false" customHeight="true" outlineLevel="1" collapsed="false">
      <c r="A807" s="176" t="n">
        <v>6</v>
      </c>
      <c r="B807" s="195" t="s">
        <v>1765</v>
      </c>
      <c r="C807" s="195" t="s">
        <v>1766</v>
      </c>
      <c r="D807" s="183" t="n">
        <v>1687500</v>
      </c>
      <c r="E807" s="176" t="str">
        <f aca="false">IFERROR(VLOOKUP($B807,'Unit Cost Database'!$A:$H,3,FALSE()),"LS")</f>
        <v>GAL</v>
      </c>
      <c r="F807" s="184" t="n">
        <f aca="false">IFERROR(VLOOKUP($B807,'Unit Cost Database'!$A:$H,8,FALSE()),0)</f>
        <v>1.5</v>
      </c>
      <c r="G807" s="179" t="n">
        <f aca="false">$F$7</f>
        <v>0.1</v>
      </c>
      <c r="H807" s="180" t="n">
        <f aca="false">IF(OR(D807="",F807="",D807=0,F807=0),0,D807*F807*$H$8*(1+G807)*(1+$H$7))</f>
        <v>2881828.125</v>
      </c>
      <c r="I807" s="177" t="s">
        <v>281</v>
      </c>
      <c r="J807" s="185" t="s">
        <v>76</v>
      </c>
    </row>
    <row r="808" customFormat="false" ht="15" hidden="false" customHeight="true" outlineLevel="1" collapsed="false">
      <c r="A808" s="176"/>
      <c r="B808" s="195" t="s">
        <v>1767</v>
      </c>
      <c r="C808" s="195" t="s">
        <v>1768</v>
      </c>
      <c r="D808" s="183" t="n">
        <v>0</v>
      </c>
      <c r="E808" s="176" t="str">
        <f aca="false">IFERROR(VLOOKUP($B808,'Unit Cost Database'!$A:$H,3,FALSE()),"LS")</f>
        <v>LS</v>
      </c>
      <c r="F808" s="184" t="n">
        <f aca="false">IFERROR(VLOOKUP($B808,'Unit Cost Database'!$A:$H,8,FALSE()),0)</f>
        <v>1569375</v>
      </c>
      <c r="G808" s="179" t="n">
        <f aca="false">$F$7</f>
        <v>0.1</v>
      </c>
      <c r="H808" s="180" t="n">
        <f aca="false">IF(OR(D808="",F808="",D808=0,F808=0),0,D808*F808*$H$8*(1+G808)*(1+$H$7))</f>
        <v>0</v>
      </c>
      <c r="I808" s="177" t="s">
        <v>281</v>
      </c>
      <c r="J808" s="185" t="s">
        <v>76</v>
      </c>
    </row>
    <row r="809" customFormat="false" ht="15" hidden="false" customHeight="true" outlineLevel="1" collapsed="false">
      <c r="A809" s="176"/>
      <c r="B809" s="195" t="s">
        <v>1769</v>
      </c>
      <c r="C809" s="195" t="s">
        <v>1770</v>
      </c>
      <c r="D809" s="183" t="n">
        <v>0</v>
      </c>
      <c r="E809" s="176" t="str">
        <f aca="false">IFERROR(VLOOKUP($B809,'Unit Cost Database'!$A:$H,3,FALSE()),"LS")</f>
        <v>LS</v>
      </c>
      <c r="F809" s="184" t="n">
        <f aca="false">IFERROR(VLOOKUP($B809,'Unit Cost Database'!$A:$H,8,FALSE()),0)</f>
        <v>582187.5</v>
      </c>
      <c r="G809" s="179" t="n">
        <f aca="false">$F$7</f>
        <v>0.1</v>
      </c>
      <c r="H809" s="180" t="n">
        <f aca="false">IF(OR(D809="",F809="",D809=0,F809=0),0,D809*F809*$H$8*(1+G809)*(1+$H$7))</f>
        <v>0</v>
      </c>
      <c r="I809" s="177" t="s">
        <v>281</v>
      </c>
      <c r="J809" s="185" t="s">
        <v>76</v>
      </c>
    </row>
    <row r="810" customFormat="false" ht="15" hidden="false" customHeight="true" outlineLevel="1" collapsed="false">
      <c r="A810" s="176"/>
      <c r="B810" s="195" t="s">
        <v>1771</v>
      </c>
      <c r="C810" s="195" t="s">
        <v>1772</v>
      </c>
      <c r="D810" s="183" t="n">
        <v>0</v>
      </c>
      <c r="E810" s="176" t="str">
        <f aca="false">IFERROR(VLOOKUP($B810,'Unit Cost Database'!$A:$H,3,FALSE()),"LS")</f>
        <v>LS</v>
      </c>
      <c r="F810" s="184" t="n">
        <f aca="false">IFERROR(VLOOKUP($B810,'Unit Cost Database'!$A:$H,8,FALSE()),0)</f>
        <v>379687.5</v>
      </c>
      <c r="G810" s="179" t="n">
        <f aca="false">$F$7</f>
        <v>0.1</v>
      </c>
      <c r="H810" s="180" t="n">
        <f aca="false">IF(OR(D810="",F810="",D810=0,F810=0),0,D810*F810*$H$8*(1+G810)*(1+$H$7))</f>
        <v>0</v>
      </c>
      <c r="I810" s="177" t="s">
        <v>281</v>
      </c>
      <c r="J810" s="185" t="s">
        <v>76</v>
      </c>
    </row>
    <row r="811" customFormat="false" ht="15" hidden="false" customHeight="true" outlineLevel="1" collapsed="false">
      <c r="A811" s="176" t="n">
        <v>7</v>
      </c>
      <c r="B811" s="195" t="s">
        <v>1773</v>
      </c>
      <c r="C811" s="195" t="s">
        <v>1774</v>
      </c>
      <c r="D811" s="183" t="n">
        <v>56250</v>
      </c>
      <c r="E811" s="176" t="str">
        <f aca="false">IFERROR(VLOOKUP($B811,'Unit Cost Database'!$A:$H,3,FALSE()),"LS")</f>
        <v>LF</v>
      </c>
      <c r="F811" s="184" t="n">
        <f aca="false">IFERROR(VLOOKUP($B811,'Unit Cost Database'!$A:$H,8,FALSE()),0)</f>
        <v>140</v>
      </c>
      <c r="G811" s="179" t="n">
        <f aca="false">$F$7</f>
        <v>0.1</v>
      </c>
      <c r="H811" s="180" t="n">
        <f aca="false">IF(OR(D811="",F811="",D811=0,F811=0),0,D811*F811*$H$8*(1+G811)*(1+$H$7))</f>
        <v>8965687.5</v>
      </c>
      <c r="I811" s="177" t="s">
        <v>281</v>
      </c>
      <c r="J811" s="185" t="s">
        <v>76</v>
      </c>
    </row>
    <row r="812" customFormat="false" ht="15" hidden="false" customHeight="true" outlineLevel="1" collapsed="false">
      <c r="A812" s="176"/>
      <c r="B812" s="195" t="s">
        <v>1775</v>
      </c>
      <c r="C812" s="195" t="s">
        <v>1776</v>
      </c>
      <c r="D812" s="183" t="n">
        <v>0</v>
      </c>
      <c r="E812" s="176" t="str">
        <f aca="false">IFERROR(VLOOKUP($B812,'Unit Cost Database'!$A:$H,3,FALSE()),"LS")</f>
        <v>LS</v>
      </c>
      <c r="F812" s="184" t="n">
        <f aca="false">IFERROR(VLOOKUP($B812,'Unit Cost Database'!$A:$H,8,FALSE()),0)</f>
        <v>4331250</v>
      </c>
      <c r="G812" s="179" t="n">
        <f aca="false">$F$7</f>
        <v>0.1</v>
      </c>
      <c r="H812" s="180" t="n">
        <f aca="false">IF(OR(D812="",F812="",D812=0,F812=0),0,D812*F812*$H$8*(1+G812)*(1+$H$7))</f>
        <v>0</v>
      </c>
      <c r="I812" s="177" t="s">
        <v>281</v>
      </c>
      <c r="J812" s="185" t="s">
        <v>76</v>
      </c>
    </row>
    <row r="813" customFormat="false" ht="15" hidden="false" customHeight="true" outlineLevel="1" collapsed="false">
      <c r="A813" s="176"/>
      <c r="B813" s="195" t="s">
        <v>1777</v>
      </c>
      <c r="C813" s="195" t="s">
        <v>1778</v>
      </c>
      <c r="D813" s="183" t="n">
        <v>0</v>
      </c>
      <c r="E813" s="176" t="str">
        <f aca="false">IFERROR(VLOOKUP($B813,'Unit Cost Database'!$A:$H,3,FALSE()),"LS")</f>
        <v>LS</v>
      </c>
      <c r="F813" s="184" t="n">
        <f aca="false">IFERROR(VLOOKUP($B813,'Unit Cost Database'!$A:$H,8,FALSE()),0)</f>
        <v>1968750</v>
      </c>
      <c r="G813" s="179" t="n">
        <f aca="false">$F$7</f>
        <v>0.1</v>
      </c>
      <c r="H813" s="180" t="n">
        <f aca="false">IF(OR(D813="",F813="",D813=0,F813=0),0,D813*F813*$H$8*(1+G813)*(1+$H$7))</f>
        <v>0</v>
      </c>
      <c r="I813" s="177" t="s">
        <v>281</v>
      </c>
      <c r="J813" s="185" t="s">
        <v>76</v>
      </c>
    </row>
    <row r="814" customFormat="false" ht="15" hidden="false" customHeight="true" outlineLevel="0" collapsed="false">
      <c r="A814" s="176"/>
      <c r="B814" s="195" t="s">
        <v>1779</v>
      </c>
      <c r="C814" s="195" t="s">
        <v>1780</v>
      </c>
      <c r="D814" s="183" t="n">
        <v>0</v>
      </c>
      <c r="E814" s="176" t="str">
        <f aca="false">IFERROR(VLOOKUP($B814,'Unit Cost Database'!$A:$H,3,FALSE()),"LS")</f>
        <v>LS</v>
      </c>
      <c r="F814" s="184" t="n">
        <f aca="false">IFERROR(VLOOKUP($B814,'Unit Cost Database'!$A:$H,8,FALSE()),0)</f>
        <v>945000</v>
      </c>
      <c r="G814" s="179" t="n">
        <f aca="false">$F$7</f>
        <v>0.1</v>
      </c>
      <c r="H814" s="180" t="n">
        <f aca="false">IF(OR(D814="",F814="",D814=0,F814=0),0,D814*F814*$H$8*(1+G814)*(1+$H$7))</f>
        <v>0</v>
      </c>
      <c r="I814" s="177" t="s">
        <v>281</v>
      </c>
      <c r="J814" s="185" t="s">
        <v>76</v>
      </c>
    </row>
    <row r="815" customFormat="false" ht="15" hidden="false" customHeight="true" outlineLevel="0" collapsed="false">
      <c r="A815" s="176"/>
      <c r="B815" s="195" t="s">
        <v>1781</v>
      </c>
      <c r="C815" s="195" t="s">
        <v>1782</v>
      </c>
      <c r="D815" s="183" t="n">
        <v>0</v>
      </c>
      <c r="E815" s="176" t="str">
        <f aca="false">IFERROR(VLOOKUP($B815,'Unit Cost Database'!$A:$H,3,FALSE()),"LS")</f>
        <v>LS</v>
      </c>
      <c r="F815" s="184" t="n">
        <f aca="false">IFERROR(VLOOKUP($B815,'Unit Cost Database'!$A:$H,8,FALSE()),0)</f>
        <v>630000</v>
      </c>
      <c r="G815" s="179" t="n">
        <f aca="false">$F$7</f>
        <v>0.1</v>
      </c>
      <c r="H815" s="180" t="n">
        <f aca="false">IF(OR(D815="",F815="",D815=0,F815=0),0,D815*F815*$H$8*(1+G815)*(1+$H$7))</f>
        <v>0</v>
      </c>
      <c r="I815" s="177" t="s">
        <v>281</v>
      </c>
      <c r="J815" s="185" t="s">
        <v>76</v>
      </c>
    </row>
    <row r="816" customFormat="false" ht="15" hidden="false" customHeight="true" outlineLevel="0" collapsed="false">
      <c r="A816" s="176" t="n">
        <v>8</v>
      </c>
      <c r="B816" s="195" t="s">
        <v>1783</v>
      </c>
      <c r="C816" s="195" t="s">
        <v>1784</v>
      </c>
      <c r="D816" s="183" t="n">
        <v>90</v>
      </c>
      <c r="E816" s="176" t="str">
        <f aca="false">IFERROR(VLOOKUP($B816,'Unit Cost Database'!$A:$H,3,FALSE()),"LS")</f>
        <v>MW</v>
      </c>
      <c r="F816" s="184" t="n">
        <f aca="false">IFERROR(VLOOKUP($B816,'Unit Cost Database'!$A:$H,8,FALSE()),0)</f>
        <v>250000</v>
      </c>
      <c r="G816" s="179" t="n">
        <f aca="false">$F$7</f>
        <v>0.1</v>
      </c>
      <c r="H816" s="180" t="n">
        <f aca="false">IF(OR(D816="",F816="",D816=0,F816=0),0,D816*F816*$H$8*(1+G816)*(1+$H$7))</f>
        <v>25616250</v>
      </c>
      <c r="I816" s="177" t="s">
        <v>281</v>
      </c>
      <c r="J816" s="185" t="s">
        <v>76</v>
      </c>
    </row>
    <row r="817" customFormat="false" ht="15" hidden="false" customHeight="true" outlineLevel="1" collapsed="false">
      <c r="A817" s="176"/>
      <c r="B817" s="195" t="s">
        <v>1785</v>
      </c>
      <c r="C817" s="195" t="s">
        <v>1786</v>
      </c>
      <c r="D817" s="183" t="n">
        <v>0</v>
      </c>
      <c r="E817" s="176" t="str">
        <f aca="false">IFERROR(VLOOKUP($B817,'Unit Cost Database'!$A:$H,3,FALSE()),"LS")</f>
        <v>LS</v>
      </c>
      <c r="F817" s="184" t="n">
        <f aca="false">IFERROR(VLOOKUP($B817,'Unit Cost Database'!$A:$H,8,FALSE()),0)</f>
        <v>10125000</v>
      </c>
      <c r="G817" s="179" t="n">
        <f aca="false">$F$7</f>
        <v>0.1</v>
      </c>
      <c r="H817" s="180" t="n">
        <f aca="false">IF(OR(D817="",F817="",D817=0,F817=0),0,D817*F817*$H$8*(1+G817)*(1+$H$7))</f>
        <v>0</v>
      </c>
      <c r="I817" s="177" t="s">
        <v>281</v>
      </c>
      <c r="J817" s="185" t="s">
        <v>76</v>
      </c>
    </row>
    <row r="818" customFormat="false" ht="15" hidden="false" customHeight="true" outlineLevel="1" collapsed="false">
      <c r="A818" s="176"/>
      <c r="B818" s="195" t="s">
        <v>1787</v>
      </c>
      <c r="C818" s="195" t="s">
        <v>1788</v>
      </c>
      <c r="D818" s="183" t="n">
        <v>0</v>
      </c>
      <c r="E818" s="176" t="str">
        <f aca="false">IFERROR(VLOOKUP($B818,'Unit Cost Database'!$A:$H,3,FALSE()),"LS")</f>
        <v>LS</v>
      </c>
      <c r="F818" s="184" t="n">
        <f aca="false">IFERROR(VLOOKUP($B818,'Unit Cost Database'!$A:$H,8,FALSE()),0)</f>
        <v>5625000</v>
      </c>
      <c r="G818" s="179" t="n">
        <f aca="false">$F$7</f>
        <v>0.1</v>
      </c>
      <c r="H818" s="180" t="n">
        <f aca="false">IF(OR(D818="",F818="",D818=0,F818=0),0,D818*F818*$H$8*(1+G818)*(1+$H$7))</f>
        <v>0</v>
      </c>
      <c r="I818" s="177" t="s">
        <v>281</v>
      </c>
      <c r="J818" s="185" t="s">
        <v>76</v>
      </c>
    </row>
    <row r="819" customFormat="false" ht="15" hidden="false" customHeight="true" outlineLevel="1" collapsed="false">
      <c r="A819" s="176"/>
      <c r="B819" s="195" t="s">
        <v>1789</v>
      </c>
      <c r="C819" s="195" t="s">
        <v>1790</v>
      </c>
      <c r="D819" s="183" t="n">
        <v>0</v>
      </c>
      <c r="E819" s="176" t="str">
        <f aca="false">IFERROR(VLOOKUP($B819,'Unit Cost Database'!$A:$H,3,FALSE()),"LS")</f>
        <v>LS</v>
      </c>
      <c r="F819" s="184" t="n">
        <f aca="false">IFERROR(VLOOKUP($B819,'Unit Cost Database'!$A:$H,8,FALSE()),0)</f>
        <v>3375000</v>
      </c>
      <c r="G819" s="179" t="n">
        <f aca="false">$F$7</f>
        <v>0.1</v>
      </c>
      <c r="H819" s="180" t="n">
        <f aca="false">IF(OR(D819="",F819="",D819=0,F819=0),0,D819*F819*$H$8*(1+G819)*(1+$H$7))</f>
        <v>0</v>
      </c>
      <c r="I819" s="177" t="s">
        <v>281</v>
      </c>
      <c r="J819" s="185" t="s">
        <v>76</v>
      </c>
    </row>
    <row r="820" customFormat="false" ht="15" hidden="false" customHeight="true" outlineLevel="1" collapsed="false">
      <c r="A820" s="176"/>
      <c r="B820" s="195" t="s">
        <v>1791</v>
      </c>
      <c r="C820" s="195" t="s">
        <v>1792</v>
      </c>
      <c r="D820" s="183" t="n">
        <v>0</v>
      </c>
      <c r="E820" s="176" t="str">
        <f aca="false">IFERROR(VLOOKUP($B820,'Unit Cost Database'!$A:$H,3,FALSE()),"LS")</f>
        <v>LS</v>
      </c>
      <c r="F820" s="184" t="n">
        <f aca="false">IFERROR(VLOOKUP($B820,'Unit Cost Database'!$A:$H,8,FALSE()),0)</f>
        <v>3375000</v>
      </c>
      <c r="G820" s="179" t="n">
        <f aca="false">$F$7</f>
        <v>0.1</v>
      </c>
      <c r="H820" s="180" t="n">
        <f aca="false">IF(OR(D820="",F820="",D820=0,F820=0),0,D820*F820*$H$8*(1+G820)*(1+$H$7))</f>
        <v>0</v>
      </c>
      <c r="I820" s="177" t="s">
        <v>281</v>
      </c>
      <c r="J820" s="185" t="s">
        <v>76</v>
      </c>
    </row>
    <row r="821" customFormat="false" ht="15" hidden="false" customHeight="true" outlineLevel="1" collapsed="false">
      <c r="A821" s="176" t="n">
        <v>9</v>
      </c>
      <c r="B821" s="195" t="s">
        <v>1793</v>
      </c>
      <c r="C821" s="195" t="s">
        <v>1794</v>
      </c>
      <c r="D821" s="183" t="n">
        <v>9000</v>
      </c>
      <c r="E821" s="176" t="str">
        <f aca="false">IFERROR(VLOOKUP($B821,'Unit Cost Database'!$A:$H,3,FALSE()),"LS")</f>
        <v>LF</v>
      </c>
      <c r="F821" s="184" t="n">
        <f aca="false">IFERROR(VLOOKUP($B821,'Unit Cost Database'!$A:$H,8,FALSE()),0)</f>
        <v>350</v>
      </c>
      <c r="G821" s="179" t="n">
        <f aca="false">$F$7</f>
        <v>0.1</v>
      </c>
      <c r="H821" s="180" t="n">
        <f aca="false">IF(OR(D821="",F821="",D821=0,F821=0),0,D821*F821*$H$8*(1+G821)*(1+$H$7))</f>
        <v>3586275</v>
      </c>
      <c r="I821" s="177" t="s">
        <v>281</v>
      </c>
      <c r="J821" s="185" t="s">
        <v>76</v>
      </c>
    </row>
    <row r="822" customFormat="false" ht="15" hidden="false" customHeight="true" outlineLevel="1" collapsed="false">
      <c r="A822" s="176"/>
      <c r="B822" s="195" t="s">
        <v>1795</v>
      </c>
      <c r="C822" s="195" t="s">
        <v>1796</v>
      </c>
      <c r="D822" s="183" t="n">
        <v>0</v>
      </c>
      <c r="E822" s="176" t="str">
        <f aca="false">IFERROR(VLOOKUP($B822,'Unit Cost Database'!$A:$H,3,FALSE()),"LS")</f>
        <v>LS</v>
      </c>
      <c r="F822" s="184" t="n">
        <f aca="false">IFERROR(VLOOKUP($B822,'Unit Cost Database'!$A:$H,8,FALSE()),0)</f>
        <v>1575000</v>
      </c>
      <c r="G822" s="179" t="n">
        <f aca="false">$F$7</f>
        <v>0.1</v>
      </c>
      <c r="H822" s="180" t="n">
        <f aca="false">IF(OR(D822="",F822="",D822=0,F822=0),0,D822*F822*$H$8*(1+G822)*(1+$H$7))</f>
        <v>0</v>
      </c>
      <c r="I822" s="177" t="s">
        <v>281</v>
      </c>
      <c r="J822" s="185" t="s">
        <v>76</v>
      </c>
    </row>
    <row r="823" customFormat="false" ht="15" hidden="false" customHeight="true" outlineLevel="1" collapsed="false">
      <c r="A823" s="176"/>
      <c r="B823" s="195" t="s">
        <v>1797</v>
      </c>
      <c r="C823" s="195" t="s">
        <v>1798</v>
      </c>
      <c r="D823" s="183" t="n">
        <v>0</v>
      </c>
      <c r="E823" s="176" t="str">
        <f aca="false">IFERROR(VLOOKUP($B823,'Unit Cost Database'!$A:$H,3,FALSE()),"LS")</f>
        <v>LS</v>
      </c>
      <c r="F823" s="184" t="n">
        <f aca="false">IFERROR(VLOOKUP($B823,'Unit Cost Database'!$A:$H,8,FALSE()),0)</f>
        <v>945000</v>
      </c>
      <c r="G823" s="179" t="n">
        <f aca="false">$F$7</f>
        <v>0.1</v>
      </c>
      <c r="H823" s="180" t="n">
        <f aca="false">IF(OR(D823="",F823="",D823=0,F823=0),0,D823*F823*$H$8*(1+G823)*(1+$H$7))</f>
        <v>0</v>
      </c>
      <c r="I823" s="177" t="s">
        <v>281</v>
      </c>
      <c r="J823" s="185" t="s">
        <v>76</v>
      </c>
    </row>
    <row r="824" customFormat="false" ht="15" hidden="false" customHeight="true" outlineLevel="1" collapsed="false">
      <c r="A824" s="176"/>
      <c r="B824" s="195" t="s">
        <v>1799</v>
      </c>
      <c r="C824" s="195" t="s">
        <v>1800</v>
      </c>
      <c r="D824" s="183" t="n">
        <v>0</v>
      </c>
      <c r="E824" s="176" t="str">
        <f aca="false">IFERROR(VLOOKUP($B824,'Unit Cost Database'!$A:$H,3,FALSE()),"LS")</f>
        <v>LS</v>
      </c>
      <c r="F824" s="184" t="n">
        <f aca="false">IFERROR(VLOOKUP($B824,'Unit Cost Database'!$A:$H,8,FALSE()),0)</f>
        <v>630000</v>
      </c>
      <c r="G824" s="179" t="n">
        <f aca="false">$F$7</f>
        <v>0.1</v>
      </c>
      <c r="H824" s="180" t="n">
        <f aca="false">IF(OR(D824="",F824="",D824=0,F824=0),0,D824*F824*$H$8*(1+G824)*(1+$H$7))</f>
        <v>0</v>
      </c>
      <c r="I824" s="177" t="s">
        <v>281</v>
      </c>
      <c r="J824" s="185" t="s">
        <v>76</v>
      </c>
    </row>
    <row r="825" customFormat="false" ht="15" hidden="false" customHeight="true" outlineLevel="1" collapsed="false">
      <c r="A825" s="176" t="n">
        <v>10</v>
      </c>
      <c r="B825" s="195" t="s">
        <v>1801</v>
      </c>
      <c r="C825" s="195" t="s">
        <v>1802</v>
      </c>
      <c r="D825" s="183" t="n">
        <f aca="false">$C$9</f>
        <v>90</v>
      </c>
      <c r="E825" s="176" t="str">
        <f aca="false">IFERROR(VLOOKUP($B825,'Unit Cost Database'!$A:$H,3,FALSE()),"LS")</f>
        <v>EA</v>
      </c>
      <c r="F825" s="184" t="n">
        <f aca="false">IFERROR(VLOOKUP($B825,'Unit Cost Database'!$A:$H,8,FALSE()),0)</f>
        <v>17500</v>
      </c>
      <c r="G825" s="179" t="n">
        <f aca="false">$F$7</f>
        <v>0.1</v>
      </c>
      <c r="H825" s="180" t="n">
        <f aca="false">IF(OR(D825="",F825="",D825=0,F825=0),0,D825*F825*$H$8*(1+G825)*(1+$H$7))</f>
        <v>1793137.5</v>
      </c>
      <c r="I825" s="177" t="s">
        <v>281</v>
      </c>
      <c r="J825" s="185" t="s">
        <v>76</v>
      </c>
    </row>
    <row r="826" customFormat="false" ht="15" hidden="false" customHeight="true" outlineLevel="1" collapsed="false">
      <c r="A826" s="176" t="n">
        <v>11</v>
      </c>
      <c r="B826" s="195" t="s">
        <v>1803</v>
      </c>
      <c r="C826" s="195" t="s">
        <v>1804</v>
      </c>
      <c r="D826" s="183" t="n">
        <f aca="false">100</f>
        <v>100</v>
      </c>
      <c r="E826" s="176" t="str">
        <f aca="false">IFERROR(VLOOKUP($B826,'Unit Cost Database'!$A:$H,3,FALSE()),"LS")</f>
        <v>EA</v>
      </c>
      <c r="F826" s="184" t="n">
        <f aca="false">IFERROR(VLOOKUP($B826,'Unit Cost Database'!$A:$H,8,FALSE()),0)</f>
        <v>3150</v>
      </c>
      <c r="G826" s="179" t="n">
        <f aca="false">$F$7</f>
        <v>0.1</v>
      </c>
      <c r="H826" s="180" t="n">
        <f aca="false">IF(OR(D826="",F826="",D826=0,F826=0),0,D826*F826*$H$8*(1+G826)*(1+$H$7))</f>
        <v>358627.5</v>
      </c>
      <c r="I826" s="177" t="s">
        <v>281</v>
      </c>
      <c r="J826" s="185" t="s">
        <v>76</v>
      </c>
    </row>
    <row r="827" customFormat="false" ht="15" hidden="false" customHeight="true" outlineLevel="1" collapsed="false">
      <c r="A827" s="176" t="n">
        <v>12</v>
      </c>
      <c r="B827" s="195" t="s">
        <v>1805</v>
      </c>
      <c r="C827" s="195" t="s">
        <v>1806</v>
      </c>
      <c r="D827" s="183" t="n">
        <f aca="false">1</f>
        <v>1</v>
      </c>
      <c r="E827" s="176" t="str">
        <f aca="false">IFERROR(VLOOKUP($B827,'Unit Cost Database'!$A:$H,3,FALSE()),"LS")</f>
        <v>LS</v>
      </c>
      <c r="F827" s="184" t="n">
        <f aca="false">IFERROR(VLOOKUP($B827,'Unit Cost Database'!$A:$H,8,FALSE()),0)</f>
        <v>175000</v>
      </c>
      <c r="G827" s="179" t="n">
        <f aca="false">$F$7</f>
        <v>0.1</v>
      </c>
      <c r="H827" s="180" t="n">
        <f aca="false">IF(OR(D827="",F827="",D827=0,F827=0),0,D827*F827*$H$8*(1+G827)*(1+$H$7))</f>
        <v>199237.5</v>
      </c>
      <c r="I827" s="177" t="s">
        <v>281</v>
      </c>
      <c r="J827" s="185" t="s">
        <v>76</v>
      </c>
    </row>
    <row r="828" customFormat="false" ht="15" hidden="false" customHeight="true" outlineLevel="1" collapsed="false">
      <c r="A828" s="176" t="n">
        <v>13</v>
      </c>
      <c r="B828" s="195" t="s">
        <v>1807</v>
      </c>
      <c r="C828" s="195" t="s">
        <v>1808</v>
      </c>
      <c r="D828" s="183" t="n">
        <v>4200</v>
      </c>
      <c r="E828" s="176" t="str">
        <f aca="false">IFERROR(VLOOKUP($B828,'Unit Cost Database'!$A:$H,3,FALSE()),"LS")</f>
        <v>LF</v>
      </c>
      <c r="F828" s="184" t="n">
        <f aca="false">IFERROR(VLOOKUP($B828,'Unit Cost Database'!$A:$H,8,FALSE()),0)</f>
        <v>85</v>
      </c>
      <c r="G828" s="179" t="n">
        <f aca="false">$F$7</f>
        <v>0.1</v>
      </c>
      <c r="H828" s="180" t="n">
        <f aca="false">IF(OR(D828="",F828="",D828=0,F828=0),0,D828*F828*$H$8*(1+G828)*(1+$H$7))</f>
        <v>406444.5</v>
      </c>
      <c r="I828" s="177" t="s">
        <v>281</v>
      </c>
      <c r="J828" s="185" t="s">
        <v>76</v>
      </c>
    </row>
    <row r="829" customFormat="false" ht="15" hidden="false" customHeight="true" outlineLevel="1" collapsed="false">
      <c r="A829" s="176" t="n">
        <v>14</v>
      </c>
      <c r="B829" s="195" t="s">
        <v>1809</v>
      </c>
      <c r="C829" s="195" t="s">
        <v>1810</v>
      </c>
      <c r="D829" s="183" t="n">
        <v>9000</v>
      </c>
      <c r="E829" s="176" t="str">
        <f aca="false">IFERROR(VLOOKUP($B829,'Unit Cost Database'!$A:$H,3,FALSE()),"LS")</f>
        <v>LF</v>
      </c>
      <c r="F829" s="184" t="n">
        <f aca="false">IFERROR(VLOOKUP($B829,'Unit Cost Database'!$A:$H,8,FALSE()),0)</f>
        <v>140</v>
      </c>
      <c r="G829" s="179" t="n">
        <f aca="false">$F$7</f>
        <v>0.1</v>
      </c>
      <c r="H829" s="180" t="n">
        <f aca="false">IF(OR(D829="",F829="",D829=0,F829=0),0,D829*F829*$H$8*(1+G829)*(1+$H$7))</f>
        <v>1434510</v>
      </c>
      <c r="I829" s="177" t="s">
        <v>281</v>
      </c>
      <c r="J829" s="185" t="s">
        <v>76</v>
      </c>
    </row>
    <row r="830" customFormat="false" ht="15" hidden="false" customHeight="true" outlineLevel="1" collapsed="false">
      <c r="A830" s="176" t="n">
        <v>15</v>
      </c>
      <c r="B830" s="195" t="s">
        <v>1811</v>
      </c>
      <c r="C830" s="195" t="s">
        <v>1812</v>
      </c>
      <c r="D830" s="183" t="n">
        <v>2</v>
      </c>
      <c r="E830" s="176" t="str">
        <f aca="false">IFERROR(VLOOKUP($B830,'Unit Cost Database'!$A:$H,3,FALSE()),"LS")</f>
        <v>EA</v>
      </c>
      <c r="F830" s="184" t="n">
        <f aca="false">IFERROR(VLOOKUP($B830,'Unit Cost Database'!$A:$H,8,FALSE()),0)</f>
        <v>180000</v>
      </c>
      <c r="G830" s="179" t="n">
        <f aca="false">$F$7</f>
        <v>0.1</v>
      </c>
      <c r="H830" s="180" t="n">
        <f aca="false">IF(OR(D830="",F830="",D830=0,F830=0),0,D830*F830*$H$8*(1+G830)*(1+$H$7))</f>
        <v>409860</v>
      </c>
      <c r="I830" s="177" t="s">
        <v>281</v>
      </c>
      <c r="J830" s="185" t="s">
        <v>76</v>
      </c>
    </row>
    <row r="831" customFormat="false" ht="15" hidden="false" customHeight="true" outlineLevel="1" collapsed="false">
      <c r="A831" s="176" t="n">
        <v>16</v>
      </c>
      <c r="B831" s="195" t="s">
        <v>1813</v>
      </c>
      <c r="C831" s="195" t="s">
        <v>1814</v>
      </c>
      <c r="D831" s="183" t="n">
        <v>1</v>
      </c>
      <c r="E831" s="176" t="str">
        <f aca="false">IFERROR(VLOOKUP($B831,'Unit Cost Database'!$A:$H,3,FALSE()),"LS")</f>
        <v>LS</v>
      </c>
      <c r="F831" s="184" t="n">
        <f aca="false">IFERROR(VLOOKUP($B831,'Unit Cost Database'!$A:$H,8,FALSE()),0)</f>
        <v>350000</v>
      </c>
      <c r="G831" s="179" t="n">
        <f aca="false">$F$7</f>
        <v>0.1</v>
      </c>
      <c r="H831" s="180" t="n">
        <f aca="false">IF(OR(D831="",F831="",D831=0,F831=0),0,D831*F831*$H$8*(1+G831)*(1+$H$7))</f>
        <v>398475</v>
      </c>
      <c r="I831" s="177" t="s">
        <v>281</v>
      </c>
      <c r="J831" s="185" t="s">
        <v>76</v>
      </c>
    </row>
    <row r="832" customFormat="false" ht="15" hidden="false" customHeight="true" outlineLevel="1" collapsed="false">
      <c r="A832" s="176" t="n">
        <v>17</v>
      </c>
      <c r="B832" s="195" t="s">
        <v>1815</v>
      </c>
      <c r="C832" s="195" t="s">
        <v>1816</v>
      </c>
      <c r="D832" s="183" t="n">
        <v>1</v>
      </c>
      <c r="E832" s="176" t="str">
        <f aca="false">IFERROR(VLOOKUP($B832,'Unit Cost Database'!$A:$H,3,FALSE()),"LS")</f>
        <v>LS</v>
      </c>
      <c r="F832" s="184" t="n">
        <f aca="false">IFERROR(VLOOKUP($B832,'Unit Cost Database'!$A:$H,8,FALSE()),0)</f>
        <v>280000</v>
      </c>
      <c r="G832" s="179" t="n">
        <f aca="false">$F$7</f>
        <v>0.1</v>
      </c>
      <c r="H832" s="180" t="n">
        <f aca="false">IF(OR(D832="",F832="",D832=0,F832=0),0,D832*F832*$H$8*(1+G832)*(1+$H$7))</f>
        <v>318780</v>
      </c>
      <c r="I832" s="177" t="s">
        <v>281</v>
      </c>
      <c r="J832" s="185" t="s">
        <v>76</v>
      </c>
    </row>
    <row r="833" customFormat="false" ht="15" hidden="false" customHeight="true" outlineLevel="1" collapsed="false">
      <c r="A833" s="176" t="n">
        <v>18</v>
      </c>
      <c r="B833" s="195" t="s">
        <v>1817</v>
      </c>
      <c r="C833" s="195" t="s">
        <v>1818</v>
      </c>
      <c r="D833" s="183" t="n">
        <v>18000</v>
      </c>
      <c r="E833" s="176" t="str">
        <f aca="false">IFERROR(VLOOKUP($B833,'Unit Cost Database'!$A:$H,3,FALSE()),"LS")</f>
        <v>LF</v>
      </c>
      <c r="F833" s="184" t="n">
        <f aca="false">IFERROR(VLOOKUP($B833,'Unit Cost Database'!$A:$H,8,FALSE()),0)</f>
        <v>28</v>
      </c>
      <c r="G833" s="179" t="n">
        <f aca="false">$F$7</f>
        <v>0.1</v>
      </c>
      <c r="H833" s="180" t="n">
        <f aca="false">IF(OR(D833="",F833="",D833=0,F833=0),0,D833*F833*$H$8*(1+G833)*(1+$H$7))</f>
        <v>573804</v>
      </c>
      <c r="I833" s="177" t="s">
        <v>281</v>
      </c>
      <c r="J833" s="185" t="s">
        <v>76</v>
      </c>
    </row>
    <row r="834" customFormat="false" ht="15" hidden="false" customHeight="true" outlineLevel="1" collapsed="false">
      <c r="A834" s="176" t="n">
        <v>19</v>
      </c>
      <c r="B834" s="195" t="s">
        <v>1819</v>
      </c>
      <c r="C834" s="195" t="s">
        <v>1820</v>
      </c>
      <c r="D834" s="183" t="n">
        <v>440000</v>
      </c>
      <c r="E834" s="176" t="str">
        <f aca="false">IFERROR(VLOOKUP($B834,'Unit Cost Database'!$A:$H,3,FALSE()),"LS")</f>
        <v>SF</v>
      </c>
      <c r="F834" s="184" t="n">
        <f aca="false">IFERROR(VLOOKUP($B834,'Unit Cost Database'!$A:$H,8,FALSE()),0)</f>
        <v>0.35</v>
      </c>
      <c r="G834" s="179" t="n">
        <f aca="false">$F$7</f>
        <v>0.1</v>
      </c>
      <c r="H834" s="180" t="n">
        <f aca="false">IF(OR(D834="",F834="",D834=0,F834=0),0,D834*F834*$H$8*(1+G834)*(1+$H$7))</f>
        <v>175329</v>
      </c>
      <c r="I834" s="177" t="s">
        <v>361</v>
      </c>
      <c r="J834" s="185" t="s">
        <v>76</v>
      </c>
    </row>
    <row r="835" customFormat="false" ht="15" hidden="false" customHeight="true" outlineLevel="0" collapsed="false">
      <c r="A835" s="186"/>
      <c r="B835" s="187"/>
      <c r="C835" s="188" t="s">
        <v>1821</v>
      </c>
      <c r="D835" s="189"/>
      <c r="E835" s="186"/>
      <c r="F835" s="190"/>
      <c r="G835" s="191"/>
      <c r="H835" s="192" t="n">
        <f aca="false">SUM(H795:H834)</f>
        <v>63598602.375</v>
      </c>
      <c r="I835" s="187"/>
      <c r="J835" s="187"/>
    </row>
    <row r="836" customFormat="false" ht="15" hidden="false" customHeight="true" outlineLevel="0" collapsed="false">
      <c r="A836" s="176"/>
      <c r="B836" s="195"/>
      <c r="C836" s="195"/>
      <c r="D836" s="177"/>
      <c r="E836" s="195"/>
      <c r="F836" s="178"/>
      <c r="G836" s="179"/>
      <c r="H836" s="180"/>
    </row>
    <row r="837" customFormat="false" ht="15" hidden="false" customHeight="true" outlineLevel="0" collapsed="false">
      <c r="A837" s="176"/>
      <c r="B837" s="195"/>
      <c r="C837" s="195"/>
      <c r="D837" s="177"/>
      <c r="E837" s="195"/>
      <c r="F837" s="178"/>
      <c r="G837" s="179"/>
      <c r="H837" s="180"/>
    </row>
    <row r="838" customFormat="false" ht="3.75" hidden="false" customHeight="true" outlineLevel="0" collapsed="false">
      <c r="A838" s="196"/>
      <c r="B838" s="197"/>
      <c r="C838" s="197"/>
      <c r="D838" s="198"/>
      <c r="E838" s="197"/>
      <c r="F838" s="199"/>
      <c r="G838" s="200"/>
      <c r="H838" s="201"/>
    </row>
    <row r="839" customFormat="false" ht="15.75" hidden="false" customHeight="true" outlineLevel="0" collapsed="false">
      <c r="A839" s="202"/>
      <c r="B839" s="202"/>
      <c r="C839" s="203" t="s">
        <v>1822</v>
      </c>
      <c r="D839" s="202"/>
      <c r="E839" s="202"/>
      <c r="F839" s="202"/>
      <c r="G839" s="202"/>
      <c r="H839" s="204" t="n">
        <f aca="false">H37+H58+H75+H112+H126+H164+H174+H212+H239+H272+H292+H305+H315+H324+H359+H387+H495+H517+H665+H714+H742+H772+H792+H835</f>
        <v>1088341827.06739</v>
      </c>
    </row>
    <row r="840" customFormat="false" ht="15" hidden="false" customHeight="true" outlineLevel="0" collapsed="false">
      <c r="C840" s="1" t="s">
        <v>1823</v>
      </c>
      <c r="F840" s="179" t="n">
        <f aca="false">F7</f>
        <v>0.1</v>
      </c>
      <c r="H840" s="205" t="s">
        <v>1824</v>
      </c>
    </row>
    <row r="841" customFormat="false" ht="6" hidden="false" customHeight="true" outlineLevel="0" collapsed="false"/>
    <row r="842" customFormat="false" ht="18.75" hidden="false" customHeight="true" outlineLevel="0" collapsed="false">
      <c r="A842" s="197"/>
      <c r="B842" s="197"/>
      <c r="C842" s="206" t="s">
        <v>1825</v>
      </c>
      <c r="D842" s="197"/>
      <c r="E842" s="197"/>
      <c r="F842" s="197"/>
      <c r="G842" s="197"/>
      <c r="H842" s="207" t="n">
        <f aca="false">H839</f>
        <v>1088341827.06739</v>
      </c>
    </row>
    <row r="843" customFormat="false" ht="15" hidden="false" customHeight="true" outlineLevel="0" collapsed="false">
      <c r="C843" s="163" t="s">
        <v>163</v>
      </c>
      <c r="H843" s="180" t="n">
        <f aca="false">IF(C9=0,"—",H842/C9)</f>
        <v>12092686.9674155</v>
      </c>
    </row>
    <row r="844" customFormat="false" ht="15" hidden="false" customHeight="true" outlineLevel="0" collapsed="false">
      <c r="C844" s="163" t="s">
        <v>1826</v>
      </c>
      <c r="H844" s="208" t="n">
        <f aca="false">IF(C6=0,"—",H842/C6)</f>
        <v>1360.42728383424</v>
      </c>
    </row>
    <row r="845" customFormat="false" ht="15" hidden="false" customHeight="true" outlineLevel="0" collapsed="false">
      <c r="C845" s="163" t="s">
        <v>1827</v>
      </c>
      <c r="H845" s="209" t="n">
        <f aca="false">IF(C9=0,"—",H842/(C9*1000000))</f>
        <v>12.0926869674155</v>
      </c>
    </row>
    <row r="847" customFormat="false" ht="15" hidden="false" customHeight="true" outlineLevel="0" collapsed="false">
      <c r="B847" s="210" t="s">
        <v>1828</v>
      </c>
      <c r="C847" s="211"/>
      <c r="D847" s="211"/>
      <c r="E847" s="211"/>
      <c r="F847" s="211"/>
      <c r="G847" s="211"/>
      <c r="H847" s="212"/>
    </row>
    <row r="848" customFormat="false" ht="15" hidden="false" customHeight="true" outlineLevel="0" collapsed="false">
      <c r="B848" s="213"/>
      <c r="C848" s="163" t="s">
        <v>1829</v>
      </c>
      <c r="F848" s="214" t="str">
        <f aca="false">'Unit Cost Database'!I1</f>
        <v>Low</v>
      </c>
      <c r="H848" s="215"/>
    </row>
    <row r="849" customFormat="false" ht="15" hidden="false" customHeight="true" outlineLevel="0" collapsed="false">
      <c r="B849" s="213"/>
      <c r="C849" s="163" t="s">
        <v>1830</v>
      </c>
      <c r="F849" s="216" t="n">
        <f aca="false" t="array" ref="F849:F849">SUMPRODUCT(($B$18:$B$838&lt;&gt;"")*1)</f>
        <v>747</v>
      </c>
      <c r="H849" s="215"/>
    </row>
    <row r="850" customFormat="false" ht="15" hidden="false" customHeight="true" outlineLevel="0" collapsed="false">
      <c r="B850" s="213"/>
      <c r="C850" s="163" t="s">
        <v>1831</v>
      </c>
      <c r="F850" s="216" t="n">
        <f aca="false" t="array" ref="F850:F850">SUMPRODUCT(($B$18:$B$838&lt;&gt;"")*(1-ISNUMBER(MATCH($B$18:$B$838,'Unit Cost Database'!$A$1:$A$759,0))))</f>
        <v>0</v>
      </c>
      <c r="H850" s="215"/>
    </row>
    <row r="851" customFormat="false" ht="15" hidden="false" customHeight="true" outlineLevel="0" collapsed="false">
      <c r="B851" s="213"/>
      <c r="C851" s="163" t="s">
        <v>1832</v>
      </c>
      <c r="F851" s="176" t="str">
        <f aca="false">IF(ROUND(SUM($H$18:$H$838)-$H$839-$H$842,2)=0,"✅ Ties","❌ Off by "&amp;TEXT(SUM($H$18:$H$838)-$H$839-$H$842,"$#,##0"))</f>
        <v>✅ Ties</v>
      </c>
      <c r="H851" s="215"/>
    </row>
    <row r="852" customFormat="false" ht="15" hidden="false" customHeight="true" outlineLevel="0" collapsed="false">
      <c r="B852" s="217"/>
      <c r="C852" s="218" t="s">
        <v>1833</v>
      </c>
      <c r="D852" s="219"/>
      <c r="E852" s="219"/>
      <c r="F852" s="220" t="str">
        <f aca="false">IF(F850=0,"✅ Tied","❌ "&amp;F850&amp;" missing")</f>
        <v>✅ Tied</v>
      </c>
      <c r="G852" s="219"/>
      <c r="H852" s="221"/>
    </row>
  </sheetData>
  <mergeCells count="25">
    <mergeCell ref="A1:H1"/>
    <mergeCell ref="A18:H18"/>
    <mergeCell ref="A39:H39"/>
    <mergeCell ref="A60:H60"/>
    <mergeCell ref="A77:H77"/>
    <mergeCell ref="A114:H114"/>
    <mergeCell ref="A128:H128"/>
    <mergeCell ref="A166:H166"/>
    <mergeCell ref="A176:H176"/>
    <mergeCell ref="A214:H214"/>
    <mergeCell ref="A241:H241"/>
    <mergeCell ref="A274:H274"/>
    <mergeCell ref="A294:H294"/>
    <mergeCell ref="A307:H307"/>
    <mergeCell ref="A317:H317"/>
    <mergeCell ref="A327:H327"/>
    <mergeCell ref="A361:H361"/>
    <mergeCell ref="A389:H389"/>
    <mergeCell ref="A497:H497"/>
    <mergeCell ref="A519:H519"/>
    <mergeCell ref="A667:H667"/>
    <mergeCell ref="A716:H716"/>
    <mergeCell ref="A743:H743"/>
    <mergeCell ref="A774:H774"/>
    <mergeCell ref="A794:H794"/>
  </mergeCells>
  <conditionalFormatting sqref="B744:J838">
    <cfRule type="expression" priority="2" aboveAverage="0" equalAverage="0" bottom="0" percent="0" rank="0" text="" dxfId="2">
      <formula>AND($H744=0,$B744&lt;&gt;"")</formula>
    </cfRule>
  </conditionalFormatting>
  <conditionalFormatting sqref="B362:J742">
    <cfRule type="expression" priority="3" aboveAverage="0" equalAverage="0" bottom="0" percent="0" rank="0" text="" dxfId="2">
      <formula>AND($H362=0,$B362&lt;&gt;"")</formula>
    </cfRule>
  </conditionalFormatting>
  <conditionalFormatting sqref="B17:J360">
    <cfRule type="expression" priority="4" aboveAverage="0" equalAverage="0" bottom="0" percent="0" rank="0" text="" dxfId="2">
      <formula>AND($H17=0,$B17&lt;&gt;"")</formula>
    </cfRule>
  </conditionalFormatting>
  <dataValidations count="4">
    <dataValidation allowBlank="true" error="Choose B1–B6 or Shared" errorStyle="warning" errorTitle="Invalid Building" operator="between" showDropDown="false" showErrorMessage="true" showInputMessage="true" sqref="I17:I742 I744:I841" type="list">
      <formula1>"All Buildings,Shared,B1,B2,B3,B4,B5,B6"</formula1>
      <formula2>0</formula2>
    </dataValidation>
    <dataValidation allowBlank="true" errorStyle="stop" operator="between" showDropDown="false" showErrorMessage="true" showInputMessage="true" sqref="J17:J742 J744:J841" type="list">
      <formula1>"CSA,MEP,Cx,GC,Soft"</formula1>
      <formula2>0</formula2>
    </dataValidation>
    <dataValidation allowBlank="true" errorStyle="stop" operator="between" showDropDown="false" showErrorMessage="true" showInputMessage="true" sqref="C7" type="list">
      <formula1>"Tier I,Tier II,Tier III,Tier III+,Tier IV"</formula1>
      <formula2>0</formula2>
    </dataValidation>
    <dataValidation allowBlank="true" errorStyle="stop" operator="between" showDropDown="false" showErrorMessage="true" showInputMessage="true" sqref="C14" type="list">
      <formula1>"N,N+1,N+2,2N,2(N+1)"</formula1>
      <formula2>0</formula2>
    </dataValidation>
  </dataValidations>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J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E10" activeCellId="0" sqref="E10"/>
    </sheetView>
  </sheetViews>
  <sheetFormatPr defaultColWidth="8.57421875" defaultRowHeight="15" zeroHeight="false" outlineLevelRow="0" outlineLevelCol="0"/>
  <cols>
    <col collapsed="false" customWidth="true" hidden="false" outlineLevel="0" max="1" min="1" style="1" width="25.29"/>
    <col collapsed="false" customWidth="true" hidden="false" outlineLevel="0" max="2" min="2" style="1" width="41.86"/>
    <col collapsed="false" customWidth="true" hidden="false" outlineLevel="0" max="3" min="3" style="1" width="17.14"/>
    <col collapsed="false" customWidth="true" hidden="false" outlineLevel="0" max="4" min="4" style="1" width="21"/>
    <col collapsed="false" customWidth="true" hidden="false" outlineLevel="0" max="7" min="5" style="1" width="24.71"/>
    <col collapsed="false" customWidth="true" hidden="false" outlineLevel="0" max="8" min="8" style="1" width="26.71"/>
    <col collapsed="false" customWidth="true" hidden="false" outlineLevel="0" max="10" min="9" style="1" width="21"/>
  </cols>
  <sheetData>
    <row r="1" customFormat="false" ht="24" hidden="false" customHeight="true" outlineLevel="0" collapsed="false">
      <c r="A1" s="222" t="s">
        <v>1834</v>
      </c>
      <c r="B1" s="222"/>
      <c r="C1" s="222"/>
      <c r="D1" s="222"/>
      <c r="E1" s="223"/>
      <c r="F1" s="222"/>
      <c r="G1" s="222"/>
      <c r="H1" s="222"/>
      <c r="I1" s="222"/>
      <c r="J1" s="223"/>
    </row>
    <row r="3" customFormat="false" ht="15" hidden="false" customHeight="true" outlineLevel="0" collapsed="false">
      <c r="A3" s="1" t="s">
        <v>1835</v>
      </c>
      <c r="B3" s="164" t="s">
        <v>242</v>
      </c>
      <c r="D3" s="1" t="s">
        <v>1836</v>
      </c>
      <c r="E3" s="224" t="s">
        <v>249</v>
      </c>
      <c r="G3" s="1" t="s">
        <v>1837</v>
      </c>
      <c r="H3" s="225" t="s">
        <v>1838</v>
      </c>
    </row>
    <row r="4" customFormat="false" ht="15" hidden="false" customHeight="true" outlineLevel="0" collapsed="false">
      <c r="A4" s="1" t="s">
        <v>1839</v>
      </c>
      <c r="B4" s="224" t="s">
        <v>245</v>
      </c>
      <c r="D4" s="1" t="s">
        <v>261</v>
      </c>
      <c r="E4" s="226" t="n">
        <f aca="false">'Construction Budget'!F3</f>
        <v>46143</v>
      </c>
      <c r="G4" s="1" t="s">
        <v>1840</v>
      </c>
      <c r="H4" s="60" t="str">
        <f aca="false">IFERROR(CHOOSE(MATCH(H3,{"Class 5 (Concept)","Class 4 (SD)","Class 3 (DD)","Class 2 (CD)","Class 1 (GMP/Tender)"},0),"−50% / +100%","−30% / +50%","−20% / +30%","−10% / +20%","−5% / +10%"),"")</f>
        <v>−20% / +30%</v>
      </c>
    </row>
    <row r="6" customFormat="false" ht="15.75" hidden="false" customHeight="true" outlineLevel="0" collapsed="false">
      <c r="A6" s="227" t="s">
        <v>1841</v>
      </c>
      <c r="B6" s="227"/>
      <c r="C6" s="228"/>
    </row>
    <row r="7" customFormat="false" ht="15" hidden="false" customHeight="true" outlineLevel="0" collapsed="false">
      <c r="A7" s="229" t="s">
        <v>266</v>
      </c>
      <c r="B7" s="230" t="s">
        <v>274</v>
      </c>
      <c r="C7" s="229" t="s">
        <v>1842</v>
      </c>
      <c r="D7" s="229" t="s">
        <v>1843</v>
      </c>
      <c r="E7" s="229" t="s">
        <v>1844</v>
      </c>
      <c r="F7" s="229" t="s">
        <v>1845</v>
      </c>
      <c r="G7" s="229" t="s">
        <v>1846</v>
      </c>
      <c r="H7" s="229" t="s">
        <v>79</v>
      </c>
      <c r="I7" s="229" t="s">
        <v>1847</v>
      </c>
      <c r="J7" s="229" t="s">
        <v>1848</v>
      </c>
    </row>
    <row r="8" customFormat="false" ht="15" hidden="false" customHeight="true" outlineLevel="0" collapsed="false">
      <c r="A8" s="176" t="n">
        <v>1</v>
      </c>
      <c r="B8" s="164" t="s">
        <v>1849</v>
      </c>
      <c r="C8" s="231" t="n">
        <v>250000</v>
      </c>
      <c r="D8" s="232" t="n">
        <v>30</v>
      </c>
      <c r="E8" s="180" t="n">
        <f aca="false">SUMIFS('Construction Budget'!H:H,'Construction Budget'!I:I,"All Buildings",'Construction Budget'!J:J,"CSA")/3</f>
        <v>59235638.0089703</v>
      </c>
      <c r="F8" s="180" t="n">
        <f aca="false">SUMIFS('Construction Budget'!H:H,'Construction Budget'!I:I,"All Buildings",'Construction Budget'!J:J,"MEP")/3*'Scenario &amp; Presets'!$B$67</f>
        <v>203053666.03246</v>
      </c>
      <c r="G8" s="180" t="n">
        <f aca="false">(SUMIFS('Construction Budget'!H:H,'Construction Budget'!I:I,"All Buildings",'Construction Budget'!J:J,"Cx")+SUMIFS('Construction Budget'!H:H,'Construction Budget'!I:I,"All Buildings",'Construction Budget'!J:J,"GC")+SUMIFS('Construction Budget'!H:H,'Construction Budget'!I:I,"All Buildings",'Construction Budget'!J:J,"Soft"))/3</f>
        <v>15789097.5</v>
      </c>
      <c r="H8" s="180" t="n">
        <f aca="false">E8+F8+G8</f>
        <v>278078401.54143</v>
      </c>
      <c r="I8" s="180" t="n">
        <f aca="false">IF(C8=0,"—",H8/C8)</f>
        <v>1112.31360616572</v>
      </c>
      <c r="J8" s="180" t="n">
        <f aca="false">IF(D8=0,"—",H8/D8)</f>
        <v>9269280.05138101</v>
      </c>
    </row>
    <row r="9" customFormat="false" ht="15" hidden="false" customHeight="true" outlineLevel="0" collapsed="false">
      <c r="A9" s="176" t="n">
        <v>2</v>
      </c>
      <c r="B9" s="164" t="s">
        <v>1850</v>
      </c>
      <c r="C9" s="231" t="n">
        <v>250000</v>
      </c>
      <c r="D9" s="232" t="n">
        <v>30</v>
      </c>
      <c r="E9" s="180" t="n">
        <f aca="false">SUMIFS('Construction Budget'!H:H,'Construction Budget'!I:I,"All Buildings",'Construction Budget'!J:J,"CSA")/3</f>
        <v>59235638.0089703</v>
      </c>
      <c r="F9" s="180" t="n">
        <f aca="false">SUMIFS('Construction Budget'!H:H,'Construction Budget'!I:I,"All Buildings",'Construction Budget'!J:J,"MEP")/3*'Scenario &amp; Presets'!$B$67</f>
        <v>203053666.03246</v>
      </c>
      <c r="G9" s="180" t="n">
        <f aca="false">(SUMIFS('Construction Budget'!H:H,'Construction Budget'!I:I,"All Buildings",'Construction Budget'!J:J,"Cx")+SUMIFS('Construction Budget'!H:H,'Construction Budget'!I:I,"All Buildings",'Construction Budget'!J:J,"GC")+SUMIFS('Construction Budget'!H:H,'Construction Budget'!I:I,"All Buildings",'Construction Budget'!J:J,"Soft"))/3</f>
        <v>15789097.5</v>
      </c>
      <c r="H9" s="180" t="n">
        <f aca="false">E9+F9+G9</f>
        <v>278078401.54143</v>
      </c>
      <c r="I9" s="180" t="n">
        <f aca="false">IF(C9=0,"—",H9/C9)</f>
        <v>1112.31360616572</v>
      </c>
      <c r="J9" s="180" t="n">
        <f aca="false">IF(D9=0,"—",H9/D9)</f>
        <v>9269280.05138101</v>
      </c>
    </row>
    <row r="10" customFormat="false" ht="15" hidden="false" customHeight="true" outlineLevel="0" collapsed="false">
      <c r="A10" s="176" t="n">
        <v>3</v>
      </c>
      <c r="B10" s="164" t="s">
        <v>1851</v>
      </c>
      <c r="C10" s="231" t="n">
        <v>250000</v>
      </c>
      <c r="D10" s="232" t="n">
        <v>30</v>
      </c>
      <c r="E10" s="180" t="n">
        <f aca="false">SUMIFS('Construction Budget'!H:H,'Construction Budget'!I:I,"All Buildings",'Construction Budget'!J:J,"CSA")/3</f>
        <v>59235638.0089703</v>
      </c>
      <c r="F10" s="180" t="n">
        <f aca="false">SUMIFS('Construction Budget'!H:H,'Construction Budget'!I:I,"All Buildings",'Construction Budget'!J:J,"MEP")/3*'Scenario &amp; Presets'!$B$67</f>
        <v>203053666.03246</v>
      </c>
      <c r="G10" s="180" t="n">
        <f aca="false">(SUMIFS('Construction Budget'!H:H,'Construction Budget'!I:I,"All Buildings",'Construction Budget'!J:J,"Cx")+SUMIFS('Construction Budget'!H:H,'Construction Budget'!I:I,"All Buildings",'Construction Budget'!J:J,"GC")+SUMIFS('Construction Budget'!H:H,'Construction Budget'!I:I,"All Buildings",'Construction Budget'!J:J,"Soft"))/3</f>
        <v>15789097.5</v>
      </c>
      <c r="H10" s="180" t="n">
        <f aca="false">E10+F10+G10</f>
        <v>278078401.54143</v>
      </c>
      <c r="I10" s="180" t="n">
        <f aca="false">IF(C10=0,"—",H10/C10)</f>
        <v>1112.31360616572</v>
      </c>
      <c r="J10" s="180" t="n">
        <f aca="false">IF(D10=0,"—",H10/D10)</f>
        <v>9269280.05138101</v>
      </c>
    </row>
    <row r="11" customFormat="false" ht="15" hidden="false" customHeight="true" outlineLevel="0" collapsed="false">
      <c r="A11" s="176" t="n">
        <v>4</v>
      </c>
      <c r="B11" s="164" t="s">
        <v>1852</v>
      </c>
      <c r="C11" s="231" t="n">
        <v>0</v>
      </c>
      <c r="D11" s="232" t="n">
        <v>0</v>
      </c>
      <c r="E11" s="180" t="n">
        <v>0</v>
      </c>
      <c r="F11" s="180" t="n">
        <v>0</v>
      </c>
      <c r="G11" s="180" t="n">
        <v>0</v>
      </c>
      <c r="H11" s="180" t="n">
        <f aca="false">E11+F11+G11</f>
        <v>0</v>
      </c>
      <c r="I11" s="180" t="str">
        <f aca="false">IF(C11=0,"—",H11/C11)</f>
        <v>—</v>
      </c>
      <c r="J11" s="180" t="str">
        <f aca="false">IF(D11=0,"—",H11/D11)</f>
        <v>—</v>
      </c>
    </row>
    <row r="12" customFormat="false" ht="15" hidden="false" customHeight="true" outlineLevel="0" collapsed="false">
      <c r="A12" s="176" t="n">
        <v>5</v>
      </c>
      <c r="B12" s="164" t="s">
        <v>1853</v>
      </c>
      <c r="C12" s="231" t="n">
        <v>0</v>
      </c>
      <c r="D12" s="232" t="n">
        <v>0</v>
      </c>
      <c r="E12" s="180" t="n">
        <v>0</v>
      </c>
      <c r="F12" s="180" t="n">
        <v>0</v>
      </c>
      <c r="G12" s="180" t="n">
        <v>0</v>
      </c>
      <c r="H12" s="180" t="n">
        <f aca="false">E12+F12+G12</f>
        <v>0</v>
      </c>
      <c r="I12" s="180" t="str">
        <f aca="false">IF(C12=0,"—",H12/C12)</f>
        <v>—</v>
      </c>
      <c r="J12" s="180" t="str">
        <f aca="false">IF(D12=0,"—",H12/D12)</f>
        <v>—</v>
      </c>
    </row>
    <row r="13" customFormat="false" ht="15" hidden="false" customHeight="true" outlineLevel="0" collapsed="false">
      <c r="A13" s="176" t="n">
        <v>6</v>
      </c>
      <c r="B13" s="164" t="s">
        <v>1854</v>
      </c>
      <c r="C13" s="231" t="n">
        <v>0</v>
      </c>
      <c r="D13" s="232" t="n">
        <v>0</v>
      </c>
      <c r="E13" s="180" t="n">
        <v>0</v>
      </c>
      <c r="F13" s="180" t="n">
        <v>0</v>
      </c>
      <c r="G13" s="180" t="n">
        <v>0</v>
      </c>
      <c r="H13" s="180" t="n">
        <f aca="false">E13+F13+G13</f>
        <v>0</v>
      </c>
      <c r="I13" s="180" t="str">
        <f aca="false">IF(C13=0,"—",H13/C13)</f>
        <v>—</v>
      </c>
      <c r="J13" s="180" t="str">
        <f aca="false">IF(D13=0,"—",H13/D13)</f>
        <v>—</v>
      </c>
    </row>
    <row r="14" customFormat="false" ht="15" hidden="false" customHeight="true" outlineLevel="0" collapsed="false">
      <c r="A14" s="233" t="s">
        <v>1855</v>
      </c>
      <c r="B14" s="234" t="s">
        <v>1856</v>
      </c>
      <c r="C14" s="235" t="n">
        <v>50000</v>
      </c>
      <c r="D14" s="236" t="n">
        <v>0</v>
      </c>
      <c r="E14" s="237" t="n">
        <f aca="false">SUMIFS('Construction Budget'!H:H,'Construction Budget'!I:I,"Shared",'Construction Budget'!J:J,"CSA")</f>
        <v>98025001.8392251</v>
      </c>
      <c r="F14" s="237" t="n">
        <f aca="false">SUMIFS('Construction Budget'!H:H,'Construction Budget'!I:I,"Shared",'Construction Budget'!J:J,"MEP")*'Scenario &amp; Presets'!$B$67</f>
        <v>0</v>
      </c>
      <c r="G14" s="237" t="n">
        <f aca="false">SUMIFS('Construction Budget'!H:H,'Construction Budget'!I:I,"Shared",'Construction Budget'!J:J,"Cx")+SUMIFS('Construction Budget'!H:H,'Construction Budget'!I:I,"Shared",'Construction Budget'!J:J,"GC")+SUMIFS('Construction Budget'!H:H,'Construction Budget'!I:I,"Shared",'Construction Budget'!J:J,"Soft")</f>
        <v>156081620.603876</v>
      </c>
      <c r="H14" s="237" t="n">
        <f aca="false">E14+F14+G14</f>
        <v>254106622.443101</v>
      </c>
      <c r="I14" s="238" t="s">
        <v>85</v>
      </c>
      <c r="J14" s="238" t="s">
        <v>85</v>
      </c>
    </row>
    <row r="16" customFormat="false" ht="15.75" hidden="false" customHeight="true" outlineLevel="0" collapsed="false">
      <c r="A16" s="197"/>
      <c r="B16" s="239" t="s">
        <v>1857</v>
      </c>
      <c r="C16" s="240" t="n">
        <f aca="false">SUM(C8:C14)</f>
        <v>800000</v>
      </c>
      <c r="D16" s="241" t="n">
        <f aca="false">SUM(D8:D14)</f>
        <v>90</v>
      </c>
      <c r="E16" s="242" t="n">
        <f aca="false">SUM(E8:E14)</f>
        <v>275731915.866136</v>
      </c>
      <c r="F16" s="242" t="n">
        <f aca="false">SUM(F8:F14)</f>
        <v>609160998.09738</v>
      </c>
      <c r="G16" s="242" t="n">
        <f aca="false">SUM(G8:G14)</f>
        <v>203448913.103876</v>
      </c>
      <c r="H16" s="242" t="n">
        <f aca="false">SUM(H8:H14)</f>
        <v>1088341827.06739</v>
      </c>
      <c r="I16" s="242" t="n">
        <f aca="false">IF(C16=0,"—",H16/C16)</f>
        <v>1360.42728383424</v>
      </c>
      <c r="J16" s="242" t="n">
        <f aca="false">IF(D16=0,"—",H16/D16)</f>
        <v>12092686.9674155</v>
      </c>
    </row>
    <row r="18" customFormat="false" ht="15.75" hidden="false" customHeight="true" outlineLevel="0" collapsed="false">
      <c r="A18" s="227" t="s">
        <v>1858</v>
      </c>
      <c r="B18" s="227"/>
      <c r="C18" s="227"/>
    </row>
    <row r="20" customFormat="false" ht="15" hidden="false" customHeight="true" outlineLevel="0" collapsed="false">
      <c r="A20" s="1" t="s">
        <v>1859</v>
      </c>
      <c r="B20" s="243" t="n">
        <f aca="false">IF(H16=0,0,E16/H16)</f>
        <v>0.253350472258439</v>
      </c>
      <c r="D20" s="1" t="s">
        <v>1860</v>
      </c>
      <c r="E20" s="243" t="n">
        <f aca="false">IF(H16=0,0,F16/H16)</f>
        <v>0.55971477246152</v>
      </c>
      <c r="G20" s="1" t="s">
        <v>1861</v>
      </c>
      <c r="H20" s="243" t="n">
        <f aca="false">IF(H16=0,0,G16/H16)</f>
        <v>0.186934755280041</v>
      </c>
    </row>
    <row r="21" customFormat="false" ht="15" hidden="false" customHeight="true" outlineLevel="0" collapsed="false">
      <c r="A21" s="1" t="s">
        <v>1862</v>
      </c>
      <c r="B21" s="180" t="n">
        <f aca="false">IF(SUM(C8:C13)=0,"—",SUM(H8:H13)/SUM(C8:C13))</f>
        <v>1112.31360616572</v>
      </c>
      <c r="D21" s="1" t="s">
        <v>1863</v>
      </c>
      <c r="E21" s="180" t="n">
        <f aca="false">IF(D16=0,"—",H16/D16)</f>
        <v>12092686.9674155</v>
      </c>
      <c r="G21" s="1" t="s">
        <v>1827</v>
      </c>
      <c r="H21" s="244" t="n">
        <f aca="false">IF(D16=0,"—",H16/(D16*1000000))</f>
        <v>12.0926869674155</v>
      </c>
    </row>
    <row r="23" customFormat="false" ht="15" hidden="false" customHeight="true" outlineLevel="0" collapsed="false">
      <c r="A23" s="245" t="s">
        <v>1864</v>
      </c>
      <c r="B23" s="149"/>
      <c r="C23" s="149"/>
      <c r="D23" s="149"/>
      <c r="E23" s="149"/>
      <c r="F23" s="149"/>
    </row>
    <row r="24" customFormat="false" ht="15" hidden="false" customHeight="true" outlineLevel="0" collapsed="false">
      <c r="A24" s="1" t="s">
        <v>1865</v>
      </c>
      <c r="B24" s="246" t="n">
        <f aca="false">H16</f>
        <v>1088341827.06739</v>
      </c>
      <c r="D24" s="1" t="s">
        <v>1866</v>
      </c>
      <c r="E24" s="247" t="n">
        <f aca="false">'Total Development Cost'!C35</f>
        <v>1512873780.30797</v>
      </c>
      <c r="G24" s="1" t="s">
        <v>1867</v>
      </c>
      <c r="H24" s="81" t="n">
        <f aca="false">H16/'Total Development Cost'!C35</f>
        <v>0.71938706403243</v>
      </c>
    </row>
    <row r="25" customFormat="false" ht="15" hidden="false" customHeight="true" outlineLevel="0" collapsed="false">
      <c r="A25" s="1" t="s">
        <v>1868</v>
      </c>
      <c r="B25" s="109" t="n">
        <f aca="false">H16/D16</f>
        <v>12092686.9674155</v>
      </c>
      <c r="D25" s="1" t="s">
        <v>1869</v>
      </c>
      <c r="E25" s="248" t="n">
        <f aca="false">'Total Development Cost'!C35/D16</f>
        <v>16809708.6700885</v>
      </c>
      <c r="G25" s="1" t="s">
        <v>1870</v>
      </c>
      <c r="H25" s="109" t="n">
        <f aca="false">('Total Development Cost'!C35-H16)/D16</f>
        <v>4717021.70267307</v>
      </c>
    </row>
    <row r="26" customFormat="false" ht="15" hidden="false" customHeight="true" outlineLevel="0" collapsed="false">
      <c r="A26" s="1" t="s">
        <v>1871</v>
      </c>
      <c r="B26" s="109" t="n">
        <f aca="false">H16/C16</f>
        <v>1360.42728383424</v>
      </c>
      <c r="D26" s="1" t="s">
        <v>1872</v>
      </c>
      <c r="E26" s="248" t="n">
        <f aca="false">'Total Development Cost'!C35/C16</f>
        <v>1891.09222538496</v>
      </c>
      <c r="G26" s="1" t="s">
        <v>1873</v>
      </c>
      <c r="H26" s="249" t="n">
        <f aca="false">'Total Development Cost'!C35/(D16*1000000)</f>
        <v>16.8097086700885</v>
      </c>
    </row>
    <row r="27" customFormat="false" ht="15" hidden="false" customHeight="true" outlineLevel="0" collapsed="false">
      <c r="A27" s="1" t="s">
        <v>1874</v>
      </c>
      <c r="B27" s="250" t="n">
        <f aca="false">'Capital Stack &amp; Returns'!B25</f>
        <v>907724268.184781</v>
      </c>
      <c r="D27" s="1" t="s">
        <v>1875</v>
      </c>
      <c r="E27" s="250" t="n">
        <f aca="false">'Capital Stack &amp; Returns'!B27</f>
        <v>605149512.123187</v>
      </c>
      <c r="G27" s="1" t="s">
        <v>1876</v>
      </c>
      <c r="H27" s="251" t="n">
        <f aca="false">'Capital Stack &amp; Returns'!B29</f>
        <v>0.6</v>
      </c>
    </row>
    <row r="29" customFormat="false" ht="15" hidden="false" customHeight="true" outlineLevel="0" collapsed="false">
      <c r="A29" s="252" t="s">
        <v>1877</v>
      </c>
      <c r="B29" s="252"/>
    </row>
    <row r="30" customFormat="false" ht="15" hidden="false" customHeight="true" outlineLevel="0" collapsed="false">
      <c r="A30" s="253" t="s">
        <v>1878</v>
      </c>
    </row>
    <row r="31" customFormat="false" ht="15" hidden="false" customHeight="true" outlineLevel="0" collapsed="false">
      <c r="A31" s="253" t="s">
        <v>1879</v>
      </c>
    </row>
    <row r="32" customFormat="false" ht="15" hidden="false" customHeight="true" outlineLevel="0" collapsed="false">
      <c r="A32" s="253" t="s">
        <v>1880</v>
      </c>
    </row>
    <row r="33" customFormat="false" ht="15" hidden="false" customHeight="true" outlineLevel="0" collapsed="false">
      <c r="A33" s="253" t="s">
        <v>1881</v>
      </c>
    </row>
    <row r="36" customFormat="false" ht="15" hidden="false" customHeight="true" outlineLevel="0" collapsed="false">
      <c r="A36" s="254" t="s">
        <v>1882</v>
      </c>
    </row>
    <row r="37" customFormat="false" ht="15" hidden="false" customHeight="true" outlineLevel="0" collapsed="false">
      <c r="A37" s="255" t="s">
        <v>1883</v>
      </c>
      <c r="B37" s="256" t="n">
        <f aca="false">E16</f>
        <v>275731915.866136</v>
      </c>
    </row>
    <row r="38" customFormat="false" ht="15" hidden="false" customHeight="true" outlineLevel="0" collapsed="false">
      <c r="A38" s="255" t="s">
        <v>1884</v>
      </c>
      <c r="B38" s="256" t="n">
        <f aca="false">F16</f>
        <v>609160998.09738</v>
      </c>
    </row>
    <row r="39" customFormat="false" ht="15" hidden="false" customHeight="true" outlineLevel="0" collapsed="false">
      <c r="A39" s="255" t="s">
        <v>1885</v>
      </c>
      <c r="B39" s="256" t="n">
        <f aca="false">G16</f>
        <v>203448913.103876</v>
      </c>
    </row>
  </sheetData>
  <mergeCells count="5">
    <mergeCell ref="A1:D1"/>
    <mergeCell ref="F1:I1"/>
    <mergeCell ref="A6:B6"/>
    <mergeCell ref="A18:C18"/>
    <mergeCell ref="A29:B29"/>
  </mergeCells>
  <dataValidations count="1">
    <dataValidation allowBlank="true" errorStyle="stop" operator="between" showDropDown="false" showErrorMessage="true" showInputMessage="true" sqref="H3" type="list">
      <formula1>"Class 5 (Concept),Class 4 (SD),Class 3 (DD),Class 2 (CD),Class 1 (GMP/Tender)"</formula1>
      <formula2>0</formula2>
    </dataValidation>
  </dataValidations>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E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C33" activeCellId="0" sqref="C33"/>
    </sheetView>
  </sheetViews>
  <sheetFormatPr defaultColWidth="8.57421875" defaultRowHeight="15" zeroHeight="false" outlineLevelRow="0" outlineLevelCol="0"/>
  <cols>
    <col collapsed="false" customWidth="true" hidden="false" outlineLevel="0" max="1" min="1" style="1" width="47.57"/>
    <col collapsed="false" customWidth="true" hidden="false" outlineLevel="0" max="9" min="2" style="1" width="21"/>
  </cols>
  <sheetData>
    <row r="1" customFormat="false" ht="24" hidden="false" customHeight="true" outlineLevel="0" collapsed="false">
      <c r="A1" s="222" t="s">
        <v>1886</v>
      </c>
      <c r="B1" s="222"/>
      <c r="C1" s="222"/>
      <c r="D1" s="222"/>
      <c r="E1" s="223"/>
    </row>
    <row r="3" customFormat="false" ht="15" hidden="false" customHeight="true" outlineLevel="0" collapsed="false">
      <c r="A3" s="1" t="s">
        <v>1887</v>
      </c>
      <c r="B3" s="257" t="s">
        <v>1888</v>
      </c>
    </row>
    <row r="5" customFormat="false" ht="15" hidden="false" customHeight="true" outlineLevel="0" collapsed="false">
      <c r="A5" s="230" t="s">
        <v>1889</v>
      </c>
      <c r="B5" s="258" t="s">
        <v>1890</v>
      </c>
      <c r="C5" s="258" t="s">
        <v>1891</v>
      </c>
      <c r="D5" s="258" t="s">
        <v>1892</v>
      </c>
      <c r="E5" s="258" t="s">
        <v>1893</v>
      </c>
    </row>
    <row r="6" customFormat="false" ht="15" hidden="false" customHeight="true" outlineLevel="0" collapsed="false">
      <c r="A6" s="1" t="s">
        <v>1894</v>
      </c>
      <c r="B6" s="259" t="n">
        <f aca="false">SUMIFS('Construction Budget'!$H$744:$H$771,'Construction Budget'!$I$744:$I$771,"All Buildings")+SUMIFS('Construction Budget'!$H$744:$H$771,'Construction Budget'!$I$744:$I$771,"Shared")</f>
        <v>25614732</v>
      </c>
      <c r="C6" s="259" t="n">
        <f aca="false">$B6*('Scenario Comparison'!C$15/'Scenario Comparison'!$B$15)</f>
        <v>38723329.7478391</v>
      </c>
      <c r="D6" s="259" t="n">
        <f aca="false">$B6*('Scenario Comparison'!D$15/'Scenario Comparison'!$B$15)</f>
        <v>38723329.7478391</v>
      </c>
      <c r="E6" s="259" t="n">
        <f aca="false">$B6*('Scenario Comparison'!E$15/'Scenario Comparison'!$B$15)</f>
        <v>57459743.4219203</v>
      </c>
    </row>
    <row r="7" customFormat="false" ht="15" hidden="false" customHeight="true" outlineLevel="0" collapsed="false">
      <c r="A7" s="260" t="s">
        <v>1895</v>
      </c>
      <c r="B7" s="261" t="n">
        <f aca="false">SUMIFS('Construction Budget'!$H$775:$H$791,'Construction Budget'!$I$775:$I$791,"All Buildings")+SUMIFS('Construction Budget'!$H$775:$H$791,'Construction Budget'!$I$775:$I$791,"Shared")</f>
        <v>9371809.46422509</v>
      </c>
      <c r="C7" s="259" t="n">
        <f aca="false">$B7*('Scenario Comparison'!C$15/'Scenario Comparison'!$B$15)</f>
        <v>14167927.5901504</v>
      </c>
      <c r="D7" s="259" t="n">
        <f aca="false">$B7*('Scenario Comparison'!D$15/'Scenario Comparison'!$B$15)</f>
        <v>14167927.5901504</v>
      </c>
      <c r="E7" s="259" t="n">
        <f aca="false">$B7*('Scenario Comparison'!E$15/'Scenario Comparison'!$B$15)</f>
        <v>21023127.1290872</v>
      </c>
    </row>
    <row r="8" customFormat="false" ht="15" hidden="false" customHeight="true" outlineLevel="0" collapsed="false">
      <c r="A8" s="1" t="s">
        <v>1896</v>
      </c>
      <c r="B8" s="259" t="n">
        <f aca="false">SUMIFS('Construction Budget'!$H$795:$H$834,'Construction Budget'!$I$795:$I$834,"All Buildings")+SUMIFS('Construction Budget'!$H$795:$H$834,'Construction Budget'!$I$795:$I$834,"Shared")</f>
        <v>63598602.375</v>
      </c>
      <c r="C8" s="259" t="n">
        <f aca="false">$B8*('Scenario Comparison'!C$15/'Scenario Comparison'!$B$15)</f>
        <v>96145829.3324651</v>
      </c>
      <c r="D8" s="259" t="n">
        <f aca="false">$B8*('Scenario Comparison'!D$15/'Scenario Comparison'!$B$15)</f>
        <v>96145829.3324651</v>
      </c>
      <c r="E8" s="259" t="n">
        <f aca="false">$B8*('Scenario Comparison'!E$15/'Scenario Comparison'!$B$15)</f>
        <v>142666313.060009</v>
      </c>
    </row>
    <row r="9" customFormat="false" ht="15" hidden="false" customHeight="true" outlineLevel="0" collapsed="false">
      <c r="A9" s="169" t="s">
        <v>1897</v>
      </c>
      <c r="B9" s="262" t="n">
        <f aca="false">SUMIFS('Construction Budget'!$H$78:$H$111,'Construction Budget'!$I$78:$I$111,"All Buildings")+SUMIFS('Construction Budget'!$H$78:$H$111,'Construction Budget'!$I$78:$I$111,"Shared")</f>
        <v>33466040.3875851</v>
      </c>
      <c r="C9" s="259" t="n">
        <f aca="false">$B9*('Scenario Comparison'!C$15/'Scenario Comparison'!$B$15)</f>
        <v>50592624.4819958</v>
      </c>
      <c r="D9" s="259" t="n">
        <f aca="false">$B9*('Scenario Comparison'!D$15/'Scenario Comparison'!$B$15)</f>
        <v>50592624.4819958</v>
      </c>
      <c r="E9" s="259" t="n">
        <f aca="false">$B9*('Scenario Comparison'!E$15/'Scenario Comparison'!$B$15)</f>
        <v>75072036.4366203</v>
      </c>
    </row>
    <row r="10" customFormat="false" ht="15" hidden="false" customHeight="true" outlineLevel="0" collapsed="false">
      <c r="A10" s="263" t="s">
        <v>1898</v>
      </c>
      <c r="B10" s="261" t="n">
        <f aca="false">SUMIFS('Construction Budget'!$H$129:$H$163,'Construction Budget'!$I$129:$I$163,"All Buildings")+SUMIFS('Construction Budget'!$H$129:$H$163,'Construction Budget'!$I$129:$I$163,"Shared")</f>
        <v>40836399.7619533</v>
      </c>
      <c r="C10" s="259" t="n">
        <f aca="false">$B10*('Scenario Comparison'!C$15/'Scenario Comparison'!$B$15)</f>
        <v>61734839.6889999</v>
      </c>
      <c r="D10" s="259" t="n">
        <f aca="false">$B10*('Scenario Comparison'!D$15/'Scenario Comparison'!$B$15)</f>
        <v>61734839.6889999</v>
      </c>
      <c r="E10" s="259" t="n">
        <f aca="false">$B10*('Scenario Comparison'!E$15/'Scenario Comparison'!$B$15)</f>
        <v>91605450.043233</v>
      </c>
    </row>
    <row r="11" customFormat="false" ht="15" hidden="false" customHeight="true" outlineLevel="0" collapsed="false">
      <c r="A11" s="169" t="s">
        <v>1899</v>
      </c>
      <c r="B11" s="262" t="n">
        <f aca="false">SUMIFS('Construction Budget'!$H$177:$H$211,'Construction Budget'!$I$177:$I$211,"All Buildings")+SUMIFS('Construction Budget'!$H$177:$H$211,'Construction Budget'!$I$177:$I$211,"Shared")</f>
        <v>38165650.875</v>
      </c>
      <c r="C11" s="259" t="n">
        <f aca="false">$B11*('Scenario Comparison'!C$15/'Scenario Comparison'!$B$15)</f>
        <v>57697308.0910443</v>
      </c>
      <c r="D11" s="259" t="n">
        <f aca="false">$B11*('Scenario Comparison'!D$15/'Scenario Comparison'!$B$15)</f>
        <v>57697308.0910443</v>
      </c>
      <c r="E11" s="259" t="n">
        <f aca="false">$B11*('Scenario Comparison'!E$15/'Scenario Comparison'!$B$15)</f>
        <v>85614345.1669956</v>
      </c>
    </row>
    <row r="12" customFormat="false" ht="15" hidden="false" customHeight="true" outlineLevel="0" collapsed="false">
      <c r="A12" s="263" t="s">
        <v>1900</v>
      </c>
      <c r="B12" s="261" t="n">
        <f aca="false">SUMIFS('Construction Budget'!$H$215:$H$238,'Construction Budget'!$I$215:$I$238,"All Buildings")+SUMIFS('Construction Budget'!$H$215:$H$238,'Construction Budget'!$I$215:$I$238,"Shared")</f>
        <v>13742209.9773727</v>
      </c>
      <c r="C12" s="259" t="n">
        <f aca="false">$B12*('Scenario Comparison'!C$15/'Scenario Comparison'!$B$15)</f>
        <v>20774924.6963758</v>
      </c>
      <c r="D12" s="259" t="n">
        <f aca="false">$B12*('Scenario Comparison'!D$15/'Scenario Comparison'!$B$15)</f>
        <v>20774924.6963758</v>
      </c>
      <c r="E12" s="259" t="n">
        <f aca="false">$B12*('Scenario Comparison'!E$15/'Scenario Comparison'!$B$15)</f>
        <v>30826942.0640429</v>
      </c>
    </row>
    <row r="13" customFormat="false" ht="15" hidden="false" customHeight="true" outlineLevel="0" collapsed="false">
      <c r="A13" s="169" t="s">
        <v>1901</v>
      </c>
      <c r="B13" s="262" t="n">
        <f aca="false">SUMIFS('Construction Budget'!$H$242:$H$271,'Construction Budget'!$I$242:$I$271,"All Buildings")+SUMIFS('Construction Budget'!$H$242:$H$271,'Construction Budget'!$I$242:$I$271,"Shared")</f>
        <v>33189552</v>
      </c>
      <c r="C13" s="259" t="n">
        <f aca="false">$B13*('Scenario Comparison'!C$15/'Scenario Comparison'!$B$15)</f>
        <v>50174640.3702</v>
      </c>
      <c r="D13" s="259" t="n">
        <f aca="false">$B13*('Scenario Comparison'!D$15/'Scenario Comparison'!$B$15)</f>
        <v>50174640.3702</v>
      </c>
      <c r="E13" s="259" t="n">
        <f aca="false">$B13*('Scenario Comparison'!E$15/'Scenario Comparison'!$B$15)</f>
        <v>74451809.3028841</v>
      </c>
    </row>
    <row r="14" customFormat="false" ht="15" hidden="false" customHeight="true" outlineLevel="0" collapsed="false">
      <c r="A14" s="263" t="s">
        <v>1902</v>
      </c>
      <c r="B14" s="261" t="n">
        <f aca="false">SUMIFS('Construction Budget'!$H$275:$H$291,'Construction Budget'!$I$275:$I$291,"All Buildings")+SUMIFS('Construction Budget'!$H$275:$H$291,'Construction Budget'!$I$275:$I$291,"Shared")</f>
        <v>4010233.425</v>
      </c>
      <c r="C14" s="259" t="n">
        <f aca="false">$B14*('Scenario Comparison'!C$15/'Scenario Comparison'!$B$15)</f>
        <v>6062510.87390184</v>
      </c>
      <c r="D14" s="259" t="n">
        <f aca="false">$B14*('Scenario Comparison'!D$15/'Scenario Comparison'!$B$15)</f>
        <v>6062510.87390184</v>
      </c>
      <c r="E14" s="259" t="n">
        <f aca="false">$B14*('Scenario Comparison'!E$15/'Scenario Comparison'!$B$15)</f>
        <v>8995877.20310752</v>
      </c>
    </row>
    <row r="15" customFormat="false" ht="15" hidden="false" customHeight="true" outlineLevel="0" collapsed="false">
      <c r="A15" s="1" t="s">
        <v>1903</v>
      </c>
      <c r="B15" s="259" t="n">
        <f aca="false">SUMIFS('Construction Budget'!$H$115:$H$125,'Construction Budget'!$I$115:$I$125,"All Buildings")+SUMIFS('Construction Budget'!$H$115:$H$125,'Construction Budget'!$I$115:$I$125,"Shared")</f>
        <v>5656068</v>
      </c>
      <c r="C15" s="259" t="n">
        <f aca="false">$B15*('Scenario Comparison'!C$15/'Scenario Comparison'!$B$15)</f>
        <v>8550617.91160654</v>
      </c>
      <c r="D15" s="259" t="n">
        <f aca="false">$B15*('Scenario Comparison'!D$15/'Scenario Comparison'!$B$15)</f>
        <v>8550617.91160654</v>
      </c>
      <c r="E15" s="259" t="n">
        <f aca="false">$B15*('Scenario Comparison'!E$15/'Scenario Comparison'!$B$15)</f>
        <v>12687863.2209361</v>
      </c>
    </row>
    <row r="16" customFormat="false" ht="15" hidden="false" customHeight="true" outlineLevel="0" collapsed="false">
      <c r="A16" s="1" t="s">
        <v>1904</v>
      </c>
      <c r="B16" s="259" t="n">
        <f aca="false">SUMIFS('Construction Budget'!$H$167:$H$173,'Construction Budget'!$I$167:$I$173,"All Buildings")+SUMIFS('Construction Budget'!$H$167:$H$173,'Construction Budget'!$I$167:$I$173,"Shared")</f>
        <v>1233678.6</v>
      </c>
      <c r="C16" s="259" t="n">
        <f aca="false">$B16*('Scenario Comparison'!C$15/'Scenario Comparison'!$B$15)</f>
        <v>1865026.08071998</v>
      </c>
      <c r="D16" s="259" t="n">
        <f aca="false">$B16*('Scenario Comparison'!D$15/'Scenario Comparison'!$B$15)</f>
        <v>1865026.08071998</v>
      </c>
      <c r="E16" s="259" t="n">
        <f aca="false">$B16*('Scenario Comparison'!E$15/'Scenario Comparison'!$B$15)</f>
        <v>2767425.23876939</v>
      </c>
    </row>
    <row r="17" customFormat="false" ht="15" hidden="false" customHeight="true" outlineLevel="0" collapsed="false">
      <c r="A17" s="1" t="s">
        <v>1905</v>
      </c>
      <c r="B17" s="259" t="n">
        <f aca="false">SUMIFS('Construction Budget'!$H$295:$H$304,'Construction Budget'!$I$295:$I$304,"All Buildings")+SUMIFS('Construction Budget'!$H$295:$H$304,'Construction Budget'!$I$295:$I$304,"Shared")</f>
        <v>1525590</v>
      </c>
      <c r="C17" s="259" t="n">
        <f aca="false">$B17*('Scenario Comparison'!C$15/'Scenario Comparison'!$B$15)</f>
        <v>2306326.08726907</v>
      </c>
      <c r="D17" s="259" t="n">
        <f aca="false">$B17*('Scenario Comparison'!D$15/'Scenario Comparison'!$B$15)</f>
        <v>2306326.08726907</v>
      </c>
      <c r="E17" s="259" t="n">
        <f aca="false">$B17*('Scenario Comparison'!E$15/'Scenario Comparison'!$B$15)</f>
        <v>3422249.74155683</v>
      </c>
    </row>
    <row r="18" customFormat="false" ht="15" hidden="false" customHeight="true" outlineLevel="0" collapsed="false">
      <c r="A18" s="1" t="s">
        <v>1906</v>
      </c>
      <c r="B18" s="259" t="n">
        <f aca="false">SUMIFS('Construction Budget'!$H$308:$H$314,'Construction Budget'!$I$308:$I$314,"All Buildings")+SUMIFS('Construction Budget'!$H$308:$H$314,'Construction Budget'!$I$308:$I$314,"Shared")</f>
        <v>1217056.5</v>
      </c>
      <c r="C18" s="259" t="n">
        <f aca="false">$B18*('Scenario Comparison'!C$15/'Scenario Comparison'!$B$15)</f>
        <v>1839897.45320197</v>
      </c>
      <c r="D18" s="259" t="n">
        <f aca="false">$B18*('Scenario Comparison'!D$15/'Scenario Comparison'!$B$15)</f>
        <v>1839897.45320197</v>
      </c>
      <c r="E18" s="259" t="n">
        <f aca="false">$B18*('Scenario Comparison'!E$15/'Scenario Comparison'!$B$15)</f>
        <v>2730138.04009272</v>
      </c>
    </row>
    <row r="19" customFormat="false" ht="15" hidden="false" customHeight="true" outlineLevel="0" collapsed="false">
      <c r="A19" s="1" t="s">
        <v>1907</v>
      </c>
      <c r="B19" s="259" t="n">
        <f aca="false">SUMIFS('Construction Budget'!$H$318:$H$323,'Construction Budget'!$I$318:$I$323,"All Buildings")+SUMIFS('Construction Budget'!$H$318:$H$323,'Construction Budget'!$I$318:$I$323,"Shared")</f>
        <v>4104292.5</v>
      </c>
      <c r="C19" s="259" t="n">
        <f aca="false">$B19*('Scenario Comparison'!C$15/'Scenario Comparison'!$B$15)</f>
        <v>6204705.63030225</v>
      </c>
      <c r="D19" s="259" t="n">
        <f aca="false">$B19*('Scenario Comparison'!D$15/'Scenario Comparison'!$B$15)</f>
        <v>6204705.63030225</v>
      </c>
      <c r="E19" s="259" t="n">
        <f aca="false">$B19*('Scenario Comparison'!E$15/'Scenario Comparison'!$B$15)</f>
        <v>9206873.3718749</v>
      </c>
    </row>
    <row r="20" customFormat="false" ht="15" hidden="false" customHeight="true" outlineLevel="0" collapsed="false">
      <c r="B20" s="264"/>
      <c r="C20" s="264"/>
      <c r="D20" s="264"/>
      <c r="E20" s="264"/>
    </row>
    <row r="21" customFormat="false" ht="15" hidden="false" customHeight="true" outlineLevel="0" collapsed="false">
      <c r="A21" s="117" t="s">
        <v>1908</v>
      </c>
      <c r="B21" s="265" t="n">
        <f aca="false">SUM(B6:B19)</f>
        <v>275731915.866136</v>
      </c>
      <c r="C21" s="265" t="n">
        <f aca="false">SUM(C6:C19)</f>
        <v>416840508.036072</v>
      </c>
      <c r="D21" s="265" t="n">
        <f aca="false">SUM(D6:D19)</f>
        <v>416840508.036072</v>
      </c>
      <c r="E21" s="265" t="n">
        <f aca="false">SUM(E6:E19)</f>
        <v>618530193.44113</v>
      </c>
    </row>
    <row r="22" customFormat="false" ht="15" hidden="false" customHeight="true" outlineLevel="0" collapsed="false">
      <c r="A22" s="254" t="s">
        <v>1909</v>
      </c>
      <c r="B22" s="264"/>
      <c r="C22" s="264"/>
      <c r="D22" s="264"/>
      <c r="E22" s="264"/>
    </row>
    <row r="23" customFormat="false" ht="15" hidden="false" customHeight="true" outlineLevel="0" collapsed="false">
      <c r="A23" s="141" t="s">
        <v>1910</v>
      </c>
      <c r="B23" s="266"/>
      <c r="C23" s="266"/>
      <c r="D23" s="266"/>
      <c r="E23" s="266"/>
    </row>
    <row r="24" customFormat="false" ht="15" hidden="false" customHeight="true" outlineLevel="0" collapsed="false">
      <c r="A24" s="163" t="s">
        <v>1842</v>
      </c>
      <c r="B24" s="267" t="n">
        <f aca="false">'Campus Rollup'!$C$16</f>
        <v>800000</v>
      </c>
      <c r="C24" s="267" t="n">
        <f aca="false">'Campus Rollup'!$C$16</f>
        <v>800000</v>
      </c>
      <c r="D24" s="267" t="n">
        <f aca="false">'Campus Rollup'!$C$16</f>
        <v>800000</v>
      </c>
      <c r="E24" s="267" t="n">
        <f aca="false">'Campus Rollup'!$C$16</f>
        <v>800000</v>
      </c>
    </row>
    <row r="25" customFormat="false" ht="15" hidden="false" customHeight="true" outlineLevel="0" collapsed="false">
      <c r="A25" s="268" t="s">
        <v>1911</v>
      </c>
      <c r="B25" s="269" t="n">
        <f aca="false">B21/B24</f>
        <v>344.66489483267</v>
      </c>
      <c r="C25" s="269" t="n">
        <f aca="false">C21/C24</f>
        <v>521.05063504509</v>
      </c>
      <c r="D25" s="269" t="n">
        <f aca="false">D21/D24</f>
        <v>521.05063504509</v>
      </c>
      <c r="E25" s="269" t="n">
        <f aca="false">E21/E24</f>
        <v>773.162741801413</v>
      </c>
    </row>
    <row r="27" customFormat="false" ht="15" hidden="false" customHeight="true" outlineLevel="0" collapsed="false">
      <c r="A27" s="141" t="s">
        <v>1912</v>
      </c>
      <c r="B27" s="149"/>
      <c r="C27" s="149"/>
      <c r="D27" s="149"/>
      <c r="E27" s="149"/>
    </row>
    <row r="28" customFormat="false" ht="15" hidden="false" customHeight="true" outlineLevel="0" collapsed="false">
      <c r="A28" s="1" t="s">
        <v>1913</v>
      </c>
      <c r="B28" s="270" t="n">
        <f aca="false">B21</f>
        <v>275731915.866136</v>
      </c>
    </row>
    <row r="29" customFormat="false" ht="15" hidden="false" customHeight="true" outlineLevel="0" collapsed="false">
      <c r="A29" s="1" t="s">
        <v>1914</v>
      </c>
      <c r="B29" s="109" t="n">
        <f aca="false">B25</f>
        <v>344.66489483267</v>
      </c>
    </row>
    <row r="30" customFormat="false" ht="15" hidden="false" customHeight="true" outlineLevel="0" collapsed="false">
      <c r="A30" s="1" t="s">
        <v>1915</v>
      </c>
      <c r="B30" s="251" t="n">
        <f aca="false">B21/'Campus Rollup'!H16</f>
        <v>0.253350472258439</v>
      </c>
    </row>
    <row r="31" customFormat="false" ht="15" hidden="false" customHeight="true" outlineLevel="0" collapsed="false">
      <c r="A31" s="1" t="s">
        <v>1916</v>
      </c>
      <c r="B31" s="251" t="n">
        <f aca="false">B21/'Total Development Cost'!C35</f>
        <v>0.182257052409228</v>
      </c>
    </row>
    <row r="34" customFormat="false" ht="15" hidden="false" customHeight="true" outlineLevel="0" collapsed="false">
      <c r="A34" s="254" t="s">
        <v>1882</v>
      </c>
    </row>
    <row r="35" customFormat="false" ht="15" hidden="false" customHeight="true" outlineLevel="0" collapsed="false">
      <c r="A35" s="255" t="str">
        <f aca="false">A6</f>
        <v>Earthwork (Div 31)</v>
      </c>
      <c r="B35" s="271" t="n">
        <f aca="false">B6</f>
        <v>25614732</v>
      </c>
    </row>
    <row r="36" customFormat="false" ht="15" hidden="false" customHeight="true" outlineLevel="0" collapsed="false">
      <c r="A36" s="255" t="str">
        <f aca="false">A7</f>
        <v>Exterior Improvements (Div 32)</v>
      </c>
      <c r="B36" s="271" t="n">
        <f aca="false">B7</f>
        <v>9371809.46422509</v>
      </c>
    </row>
    <row r="37" customFormat="false" ht="15" hidden="false" customHeight="true" outlineLevel="0" collapsed="false">
      <c r="A37" s="255" t="str">
        <f aca="false">A8</f>
        <v>Utilities (Div 33)</v>
      </c>
      <c r="B37" s="271" t="n">
        <f aca="false">B8</f>
        <v>63598602.375</v>
      </c>
    </row>
    <row r="38" customFormat="false" ht="15" hidden="false" customHeight="true" outlineLevel="0" collapsed="false">
      <c r="A38" s="255" t="str">
        <f aca="false">A9</f>
        <v>Concrete (Div 03)</v>
      </c>
      <c r="B38" s="271" t="n">
        <f aca="false">B9</f>
        <v>33466040.3875851</v>
      </c>
    </row>
    <row r="39" customFormat="false" ht="15" hidden="false" customHeight="true" outlineLevel="0" collapsed="false">
      <c r="A39" s="255" t="str">
        <f aca="false">A10</f>
        <v>Metals / Structural Steel (Div 05)</v>
      </c>
      <c r="B39" s="271" t="n">
        <f aca="false">B10</f>
        <v>40836399.7619533</v>
      </c>
    </row>
    <row r="40" customFormat="false" ht="15" hidden="false" customHeight="true" outlineLevel="0" collapsed="false">
      <c r="A40" s="255" t="str">
        <f aca="false">A11</f>
        <v>Thermal &amp; Moisture (Div 07)</v>
      </c>
      <c r="B40" s="271" t="n">
        <f aca="false">B11</f>
        <v>38165650.875</v>
      </c>
    </row>
    <row r="41" customFormat="false" ht="15" hidden="false" customHeight="true" outlineLevel="0" collapsed="false">
      <c r="A41" s="255" t="str">
        <f aca="false">A12</f>
        <v>Openings (Div 08)</v>
      </c>
      <c r="B41" s="271" t="n">
        <f aca="false">B12</f>
        <v>13742209.9773727</v>
      </c>
    </row>
    <row r="42" customFormat="false" ht="15" hidden="false" customHeight="true" outlineLevel="0" collapsed="false">
      <c r="A42" s="255" t="str">
        <f aca="false">A13</f>
        <v>Finishes (Div 09)</v>
      </c>
      <c r="B42" s="271" t="n">
        <f aca="false">B13</f>
        <v>33189552</v>
      </c>
    </row>
    <row r="43" customFormat="false" ht="15" hidden="false" customHeight="true" outlineLevel="0" collapsed="false">
      <c r="A43" s="255" t="str">
        <f aca="false">A14</f>
        <v>Specialties (Div 10)</v>
      </c>
      <c r="B43" s="271" t="n">
        <f aca="false">B14</f>
        <v>4010233.425</v>
      </c>
    </row>
    <row r="44" customFormat="false" ht="15" hidden="false" customHeight="true" outlineLevel="0" collapsed="false">
      <c r="A44" s="255" t="str">
        <f aca="false">A15</f>
        <v>Masonry (Div 04)</v>
      </c>
      <c r="B44" s="271" t="n">
        <f aca="false">B15</f>
        <v>5656068</v>
      </c>
    </row>
    <row r="45" customFormat="false" ht="15" hidden="false" customHeight="true" outlineLevel="0" collapsed="false">
      <c r="A45" s="255" t="str">
        <f aca="false">A16</f>
        <v>Wood, Plastics &amp; Composites (Div 06)</v>
      </c>
      <c r="B45" s="271" t="n">
        <f aca="false">B16</f>
        <v>1233678.6</v>
      </c>
    </row>
    <row r="46" customFormat="false" ht="15" hidden="false" customHeight="true" outlineLevel="0" collapsed="false">
      <c r="A46" s="255" t="str">
        <f aca="false">A17</f>
        <v>Equipment (Div 11)</v>
      </c>
      <c r="B46" s="271" t="n">
        <f aca="false">B17</f>
        <v>1525590</v>
      </c>
    </row>
    <row r="47" customFormat="false" ht="15" hidden="false" customHeight="true" outlineLevel="0" collapsed="false">
      <c r="A47" s="255" t="str">
        <f aca="false">A18</f>
        <v>Furnishings (Div 12)</v>
      </c>
      <c r="B47" s="271" t="n">
        <f aca="false">B18</f>
        <v>1217056.5</v>
      </c>
    </row>
    <row r="48" customFormat="false" ht="15" hidden="false" customHeight="true" outlineLevel="0" collapsed="false">
      <c r="A48" s="255" t="str">
        <f aca="false">A19</f>
        <v>Conveying Equipment (Div 14)</v>
      </c>
      <c r="B48" s="271" t="n">
        <f aca="false">B19</f>
        <v>4104292.5</v>
      </c>
    </row>
  </sheetData>
  <mergeCells count="1">
    <mergeCell ref="A1:D1"/>
  </mergeCells>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I7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H4" activeCellId="0" sqref="H4"/>
    </sheetView>
  </sheetViews>
  <sheetFormatPr defaultColWidth="8.57421875" defaultRowHeight="15" zeroHeight="false" outlineLevelRow="0" outlineLevelCol="0"/>
  <cols>
    <col collapsed="false" customWidth="true" hidden="false" outlineLevel="0" max="1" min="1" style="1" width="11.86"/>
    <col collapsed="false" customWidth="true" hidden="false" outlineLevel="0" max="2" min="2" style="1" width="61.86"/>
    <col collapsed="false" customWidth="true" hidden="false" outlineLevel="0" max="3" min="3" style="1" width="19"/>
    <col collapsed="false" customWidth="true" hidden="false" outlineLevel="0" max="5" min="4" style="1" width="13.43"/>
    <col collapsed="false" customWidth="true" hidden="false" outlineLevel="0" max="6" min="6" style="1" width="15.29"/>
    <col collapsed="false" customWidth="true" hidden="false" outlineLevel="0" max="7" min="7" style="1" width="75.57"/>
    <col collapsed="false" customWidth="true" hidden="false" outlineLevel="0" max="8" min="8" style="1" width="15.29"/>
    <col collapsed="false" customWidth="true" hidden="false" outlineLevel="0" max="9" min="9" style="1" width="28.57"/>
  </cols>
  <sheetData>
    <row r="1" customFormat="false" ht="30" hidden="false" customHeight="true" outlineLevel="0" collapsed="false">
      <c r="A1" s="272" t="s">
        <v>1917</v>
      </c>
      <c r="B1" s="272"/>
      <c r="C1" s="197"/>
      <c r="D1" s="197"/>
      <c r="E1" s="197"/>
      <c r="F1" s="197"/>
      <c r="G1" s="197"/>
      <c r="H1" s="273" t="s">
        <v>148</v>
      </c>
      <c r="I1" s="274" t="str">
        <f aca="false">'Scenario &amp; Presets'!B15</f>
        <v>Low</v>
      </c>
    </row>
    <row r="2" customFormat="false" ht="6" hidden="false" customHeight="true" outlineLevel="0" collapsed="false"/>
    <row r="3" customFormat="false" ht="15" hidden="false" customHeight="true" outlineLevel="0" collapsed="false">
      <c r="A3" s="275" t="s">
        <v>267</v>
      </c>
      <c r="B3" s="275" t="s">
        <v>268</v>
      </c>
      <c r="C3" s="275" t="s">
        <v>270</v>
      </c>
      <c r="D3" s="275" t="s">
        <v>1918</v>
      </c>
      <c r="E3" s="275" t="s">
        <v>1919</v>
      </c>
      <c r="F3" s="275" t="s">
        <v>1920</v>
      </c>
      <c r="G3" s="275" t="s">
        <v>1921</v>
      </c>
      <c r="H3" s="276" t="s">
        <v>1922</v>
      </c>
    </row>
    <row r="4" customFormat="false" ht="15" hidden="false" customHeight="true" outlineLevel="0" collapsed="false">
      <c r="A4" s="277" t="s">
        <v>1647</v>
      </c>
      <c r="B4" s="278" t="s">
        <v>1648</v>
      </c>
      <c r="C4" s="277" t="s">
        <v>1923</v>
      </c>
      <c r="D4" s="279" t="n">
        <v>1.5</v>
      </c>
      <c r="E4" s="279" t="n">
        <v>2.5</v>
      </c>
      <c r="F4" s="279" t="n">
        <v>4</v>
      </c>
      <c r="G4" s="280" t="s">
        <v>1924</v>
      </c>
      <c r="H4" s="281" t="n">
        <f aca="false">IF(OR($A4="",$A4="—"),"",CHOOSE(MATCH($I$1,{"Low","Mid","High"},0),D4,E4,F4))</f>
        <v>1.5</v>
      </c>
    </row>
    <row r="5" customFormat="false" ht="15" hidden="false" customHeight="true" outlineLevel="0" collapsed="false">
      <c r="A5" s="282" t="s">
        <v>1649</v>
      </c>
      <c r="B5" s="283" t="s">
        <v>1650</v>
      </c>
      <c r="C5" s="282" t="s">
        <v>1925</v>
      </c>
      <c r="D5" s="284" t="n">
        <v>8</v>
      </c>
      <c r="E5" s="284" t="n">
        <v>15</v>
      </c>
      <c r="F5" s="284" t="n">
        <v>25</v>
      </c>
      <c r="G5" s="285" t="s">
        <v>1926</v>
      </c>
      <c r="H5" s="281" t="n">
        <f aca="false">IF(OR($A5="",$A5="—"),"",CHOOSE(MATCH($I$1,{"Low","Mid","High"},0),D5,E5,F5))</f>
        <v>8</v>
      </c>
    </row>
    <row r="6" customFormat="false" ht="15" hidden="false" customHeight="true" outlineLevel="0" collapsed="false">
      <c r="A6" s="277" t="s">
        <v>1651</v>
      </c>
      <c r="B6" s="278" t="s">
        <v>1652</v>
      </c>
      <c r="C6" s="277" t="s">
        <v>1925</v>
      </c>
      <c r="D6" s="279" t="n">
        <v>12</v>
      </c>
      <c r="E6" s="279" t="n">
        <v>22</v>
      </c>
      <c r="F6" s="279" t="n">
        <v>35</v>
      </c>
      <c r="G6" s="280" t="s">
        <v>1927</v>
      </c>
      <c r="H6" s="281" t="n">
        <f aca="false">IF(OR($A6="",$A6="—"),"",CHOOSE(MATCH($I$1,{"Low","Mid","High"},0),D6,E6,F6))</f>
        <v>12</v>
      </c>
    </row>
    <row r="7" customFormat="false" ht="15" hidden="false" customHeight="true" outlineLevel="0" collapsed="false">
      <c r="A7" s="282" t="s">
        <v>1663</v>
      </c>
      <c r="B7" s="283" t="s">
        <v>1928</v>
      </c>
      <c r="C7" s="282" t="s">
        <v>1929</v>
      </c>
      <c r="D7" s="284" t="n">
        <v>35</v>
      </c>
      <c r="E7" s="284" t="n">
        <v>55</v>
      </c>
      <c r="F7" s="284" t="n">
        <v>85</v>
      </c>
      <c r="G7" s="285" t="s">
        <v>1930</v>
      </c>
      <c r="H7" s="281" t="n">
        <f aca="false">IF(OR($A7="",$A7="—"),"",CHOOSE(MATCH($I$1,{"Low","Mid","High"},0),D7,E7,F7))</f>
        <v>35</v>
      </c>
    </row>
    <row r="8" customFormat="false" ht="15" hidden="false" customHeight="true" outlineLevel="0" collapsed="false">
      <c r="A8" s="277" t="s">
        <v>1705</v>
      </c>
      <c r="B8" s="278" t="s">
        <v>1931</v>
      </c>
      <c r="C8" s="277" t="s">
        <v>1923</v>
      </c>
      <c r="D8" s="279" t="n">
        <v>3.5</v>
      </c>
      <c r="E8" s="279" t="n">
        <v>5.5</v>
      </c>
      <c r="F8" s="279" t="n">
        <v>8</v>
      </c>
      <c r="G8" s="280" t="s">
        <v>1932</v>
      </c>
      <c r="H8" s="281" t="n">
        <f aca="false">IF(OR($A8="",$A8="—"),"",CHOOSE(MATCH($I$1,{"Low","Mid","High"},0),D8,E8,F8))</f>
        <v>3.5</v>
      </c>
    </row>
    <row r="9" customFormat="false" ht="15" hidden="false" customHeight="true" outlineLevel="0" collapsed="false">
      <c r="A9" s="282" t="s">
        <v>1707</v>
      </c>
      <c r="B9" s="283" t="s">
        <v>1933</v>
      </c>
      <c r="C9" s="282" t="s">
        <v>1923</v>
      </c>
      <c r="D9" s="284" t="n">
        <v>7</v>
      </c>
      <c r="E9" s="284" t="n">
        <v>11</v>
      </c>
      <c r="F9" s="284" t="n">
        <v>16</v>
      </c>
      <c r="G9" s="285" t="s">
        <v>1934</v>
      </c>
      <c r="H9" s="281" t="n">
        <f aca="false">IF(OR($A9="",$A9="—"),"",CHOOSE(MATCH($I$1,{"Low","Mid","High"},0),D9,E9,F9))</f>
        <v>7</v>
      </c>
    </row>
    <row r="10" customFormat="false" ht="15" hidden="false" customHeight="true" outlineLevel="0" collapsed="false">
      <c r="A10" s="277" t="s">
        <v>1713</v>
      </c>
      <c r="B10" s="278" t="s">
        <v>1714</v>
      </c>
      <c r="C10" s="277" t="s">
        <v>1929</v>
      </c>
      <c r="D10" s="279" t="n">
        <v>45</v>
      </c>
      <c r="E10" s="279" t="n">
        <v>75</v>
      </c>
      <c r="F10" s="279" t="n">
        <v>120</v>
      </c>
      <c r="G10" s="280" t="s">
        <v>1935</v>
      </c>
      <c r="H10" s="281" t="n">
        <f aca="false">IF(OR($A10="",$A10="—"),"",CHOOSE(MATCH($I$1,{"Low","Mid","High"},0),D10,E10,F10))</f>
        <v>45</v>
      </c>
    </row>
    <row r="11" customFormat="false" ht="15" hidden="false" customHeight="true" outlineLevel="0" collapsed="false">
      <c r="A11" s="282" t="s">
        <v>1741</v>
      </c>
      <c r="B11" s="283" t="s">
        <v>1742</v>
      </c>
      <c r="C11" s="282" t="s">
        <v>300</v>
      </c>
      <c r="D11" s="284" t="n">
        <v>75000</v>
      </c>
      <c r="E11" s="284" t="n">
        <v>150000</v>
      </c>
      <c r="F11" s="284" t="n">
        <v>300000</v>
      </c>
      <c r="G11" s="285" t="s">
        <v>1936</v>
      </c>
      <c r="H11" s="281" t="n">
        <f aca="false">IF(OR($A11="",$A11="—"),"",CHOOSE(MATCH($I$1,{"Low","Mid","High"},0),D11,E11,F11))</f>
        <v>75000</v>
      </c>
    </row>
    <row r="12" customFormat="false" ht="15" hidden="false" customHeight="true" outlineLevel="0" collapsed="false">
      <c r="A12" s="277" t="s">
        <v>1745</v>
      </c>
      <c r="B12" s="278" t="s">
        <v>1937</v>
      </c>
      <c r="C12" s="277" t="s">
        <v>1923</v>
      </c>
      <c r="D12" s="279" t="n">
        <v>2.5</v>
      </c>
      <c r="E12" s="279" t="n">
        <v>5</v>
      </c>
      <c r="F12" s="279" t="n">
        <v>9</v>
      </c>
      <c r="G12" s="280" t="s">
        <v>1938</v>
      </c>
      <c r="H12" s="281" t="n">
        <f aca="false">IF(OR($A12="",$A12="—"),"",CHOOSE(MATCH($I$1,{"Low","Mid","High"},0),D12,E12,F12))</f>
        <v>2.5</v>
      </c>
    </row>
    <row r="13" customFormat="false" ht="15" hidden="false" customHeight="true" outlineLevel="0" collapsed="false">
      <c r="A13" s="282" t="s">
        <v>1939</v>
      </c>
      <c r="B13" s="283" t="s">
        <v>1940</v>
      </c>
      <c r="C13" s="282" t="s">
        <v>1941</v>
      </c>
      <c r="D13" s="284" t="n">
        <v>3</v>
      </c>
      <c r="E13" s="284" t="n">
        <v>5.5</v>
      </c>
      <c r="F13" s="284" t="n">
        <v>8.5</v>
      </c>
      <c r="G13" s="285" t="s">
        <v>1942</v>
      </c>
      <c r="H13" s="281" t="n">
        <f aca="false">IF(OR($A13="",$A13="—"),"",CHOOSE(MATCH($I$1,{"Low","Mid","High"},0),D13,E13,F13))</f>
        <v>3</v>
      </c>
    </row>
    <row r="14" customFormat="false" ht="15" hidden="false" customHeight="true" outlineLevel="0" collapsed="false">
      <c r="A14" s="277" t="s">
        <v>1783</v>
      </c>
      <c r="B14" s="278" t="s">
        <v>1943</v>
      </c>
      <c r="C14" s="277" t="s">
        <v>280</v>
      </c>
      <c r="D14" s="279" t="n">
        <v>250000</v>
      </c>
      <c r="E14" s="279" t="n">
        <v>450000</v>
      </c>
      <c r="F14" s="279" t="n">
        <v>750000</v>
      </c>
      <c r="G14" s="280" t="s">
        <v>1944</v>
      </c>
      <c r="H14" s="281" t="n">
        <f aca="false">IF(OR($A14="",$A14="—"),"",CHOOSE(MATCH($I$1,{"Low","Mid","High"},0),D14,E14,F14))</f>
        <v>250000</v>
      </c>
    </row>
    <row r="15" customFormat="false" ht="15" hidden="false" customHeight="true" outlineLevel="0" collapsed="false">
      <c r="A15" s="282" t="s">
        <v>394</v>
      </c>
      <c r="B15" s="283" t="s">
        <v>1945</v>
      </c>
      <c r="C15" s="282" t="s">
        <v>1925</v>
      </c>
      <c r="D15" s="284" t="n">
        <v>450</v>
      </c>
      <c r="E15" s="284" t="n">
        <v>650</v>
      </c>
      <c r="F15" s="284" t="n">
        <v>950</v>
      </c>
      <c r="G15" s="285" t="s">
        <v>1946</v>
      </c>
      <c r="H15" s="281" t="n">
        <f aca="false">IF(OR($A15="",$A15="—"),"",CHOOSE(MATCH($I$1,{"Low","Mid","High"},0),D15,E15,F15))</f>
        <v>450</v>
      </c>
    </row>
    <row r="16" customFormat="false" ht="15" hidden="false" customHeight="true" outlineLevel="0" collapsed="false">
      <c r="A16" s="277" t="s">
        <v>408</v>
      </c>
      <c r="B16" s="278" t="s">
        <v>1947</v>
      </c>
      <c r="C16" s="277" t="s">
        <v>1923</v>
      </c>
      <c r="D16" s="279" t="n">
        <v>10</v>
      </c>
      <c r="E16" s="279" t="n">
        <v>16</v>
      </c>
      <c r="F16" s="279" t="n">
        <v>24</v>
      </c>
      <c r="G16" s="280" t="s">
        <v>1948</v>
      </c>
      <c r="H16" s="281" t="n">
        <f aca="false">IF(OR($A16="",$A16="—"),"",CHOOSE(MATCH($I$1,{"Low","Mid","High"},0),D16,E16,F16))</f>
        <v>10</v>
      </c>
    </row>
    <row r="17" customFormat="false" ht="15" hidden="false" customHeight="true" outlineLevel="0" collapsed="false">
      <c r="A17" s="282" t="s">
        <v>422</v>
      </c>
      <c r="B17" s="283" t="s">
        <v>1949</v>
      </c>
      <c r="C17" s="282" t="s">
        <v>1923</v>
      </c>
      <c r="D17" s="284" t="n">
        <v>18</v>
      </c>
      <c r="E17" s="284" t="n">
        <v>28</v>
      </c>
      <c r="F17" s="284" t="n">
        <v>42</v>
      </c>
      <c r="G17" s="285" t="s">
        <v>1950</v>
      </c>
      <c r="H17" s="281" t="n">
        <f aca="false">IF(OR($A17="",$A17="—"),"",CHOOSE(MATCH($I$1,{"Low","Mid","High"},0),D17,E17,F17))</f>
        <v>18</v>
      </c>
    </row>
    <row r="18" customFormat="false" ht="15" hidden="false" customHeight="true" outlineLevel="0" collapsed="false">
      <c r="A18" s="277" t="s">
        <v>484</v>
      </c>
      <c r="B18" s="278" t="s">
        <v>1951</v>
      </c>
      <c r="C18" s="277" t="s">
        <v>1952</v>
      </c>
      <c r="D18" s="279" t="n">
        <v>3500</v>
      </c>
      <c r="E18" s="279" t="n">
        <v>5000</v>
      </c>
      <c r="F18" s="279" t="n">
        <v>7500</v>
      </c>
      <c r="G18" s="280" t="s">
        <v>1953</v>
      </c>
      <c r="H18" s="281" t="n">
        <f aca="false">IF(OR($A18="",$A18="—"),"",CHOOSE(MATCH($I$1,{"Low","Mid","High"},0),D18,E18,F18))</f>
        <v>3500</v>
      </c>
    </row>
    <row r="19" customFormat="false" ht="15" hidden="false" customHeight="true" outlineLevel="0" collapsed="false">
      <c r="A19" s="282" t="s">
        <v>512</v>
      </c>
      <c r="B19" s="283" t="s">
        <v>1954</v>
      </c>
      <c r="C19" s="282" t="s">
        <v>1923</v>
      </c>
      <c r="D19" s="284" t="n">
        <v>4.5</v>
      </c>
      <c r="E19" s="284" t="n">
        <v>7</v>
      </c>
      <c r="F19" s="284" t="n">
        <v>10</v>
      </c>
      <c r="G19" s="285" t="s">
        <v>1955</v>
      </c>
      <c r="H19" s="281" t="n">
        <f aca="false">IF(OR($A19="",$A19="—"),"",CHOOSE(MATCH($I$1,{"Low","Mid","High"},0),D19,E19,F19))</f>
        <v>4.5</v>
      </c>
    </row>
    <row r="20" customFormat="false" ht="15" hidden="false" customHeight="true" outlineLevel="0" collapsed="false">
      <c r="A20" s="277" t="s">
        <v>592</v>
      </c>
      <c r="B20" s="278" t="s">
        <v>1956</v>
      </c>
      <c r="C20" s="277" t="s">
        <v>1923</v>
      </c>
      <c r="D20" s="279" t="n">
        <v>18</v>
      </c>
      <c r="E20" s="279" t="n">
        <v>28</v>
      </c>
      <c r="F20" s="279" t="n">
        <v>42</v>
      </c>
      <c r="G20" s="280" t="s">
        <v>1957</v>
      </c>
      <c r="H20" s="281" t="n">
        <f aca="false">IF(OR($A20="",$A20="—"),"",CHOOSE(MATCH($I$1,{"Low","Mid","High"},0),D20,E20,F20))</f>
        <v>18</v>
      </c>
    </row>
    <row r="21" customFormat="false" ht="15" hidden="false" customHeight="true" outlineLevel="0" collapsed="false">
      <c r="A21" s="282" t="s">
        <v>604</v>
      </c>
      <c r="B21" s="283" t="s">
        <v>1958</v>
      </c>
      <c r="C21" s="282" t="s">
        <v>1923</v>
      </c>
      <c r="D21" s="284" t="n">
        <v>8</v>
      </c>
      <c r="E21" s="284" t="n">
        <v>13</v>
      </c>
      <c r="F21" s="284" t="n">
        <v>20</v>
      </c>
      <c r="G21" s="285" t="s">
        <v>1959</v>
      </c>
      <c r="H21" s="281" t="n">
        <f aca="false">IF(OR($A21="",$A21="—"),"",CHOOSE(MATCH($I$1,{"Low","Mid","High"},0),D21,E21,F21))</f>
        <v>8</v>
      </c>
    </row>
    <row r="22" customFormat="false" ht="15" hidden="false" customHeight="true" outlineLevel="0" collapsed="false">
      <c r="A22" s="277" t="s">
        <v>626</v>
      </c>
      <c r="B22" s="278" t="s">
        <v>627</v>
      </c>
      <c r="C22" s="277" t="s">
        <v>1960</v>
      </c>
      <c r="D22" s="279" t="n">
        <v>35</v>
      </c>
      <c r="E22" s="279" t="n">
        <v>75</v>
      </c>
      <c r="F22" s="279" t="n">
        <v>150</v>
      </c>
      <c r="G22" s="280" t="s">
        <v>1961</v>
      </c>
      <c r="H22" s="281" t="n">
        <f aca="false">IF(OR($A22="",$A22="—"),"",CHOOSE(MATCH($I$1,{"Low","Mid","High"},0),D22,E22,F22))</f>
        <v>35</v>
      </c>
    </row>
    <row r="23" customFormat="false" ht="15" hidden="false" customHeight="true" outlineLevel="0" collapsed="false">
      <c r="A23" s="282" t="s">
        <v>907</v>
      </c>
      <c r="B23" s="283" t="s">
        <v>1962</v>
      </c>
      <c r="C23" s="282" t="s">
        <v>1963</v>
      </c>
      <c r="D23" s="284" t="n">
        <v>2500</v>
      </c>
      <c r="E23" s="284" t="n">
        <v>4500</v>
      </c>
      <c r="F23" s="284" t="n">
        <v>7000</v>
      </c>
      <c r="G23" s="285" t="s">
        <v>1964</v>
      </c>
      <c r="H23" s="281" t="n">
        <f aca="false">IF(OR($A23="",$A23="—"),"",CHOOSE(MATCH($I$1,{"Low","Mid","High"},0),D23,E23,F23))</f>
        <v>2500</v>
      </c>
    </row>
    <row r="24" customFormat="false" ht="15" hidden="false" customHeight="true" outlineLevel="0" collapsed="false">
      <c r="A24" s="277" t="s">
        <v>915</v>
      </c>
      <c r="B24" s="278" t="s">
        <v>1965</v>
      </c>
      <c r="C24" s="277" t="s">
        <v>1966</v>
      </c>
      <c r="D24" s="279" t="n">
        <v>800</v>
      </c>
      <c r="E24" s="279" t="n">
        <v>1500</v>
      </c>
      <c r="F24" s="279" t="n">
        <v>2500</v>
      </c>
      <c r="G24" s="280" t="s">
        <v>1967</v>
      </c>
      <c r="H24" s="281" t="n">
        <f aca="false">IF(OR($A24="",$A24="—"),"",CHOOSE(MATCH($I$1,{"Low","Mid","High"},0),D24,E24,F24))</f>
        <v>800</v>
      </c>
    </row>
    <row r="25" customFormat="false" ht="15" hidden="false" customHeight="true" outlineLevel="0" collapsed="false">
      <c r="A25" s="282" t="s">
        <v>929</v>
      </c>
      <c r="B25" s="283" t="s">
        <v>930</v>
      </c>
      <c r="C25" s="282" t="s">
        <v>1960</v>
      </c>
      <c r="D25" s="284" t="n">
        <v>15000</v>
      </c>
      <c r="E25" s="284" t="n">
        <v>35000</v>
      </c>
      <c r="F25" s="284" t="n">
        <v>60000</v>
      </c>
      <c r="G25" s="285" t="s">
        <v>1968</v>
      </c>
      <c r="H25" s="281" t="n">
        <f aca="false">IF(OR($A25="",$A25="—"),"",CHOOSE(MATCH($I$1,{"Low","Mid","High"},0),D25,E25,F25))</f>
        <v>15000</v>
      </c>
    </row>
    <row r="26" customFormat="false" ht="15" hidden="false" customHeight="true" outlineLevel="0" collapsed="false">
      <c r="A26" s="277" t="s">
        <v>849</v>
      </c>
      <c r="B26" s="278" t="s">
        <v>1969</v>
      </c>
      <c r="C26" s="277" t="s">
        <v>1923</v>
      </c>
      <c r="D26" s="279" t="n">
        <v>6</v>
      </c>
      <c r="E26" s="279" t="n">
        <v>10</v>
      </c>
      <c r="F26" s="279" t="n">
        <v>16</v>
      </c>
      <c r="G26" s="280" t="s">
        <v>1970</v>
      </c>
      <c r="H26" s="281" t="n">
        <f aca="false">IF(OR($A26="",$A26="—"),"",CHOOSE(MATCH($I$1,{"Low","Mid","High"},0),D26,E26,F26))</f>
        <v>6</v>
      </c>
    </row>
    <row r="27" customFormat="false" ht="15" hidden="false" customHeight="true" outlineLevel="0" collapsed="false">
      <c r="A27" s="282" t="s">
        <v>859</v>
      </c>
      <c r="B27" s="283" t="s">
        <v>1971</v>
      </c>
      <c r="C27" s="282" t="s">
        <v>1923</v>
      </c>
      <c r="D27" s="284" t="n">
        <v>12</v>
      </c>
      <c r="E27" s="284" t="n">
        <v>22</v>
      </c>
      <c r="F27" s="284" t="n">
        <v>35</v>
      </c>
      <c r="G27" s="285" t="s">
        <v>1972</v>
      </c>
      <c r="H27" s="281" t="n">
        <f aca="false">IF(OR($A27="",$A27="—"),"",CHOOSE(MATCH($I$1,{"Low","Mid","High"},0),D27,E27,F27))</f>
        <v>12</v>
      </c>
    </row>
    <row r="28" customFormat="false" ht="15" hidden="false" customHeight="true" outlineLevel="0" collapsed="false">
      <c r="A28" s="277" t="s">
        <v>873</v>
      </c>
      <c r="B28" s="278" t="s">
        <v>1973</v>
      </c>
      <c r="C28" s="277" t="s">
        <v>1923</v>
      </c>
      <c r="D28" s="279" t="n">
        <v>3</v>
      </c>
      <c r="E28" s="279" t="n">
        <v>6</v>
      </c>
      <c r="F28" s="279" t="n">
        <v>10</v>
      </c>
      <c r="G28" s="280" t="s">
        <v>1974</v>
      </c>
      <c r="H28" s="281" t="n">
        <f aca="false">IF(OR($A28="",$A28="—"),"",CHOOSE(MATCH($I$1,{"Low","Mid","High"},0),D28,E28,F28))</f>
        <v>3</v>
      </c>
    </row>
    <row r="29" customFormat="false" ht="15" hidden="false" customHeight="true" outlineLevel="0" collapsed="false">
      <c r="A29" s="282" t="s">
        <v>877</v>
      </c>
      <c r="B29" s="283" t="s">
        <v>1975</v>
      </c>
      <c r="C29" s="282" t="s">
        <v>1923</v>
      </c>
      <c r="D29" s="284" t="n">
        <v>4</v>
      </c>
      <c r="E29" s="284" t="n">
        <v>7</v>
      </c>
      <c r="F29" s="284" t="n">
        <v>12</v>
      </c>
      <c r="G29" s="285" t="s">
        <v>1976</v>
      </c>
      <c r="H29" s="281" t="n">
        <f aca="false">IF(OR($A29="",$A29="—"),"",CHOOSE(MATCH($I$1,{"Low","Mid","High"},0),D29,E29,F29))</f>
        <v>4</v>
      </c>
    </row>
    <row r="30" customFormat="false" ht="15" hidden="false" customHeight="true" outlineLevel="0" collapsed="false">
      <c r="A30" s="277" t="s">
        <v>891</v>
      </c>
      <c r="B30" s="278" t="s">
        <v>892</v>
      </c>
      <c r="C30" s="277" t="s">
        <v>1960</v>
      </c>
      <c r="D30" s="279" t="n">
        <v>60000</v>
      </c>
      <c r="E30" s="279" t="n">
        <v>100000</v>
      </c>
      <c r="F30" s="279" t="n">
        <v>175000</v>
      </c>
      <c r="G30" s="280" t="s">
        <v>1977</v>
      </c>
      <c r="H30" s="281" t="n">
        <f aca="false">IF(OR($A30="",$A30="—"),"",CHOOSE(MATCH($I$1,{"Low","Mid","High"},0),D30,E30,F30))</f>
        <v>60000</v>
      </c>
    </row>
    <row r="31" customFormat="false" ht="15" hidden="false" customHeight="true" outlineLevel="0" collapsed="false">
      <c r="A31" s="282" t="s">
        <v>987</v>
      </c>
      <c r="B31" s="283" t="s">
        <v>1978</v>
      </c>
      <c r="C31" s="282" t="s">
        <v>1952</v>
      </c>
      <c r="D31" s="284" t="n">
        <v>800</v>
      </c>
      <c r="E31" s="284" t="n">
        <v>1200</v>
      </c>
      <c r="F31" s="284" t="n">
        <v>1800</v>
      </c>
      <c r="G31" s="285" t="s">
        <v>1979</v>
      </c>
      <c r="H31" s="281" t="n">
        <f aca="false">IF(OR($A31="",$A31="—"),"",CHOOSE(MATCH($I$1,{"Low","Mid","High"},0),D31,E31,F31))</f>
        <v>800</v>
      </c>
    </row>
    <row r="32" customFormat="false" ht="15" hidden="false" customHeight="true" outlineLevel="0" collapsed="false">
      <c r="A32" s="277" t="s">
        <v>1009</v>
      </c>
      <c r="B32" s="278" t="s">
        <v>1980</v>
      </c>
      <c r="C32" s="277" t="s">
        <v>1952</v>
      </c>
      <c r="D32" s="279" t="n">
        <v>200</v>
      </c>
      <c r="E32" s="279" t="n">
        <v>350</v>
      </c>
      <c r="F32" s="279" t="n">
        <v>550</v>
      </c>
      <c r="G32" s="280" t="s">
        <v>1981</v>
      </c>
      <c r="H32" s="281" t="n">
        <f aca="false">IF(OR($A32="",$A32="—"),"",CHOOSE(MATCH($I$1,{"Low","Mid","High"},0),D32,E32,F32))</f>
        <v>200</v>
      </c>
    </row>
    <row r="33" customFormat="false" ht="15" hidden="false" customHeight="true" outlineLevel="0" collapsed="false">
      <c r="A33" s="282" t="s">
        <v>999</v>
      </c>
      <c r="B33" s="283" t="s">
        <v>1000</v>
      </c>
      <c r="C33" s="282" t="s">
        <v>1929</v>
      </c>
      <c r="D33" s="284" t="n">
        <v>80</v>
      </c>
      <c r="E33" s="284" t="n">
        <v>150</v>
      </c>
      <c r="F33" s="284" t="n">
        <v>250</v>
      </c>
      <c r="G33" s="285" t="s">
        <v>1982</v>
      </c>
      <c r="H33" s="281" t="n">
        <f aca="false">IF(OR($A33="",$A33="—"),"",CHOOSE(MATCH($I$1,{"Low","Mid","High"},0),D33,E33,F33))</f>
        <v>80</v>
      </c>
    </row>
    <row r="34" customFormat="false" ht="15" hidden="false" customHeight="true" outlineLevel="0" collapsed="false">
      <c r="A34" s="277" t="s">
        <v>1023</v>
      </c>
      <c r="B34" s="278" t="s">
        <v>1983</v>
      </c>
      <c r="C34" s="277" t="s">
        <v>1952</v>
      </c>
      <c r="D34" s="279" t="n">
        <v>600</v>
      </c>
      <c r="E34" s="279" t="n">
        <v>950</v>
      </c>
      <c r="F34" s="279" t="n">
        <v>1400</v>
      </c>
      <c r="G34" s="280" t="s">
        <v>1984</v>
      </c>
      <c r="H34" s="281" t="n">
        <f aca="false">IF(OR($A34="",$A34="—"),"",CHOOSE(MATCH($I$1,{"Low","Mid","High"},0),D34,E34,F34))</f>
        <v>600</v>
      </c>
    </row>
    <row r="35" customFormat="false" ht="15" hidden="false" customHeight="true" outlineLevel="0" collapsed="false">
      <c r="A35" s="282" t="s">
        <v>1047</v>
      </c>
      <c r="B35" s="283" t="s">
        <v>1985</v>
      </c>
      <c r="C35" s="282" t="s">
        <v>1986</v>
      </c>
      <c r="D35" s="284" t="n">
        <v>800</v>
      </c>
      <c r="E35" s="284" t="n">
        <v>1500</v>
      </c>
      <c r="F35" s="284" t="n">
        <v>2500</v>
      </c>
      <c r="G35" s="285" t="s">
        <v>1987</v>
      </c>
      <c r="H35" s="281" t="n">
        <f aca="false">IF(OR($A35="",$A35="—"),"",CHOOSE(MATCH($I$1,{"Low","Mid","High"},0),D35,E35,F35))</f>
        <v>800</v>
      </c>
    </row>
    <row r="36" customFormat="false" ht="15" hidden="false" customHeight="true" outlineLevel="0" collapsed="false">
      <c r="A36" s="277" t="s">
        <v>1057</v>
      </c>
      <c r="B36" s="278" t="s">
        <v>1988</v>
      </c>
      <c r="C36" s="277" t="s">
        <v>1952</v>
      </c>
      <c r="D36" s="279" t="n">
        <v>100</v>
      </c>
      <c r="E36" s="279" t="n">
        <v>200</v>
      </c>
      <c r="F36" s="279" t="n">
        <v>350</v>
      </c>
      <c r="G36" s="280" t="s">
        <v>1989</v>
      </c>
      <c r="H36" s="281" t="n">
        <f aca="false">IF(OR($A36="",$A36="—"),"",CHOOSE(MATCH($I$1,{"Low","Mid","High"},0),D36,E36,F36))</f>
        <v>100</v>
      </c>
    </row>
    <row r="37" customFormat="false" ht="15" hidden="false" customHeight="true" outlineLevel="0" collapsed="false">
      <c r="A37" s="282" t="s">
        <v>971</v>
      </c>
      <c r="B37" s="283" t="s">
        <v>1990</v>
      </c>
      <c r="C37" s="282" t="s">
        <v>1991</v>
      </c>
      <c r="D37" s="284" t="n">
        <v>350</v>
      </c>
      <c r="E37" s="284" t="n">
        <v>600</v>
      </c>
      <c r="F37" s="284" t="n">
        <v>950</v>
      </c>
      <c r="G37" s="285" t="s">
        <v>1992</v>
      </c>
      <c r="H37" s="281" t="n">
        <f aca="false">IF(OR($A37="",$A37="—"),"",CHOOSE(MATCH($I$1,{"Low","Mid","High"},0),D37,E37,F37))</f>
        <v>350</v>
      </c>
    </row>
    <row r="38" customFormat="false" ht="15" hidden="false" customHeight="true" outlineLevel="0" collapsed="false">
      <c r="A38" s="277" t="s">
        <v>1103</v>
      </c>
      <c r="B38" s="278" t="s">
        <v>1104</v>
      </c>
      <c r="C38" s="277" t="s">
        <v>1993</v>
      </c>
      <c r="D38" s="279" t="n">
        <v>150</v>
      </c>
      <c r="E38" s="279" t="n">
        <v>300</v>
      </c>
      <c r="F38" s="279" t="n">
        <v>500</v>
      </c>
      <c r="G38" s="280" t="s">
        <v>1994</v>
      </c>
      <c r="H38" s="281" t="n">
        <f aca="false">IF(OR($A38="",$A38="—"),"",CHOOSE(MATCH($I$1,{"Low","Mid","High"},0),D38,E38,F38))</f>
        <v>150</v>
      </c>
    </row>
    <row r="39" customFormat="false" ht="15" hidden="false" customHeight="true" outlineLevel="0" collapsed="false">
      <c r="A39" s="282" t="s">
        <v>1223</v>
      </c>
      <c r="B39" s="283" t="s">
        <v>1995</v>
      </c>
      <c r="C39" s="282" t="s">
        <v>1960</v>
      </c>
      <c r="D39" s="284" t="n">
        <v>250000</v>
      </c>
      <c r="E39" s="284" t="n">
        <v>450000</v>
      </c>
      <c r="F39" s="284" t="n">
        <v>750000</v>
      </c>
      <c r="G39" s="285" t="s">
        <v>1996</v>
      </c>
      <c r="H39" s="281" t="n">
        <f aca="false">IF(OR($A39="",$A39="—"),"",CHOOSE(MATCH($I$1,{"Low","Mid","High"},0),D39,E39,F39))</f>
        <v>250000</v>
      </c>
    </row>
    <row r="40" customFormat="false" ht="15" hidden="false" customHeight="true" outlineLevel="0" collapsed="false">
      <c r="A40" s="277" t="s">
        <v>1241</v>
      </c>
      <c r="B40" s="278" t="s">
        <v>1997</v>
      </c>
      <c r="C40" s="277" t="s">
        <v>1998</v>
      </c>
      <c r="D40" s="279" t="n">
        <v>25</v>
      </c>
      <c r="E40" s="279" t="n">
        <v>45</v>
      </c>
      <c r="F40" s="279" t="n">
        <v>70</v>
      </c>
      <c r="G40" s="280" t="s">
        <v>1999</v>
      </c>
      <c r="H40" s="281" t="n">
        <f aca="false">IF(OR($A40="",$A40="—"),"",CHOOSE(MATCH($I$1,{"Low","Mid","High"},0),D40,E40,F40))</f>
        <v>25</v>
      </c>
    </row>
    <row r="41" customFormat="false" ht="15" hidden="false" customHeight="true" outlineLevel="0" collapsed="false">
      <c r="A41" s="282" t="s">
        <v>1297</v>
      </c>
      <c r="B41" s="283" t="s">
        <v>2000</v>
      </c>
      <c r="C41" s="282" t="s">
        <v>1993</v>
      </c>
      <c r="D41" s="284" t="n">
        <v>200</v>
      </c>
      <c r="E41" s="284" t="n">
        <v>350</v>
      </c>
      <c r="F41" s="284" t="n">
        <v>550</v>
      </c>
      <c r="G41" s="285" t="s">
        <v>2001</v>
      </c>
      <c r="H41" s="281" t="n">
        <f aca="false">IF(OR($A41="",$A41="—"),"",CHOOSE(MATCH($I$1,{"Low","Mid","High"},0),D41,E41,F41))</f>
        <v>200</v>
      </c>
    </row>
    <row r="42" customFormat="false" ht="15" hidden="false" customHeight="true" outlineLevel="0" collapsed="false">
      <c r="A42" s="277" t="s">
        <v>1341</v>
      </c>
      <c r="B42" s="278" t="s">
        <v>2002</v>
      </c>
      <c r="C42" s="277" t="s">
        <v>1993</v>
      </c>
      <c r="D42" s="279" t="n">
        <v>250</v>
      </c>
      <c r="E42" s="279" t="n">
        <v>450</v>
      </c>
      <c r="F42" s="279" t="n">
        <v>700</v>
      </c>
      <c r="G42" s="280" t="s">
        <v>2003</v>
      </c>
      <c r="H42" s="281" t="n">
        <f aca="false">IF(OR($A42="",$A42="—"),"",CHOOSE(MATCH($I$1,{"Low","Mid","High"},0),D42,E42,F42))</f>
        <v>250</v>
      </c>
    </row>
    <row r="43" customFormat="false" ht="15" hidden="false" customHeight="true" outlineLevel="0" collapsed="false">
      <c r="A43" s="282" t="s">
        <v>1351</v>
      </c>
      <c r="B43" s="283" t="s">
        <v>2004</v>
      </c>
      <c r="C43" s="282" t="s">
        <v>1993</v>
      </c>
      <c r="D43" s="284" t="n">
        <v>100</v>
      </c>
      <c r="E43" s="284" t="n">
        <v>175</v>
      </c>
      <c r="F43" s="284" t="n">
        <v>275</v>
      </c>
      <c r="G43" s="285" t="s">
        <v>2005</v>
      </c>
      <c r="H43" s="281" t="n">
        <f aca="false">IF(OR($A43="",$A43="—"),"",CHOOSE(MATCH($I$1,{"Low","Mid","High"},0),D43,E43,F43))</f>
        <v>100</v>
      </c>
    </row>
    <row r="44" customFormat="false" ht="15" hidden="false" customHeight="true" outlineLevel="0" collapsed="false">
      <c r="A44" s="277" t="s">
        <v>2006</v>
      </c>
      <c r="B44" s="278" t="s">
        <v>2007</v>
      </c>
      <c r="C44" s="277" t="s">
        <v>1993</v>
      </c>
      <c r="D44" s="279" t="n">
        <v>175</v>
      </c>
      <c r="E44" s="279" t="n">
        <v>300</v>
      </c>
      <c r="F44" s="279" t="n">
        <v>475</v>
      </c>
      <c r="G44" s="280" t="s">
        <v>2008</v>
      </c>
      <c r="H44" s="281" t="n">
        <f aca="false">IF(OR($A44="",$A44="—"),"",CHOOSE(MATCH($I$1,{"Low","Mid","High"},0),D44,E44,F44))</f>
        <v>175</v>
      </c>
    </row>
    <row r="45" customFormat="false" ht="15" hidden="false" customHeight="true" outlineLevel="0" collapsed="false">
      <c r="A45" s="282" t="s">
        <v>1363</v>
      </c>
      <c r="B45" s="283" t="s">
        <v>2009</v>
      </c>
      <c r="C45" s="282" t="s">
        <v>1960</v>
      </c>
      <c r="D45" s="284" t="n">
        <v>25000</v>
      </c>
      <c r="E45" s="284" t="n">
        <v>50000</v>
      </c>
      <c r="F45" s="284" t="n">
        <v>85000</v>
      </c>
      <c r="G45" s="285" t="s">
        <v>2010</v>
      </c>
      <c r="H45" s="281" t="n">
        <f aca="false">IF(OR($A45="",$A45="—"),"",CHOOSE(MATCH($I$1,{"Low","Mid","High"},0),D45,E45,F45))</f>
        <v>25000</v>
      </c>
    </row>
    <row r="46" customFormat="false" ht="15" hidden="false" customHeight="true" outlineLevel="0" collapsed="false">
      <c r="A46" s="277" t="s">
        <v>1371</v>
      </c>
      <c r="B46" s="278" t="s">
        <v>2011</v>
      </c>
      <c r="C46" s="277" t="s">
        <v>1960</v>
      </c>
      <c r="D46" s="279" t="n">
        <v>35000</v>
      </c>
      <c r="E46" s="279" t="n">
        <v>65000</v>
      </c>
      <c r="F46" s="279" t="n">
        <v>110000</v>
      </c>
      <c r="G46" s="280" t="s">
        <v>2012</v>
      </c>
      <c r="H46" s="281" t="n">
        <f aca="false">IF(OR($A46="",$A46="—"),"",CHOOSE(MATCH($I$1,{"Low","Mid","High"},0),D46,E46,F46))</f>
        <v>35000</v>
      </c>
    </row>
    <row r="47" customFormat="false" ht="15" hidden="false" customHeight="true" outlineLevel="0" collapsed="false">
      <c r="A47" s="282" t="s">
        <v>1389</v>
      </c>
      <c r="B47" s="283" t="s">
        <v>2013</v>
      </c>
      <c r="C47" s="282" t="s">
        <v>1929</v>
      </c>
      <c r="D47" s="284" t="n">
        <v>150</v>
      </c>
      <c r="E47" s="284" t="n">
        <v>275</v>
      </c>
      <c r="F47" s="284" t="n">
        <v>450</v>
      </c>
      <c r="G47" s="285" t="s">
        <v>2014</v>
      </c>
      <c r="H47" s="281" t="n">
        <f aca="false">IF(OR($A47="",$A47="—"),"",CHOOSE(MATCH($I$1,{"Low","Mid","High"},0),D47,E47,F47))</f>
        <v>150</v>
      </c>
    </row>
    <row r="48" customFormat="false" ht="15" hidden="false" customHeight="true" outlineLevel="0" collapsed="false">
      <c r="A48" s="277" t="s">
        <v>1405</v>
      </c>
      <c r="B48" s="278" t="s">
        <v>2015</v>
      </c>
      <c r="C48" s="277" t="s">
        <v>1960</v>
      </c>
      <c r="D48" s="279" t="n">
        <v>250</v>
      </c>
      <c r="E48" s="279" t="n">
        <v>500</v>
      </c>
      <c r="F48" s="279" t="n">
        <v>850</v>
      </c>
      <c r="G48" s="280" t="s">
        <v>2016</v>
      </c>
      <c r="H48" s="281" t="n">
        <f aca="false">IF(OR($A48="",$A48="—"),"",CHOOSE(MATCH($I$1,{"Low","Mid","High"},0),D48,E48,F48))</f>
        <v>250</v>
      </c>
    </row>
    <row r="49" customFormat="false" ht="15" hidden="false" customHeight="true" outlineLevel="0" collapsed="false">
      <c r="A49" s="282" t="s">
        <v>1219</v>
      </c>
      <c r="B49" s="283" t="s">
        <v>1220</v>
      </c>
      <c r="C49" s="282" t="s">
        <v>1923</v>
      </c>
      <c r="D49" s="284" t="n">
        <v>1.5</v>
      </c>
      <c r="E49" s="284" t="n">
        <v>3</v>
      </c>
      <c r="F49" s="284" t="n">
        <v>5</v>
      </c>
      <c r="G49" s="285" t="s">
        <v>2017</v>
      </c>
      <c r="H49" s="281" t="n">
        <f aca="false">IF(OR($A49="",$A49="—"),"",CHOOSE(MATCH($I$1,{"Low","Mid","High"},0),D49,E49,F49))</f>
        <v>1.5</v>
      </c>
    </row>
    <row r="50" customFormat="false" ht="15" hidden="false" customHeight="true" outlineLevel="0" collapsed="false">
      <c r="A50" s="277" t="s">
        <v>1221</v>
      </c>
      <c r="B50" s="278" t="s">
        <v>1222</v>
      </c>
      <c r="C50" s="277" t="s">
        <v>1923</v>
      </c>
      <c r="D50" s="279" t="n">
        <v>1</v>
      </c>
      <c r="E50" s="279" t="n">
        <v>2</v>
      </c>
      <c r="F50" s="279" t="n">
        <v>3.5</v>
      </c>
      <c r="G50" s="280" t="s">
        <v>2018</v>
      </c>
      <c r="H50" s="281" t="n">
        <f aca="false">IF(OR($A50="",$A50="—"),"",CHOOSE(MATCH($I$1,{"Low","Mid","High"},0),D50,E50,F50))</f>
        <v>1</v>
      </c>
    </row>
    <row r="51" customFormat="false" ht="15" hidden="false" customHeight="true" outlineLevel="0" collapsed="false">
      <c r="A51" s="282" t="s">
        <v>1239</v>
      </c>
      <c r="B51" s="283" t="s">
        <v>2019</v>
      </c>
      <c r="C51" s="282" t="s">
        <v>1991</v>
      </c>
      <c r="D51" s="284" t="n">
        <v>500</v>
      </c>
      <c r="E51" s="284" t="n">
        <v>850</v>
      </c>
      <c r="F51" s="284" t="n">
        <v>1300</v>
      </c>
      <c r="G51" s="285" t="s">
        <v>2020</v>
      </c>
      <c r="H51" s="281" t="n">
        <f aca="false">IF(OR($A51="",$A51="—"),"",CHOOSE(MATCH($I$1,{"Low","Mid","High"},0),D51,E51,F51))</f>
        <v>500</v>
      </c>
    </row>
    <row r="52" customFormat="false" ht="15" hidden="false" customHeight="true" outlineLevel="0" collapsed="false">
      <c r="A52" s="277" t="s">
        <v>644</v>
      </c>
      <c r="B52" s="278" t="s">
        <v>2021</v>
      </c>
      <c r="C52" s="277" t="s">
        <v>1960</v>
      </c>
      <c r="D52" s="279" t="n">
        <v>1200</v>
      </c>
      <c r="E52" s="279" t="n">
        <v>2000</v>
      </c>
      <c r="F52" s="279" t="n">
        <v>3200</v>
      </c>
      <c r="G52" s="280" t="s">
        <v>2022</v>
      </c>
      <c r="H52" s="281" t="n">
        <f aca="false">IF(OR($A52="",$A52="—"),"",CHOOSE(MATCH($I$1,{"Low","Mid","High"},0),D52,E52,F52))</f>
        <v>1200</v>
      </c>
    </row>
    <row r="53" customFormat="false" ht="15" hidden="false" customHeight="true" outlineLevel="0" collapsed="false">
      <c r="A53" s="282" t="s">
        <v>652</v>
      </c>
      <c r="B53" s="283" t="s">
        <v>653</v>
      </c>
      <c r="C53" s="282" t="s">
        <v>1960</v>
      </c>
      <c r="D53" s="284" t="n">
        <v>8000</v>
      </c>
      <c r="E53" s="284" t="n">
        <v>14000</v>
      </c>
      <c r="F53" s="284" t="n">
        <v>22000</v>
      </c>
      <c r="G53" s="285" t="s">
        <v>2023</v>
      </c>
      <c r="H53" s="281" t="n">
        <f aca="false">IF(OR($A53="",$A53="—"),"",CHOOSE(MATCH($I$1,{"Low","Mid","High"},0),D53,E53,F53))</f>
        <v>8000</v>
      </c>
    </row>
    <row r="54" customFormat="false" ht="15" hidden="false" customHeight="true" outlineLevel="0" collapsed="false">
      <c r="A54" s="277" t="s">
        <v>710</v>
      </c>
      <c r="B54" s="278" t="s">
        <v>2024</v>
      </c>
      <c r="C54" s="277" t="s">
        <v>1923</v>
      </c>
      <c r="D54" s="279" t="n">
        <v>22</v>
      </c>
      <c r="E54" s="279" t="n">
        <v>35</v>
      </c>
      <c r="F54" s="279" t="n">
        <v>55</v>
      </c>
      <c r="G54" s="280" t="s">
        <v>2025</v>
      </c>
      <c r="H54" s="281" t="n">
        <f aca="false">IF(OR($A54="",$A54="—"),"",CHOOSE(MATCH($I$1,{"Low","Mid","High"},0),D54,E54,F54))</f>
        <v>22</v>
      </c>
    </row>
    <row r="55" customFormat="false" ht="15" hidden="false" customHeight="true" outlineLevel="0" collapsed="false">
      <c r="A55" s="282" t="s">
        <v>728</v>
      </c>
      <c r="B55" s="283" t="s">
        <v>2026</v>
      </c>
      <c r="C55" s="282" t="s">
        <v>1923</v>
      </c>
      <c r="D55" s="284" t="n">
        <v>6</v>
      </c>
      <c r="E55" s="284" t="n">
        <v>10</v>
      </c>
      <c r="F55" s="284" t="n">
        <v>16</v>
      </c>
      <c r="G55" s="285" t="s">
        <v>2027</v>
      </c>
      <c r="H55" s="281" t="n">
        <f aca="false">IF(OR($A55="",$A55="—"),"",CHOOSE(MATCH($I$1,{"Low","Mid","High"},0),D55,E55,F55))</f>
        <v>6</v>
      </c>
    </row>
    <row r="56" customFormat="false" ht="15" hidden="false" customHeight="true" outlineLevel="0" collapsed="false">
      <c r="A56" s="277" t="s">
        <v>694</v>
      </c>
      <c r="B56" s="278" t="s">
        <v>2028</v>
      </c>
      <c r="C56" s="277" t="s">
        <v>1923</v>
      </c>
      <c r="D56" s="279" t="n">
        <v>6</v>
      </c>
      <c r="E56" s="279" t="n">
        <v>10</v>
      </c>
      <c r="F56" s="279" t="n">
        <v>16</v>
      </c>
      <c r="G56" s="280" t="s">
        <v>2029</v>
      </c>
      <c r="H56" s="281" t="n">
        <f aca="false">IF(OR($A56="",$A56="—"),"",CHOOSE(MATCH($I$1,{"Low","Mid","High"},0),D56,E56,F56))</f>
        <v>6</v>
      </c>
    </row>
    <row r="57" customFormat="false" ht="15" hidden="false" customHeight="true" outlineLevel="0" collapsed="false">
      <c r="A57" s="282" t="s">
        <v>1502</v>
      </c>
      <c r="B57" s="283" t="s">
        <v>2030</v>
      </c>
      <c r="C57" s="282" t="s">
        <v>1929</v>
      </c>
      <c r="D57" s="284" t="n">
        <v>35</v>
      </c>
      <c r="E57" s="284" t="n">
        <v>65</v>
      </c>
      <c r="F57" s="284" t="n">
        <v>110</v>
      </c>
      <c r="G57" s="285" t="s">
        <v>2031</v>
      </c>
      <c r="H57" s="281" t="n">
        <f aca="false">IF(OR($A57="",$A57="—"),"",CHOOSE(MATCH($I$1,{"Low","Mid","High"},0),D57,E57,F57))</f>
        <v>35</v>
      </c>
    </row>
    <row r="58" customFormat="false" ht="15" hidden="false" customHeight="true" outlineLevel="0" collapsed="false">
      <c r="A58" s="277" t="s">
        <v>1506</v>
      </c>
      <c r="B58" s="278" t="s">
        <v>2032</v>
      </c>
      <c r="C58" s="277" t="s">
        <v>2033</v>
      </c>
      <c r="D58" s="279" t="n">
        <v>200</v>
      </c>
      <c r="E58" s="279" t="n">
        <v>350</v>
      </c>
      <c r="F58" s="279" t="n">
        <v>550</v>
      </c>
      <c r="G58" s="280" t="s">
        <v>2034</v>
      </c>
      <c r="H58" s="281" t="n">
        <f aca="false">IF(OR($A58="",$A58="—"),"",CHOOSE(MATCH($I$1,{"Low","Mid","High"},0),D58,E58,F58))</f>
        <v>200</v>
      </c>
    </row>
    <row r="59" customFormat="false" ht="15" hidden="false" customHeight="true" outlineLevel="0" collapsed="false">
      <c r="A59" s="282" t="s">
        <v>1510</v>
      </c>
      <c r="B59" s="283" t="s">
        <v>2035</v>
      </c>
      <c r="C59" s="282" t="s">
        <v>1929</v>
      </c>
      <c r="D59" s="284" t="n">
        <v>5</v>
      </c>
      <c r="E59" s="284" t="n">
        <v>10</v>
      </c>
      <c r="F59" s="284" t="n">
        <v>18</v>
      </c>
      <c r="G59" s="285" t="s">
        <v>2036</v>
      </c>
      <c r="H59" s="281" t="n">
        <f aca="false">IF(OR($A59="",$A59="—"),"",CHOOSE(MATCH($I$1,{"Low","Mid","High"},0),D59,E59,F59))</f>
        <v>5</v>
      </c>
    </row>
    <row r="60" customFormat="false" ht="15" hidden="false" customHeight="true" outlineLevel="0" collapsed="false">
      <c r="A60" s="277" t="s">
        <v>1518</v>
      </c>
      <c r="B60" s="278" t="s">
        <v>2037</v>
      </c>
      <c r="C60" s="277" t="s">
        <v>1960</v>
      </c>
      <c r="D60" s="279" t="n">
        <v>2500</v>
      </c>
      <c r="E60" s="279" t="n">
        <v>5000</v>
      </c>
      <c r="F60" s="279" t="n">
        <v>8500</v>
      </c>
      <c r="G60" s="280" t="s">
        <v>2038</v>
      </c>
      <c r="H60" s="281" t="n">
        <f aca="false">IF(OR($A60="",$A60="—"),"",CHOOSE(MATCH($I$1,{"Low","Mid","High"},0),D60,E60,F60))</f>
        <v>2500</v>
      </c>
    </row>
    <row r="61" customFormat="false" ht="15" hidden="false" customHeight="true" outlineLevel="0" collapsed="false">
      <c r="A61" s="282" t="s">
        <v>1552</v>
      </c>
      <c r="B61" s="283" t="s">
        <v>2039</v>
      </c>
      <c r="C61" s="282" t="s">
        <v>1986</v>
      </c>
      <c r="D61" s="284" t="n">
        <v>150</v>
      </c>
      <c r="E61" s="284" t="n">
        <v>300</v>
      </c>
      <c r="F61" s="284" t="n">
        <v>500</v>
      </c>
      <c r="G61" s="285" t="s">
        <v>2040</v>
      </c>
      <c r="H61" s="281" t="n">
        <f aca="false">IF(OR($A61="",$A61="—"),"",CHOOSE(MATCH($I$1,{"Low","Mid","High"},0),D61,E61,F61))</f>
        <v>150</v>
      </c>
    </row>
    <row r="62" customFormat="false" ht="15" hidden="false" customHeight="true" outlineLevel="0" collapsed="false">
      <c r="A62" s="277" t="s">
        <v>1556</v>
      </c>
      <c r="B62" s="278" t="s">
        <v>2041</v>
      </c>
      <c r="C62" s="277" t="s">
        <v>1929</v>
      </c>
      <c r="D62" s="279" t="n">
        <v>10</v>
      </c>
      <c r="E62" s="279" t="n">
        <v>18</v>
      </c>
      <c r="F62" s="279" t="n">
        <v>30</v>
      </c>
      <c r="G62" s="280" t="s">
        <v>2042</v>
      </c>
      <c r="H62" s="281" t="n">
        <f aca="false">IF(OR($A62="",$A62="—"),"",CHOOSE(MATCH($I$1,{"Low","Mid","High"},0),D62,E62,F62))</f>
        <v>10</v>
      </c>
    </row>
    <row r="63" customFormat="false" ht="15" hidden="false" customHeight="true" outlineLevel="0" collapsed="false">
      <c r="A63" s="282" t="s">
        <v>1598</v>
      </c>
      <c r="B63" s="283" t="s">
        <v>2043</v>
      </c>
      <c r="C63" s="282" t="s">
        <v>1960</v>
      </c>
      <c r="D63" s="284" t="n">
        <v>3500</v>
      </c>
      <c r="E63" s="284" t="n">
        <v>6000</v>
      </c>
      <c r="F63" s="284" t="n">
        <v>10000</v>
      </c>
      <c r="G63" s="285" t="s">
        <v>2044</v>
      </c>
      <c r="H63" s="281" t="n">
        <f aca="false">IF(OR($A63="",$A63="—"),"",CHOOSE(MATCH($I$1,{"Low","Mid","High"},0),D63,E63,F63))</f>
        <v>3500</v>
      </c>
    </row>
    <row r="64" customFormat="false" ht="15" hidden="false" customHeight="true" outlineLevel="0" collapsed="false">
      <c r="A64" s="277" t="s">
        <v>1600</v>
      </c>
      <c r="B64" s="278" t="s">
        <v>2045</v>
      </c>
      <c r="C64" s="277" t="s">
        <v>1960</v>
      </c>
      <c r="D64" s="279" t="n">
        <v>35000</v>
      </c>
      <c r="E64" s="279" t="n">
        <v>65000</v>
      </c>
      <c r="F64" s="279" t="n">
        <v>110000</v>
      </c>
      <c r="G64" s="280" t="s">
        <v>2046</v>
      </c>
      <c r="H64" s="281" t="n">
        <f aca="false">IF(OR($A64="",$A64="—"),"",CHOOSE(MATCH($I$1,{"Low","Mid","High"},0),D64,E64,F64))</f>
        <v>35000</v>
      </c>
    </row>
    <row r="65" customFormat="false" ht="15" hidden="false" customHeight="true" outlineLevel="0" collapsed="false">
      <c r="A65" s="282" t="s">
        <v>1612</v>
      </c>
      <c r="B65" s="283" t="s">
        <v>2047</v>
      </c>
      <c r="C65" s="282" t="s">
        <v>1960</v>
      </c>
      <c r="D65" s="284" t="n">
        <v>2500</v>
      </c>
      <c r="E65" s="284" t="n">
        <v>4500</v>
      </c>
      <c r="F65" s="284" t="n">
        <v>7500</v>
      </c>
      <c r="G65" s="285" t="s">
        <v>2048</v>
      </c>
      <c r="H65" s="281" t="n">
        <f aca="false">IF(OR($A65="",$A65="—"),"",CHOOSE(MATCH($I$1,{"Low","Mid","High"},0),D65,E65,F65))</f>
        <v>2500</v>
      </c>
    </row>
    <row r="66" customFormat="false" ht="15" hidden="false" customHeight="true" outlineLevel="0" collapsed="false">
      <c r="A66" s="277" t="s">
        <v>1630</v>
      </c>
      <c r="B66" s="278" t="s">
        <v>2049</v>
      </c>
      <c r="C66" s="277" t="s">
        <v>1960</v>
      </c>
      <c r="D66" s="279" t="n">
        <v>15000</v>
      </c>
      <c r="E66" s="279" t="n">
        <v>35000</v>
      </c>
      <c r="F66" s="279" t="n">
        <v>65000</v>
      </c>
      <c r="G66" s="280" t="s">
        <v>2050</v>
      </c>
      <c r="H66" s="281" t="n">
        <f aca="false">IF(OR($A66="",$A66="—"),"",CHOOSE(MATCH($I$1,{"Low","Mid","High"},0),D66,E66,F66))</f>
        <v>15000</v>
      </c>
    </row>
    <row r="67" customFormat="false" ht="15" hidden="false" customHeight="true" outlineLevel="0" collapsed="false">
      <c r="A67" s="282" t="s">
        <v>359</v>
      </c>
      <c r="B67" s="283" t="s">
        <v>360</v>
      </c>
      <c r="C67" s="282" t="s">
        <v>280</v>
      </c>
      <c r="D67" s="284" t="n">
        <v>50000</v>
      </c>
      <c r="E67" s="284" t="n">
        <v>100000</v>
      </c>
      <c r="F67" s="284" t="n">
        <v>175000</v>
      </c>
      <c r="G67" s="285" t="s">
        <v>2051</v>
      </c>
      <c r="H67" s="281" t="n">
        <f aca="false">IF(OR($A67="",$A67="—"),"",CHOOSE(MATCH($I$1,{"Low","Mid","High"},0),D67,E67,F67))</f>
        <v>50000</v>
      </c>
    </row>
    <row r="68" customFormat="false" ht="15" hidden="false" customHeight="true" outlineLevel="0" collapsed="false">
      <c r="A68" s="277" t="s">
        <v>370</v>
      </c>
      <c r="B68" s="278" t="s">
        <v>2052</v>
      </c>
      <c r="C68" s="277" t="s">
        <v>280</v>
      </c>
      <c r="D68" s="279" t="n">
        <v>75000</v>
      </c>
      <c r="E68" s="279" t="n">
        <v>150000</v>
      </c>
      <c r="F68" s="279" t="n">
        <v>275000</v>
      </c>
      <c r="G68" s="280" t="s">
        <v>2053</v>
      </c>
      <c r="H68" s="281" t="n">
        <f aca="false">IF(OR($A68="",$A68="—"),"",CHOOSE(MATCH($I$1,{"Low","Mid","High"},0),D68,E68,F68))</f>
        <v>75000</v>
      </c>
    </row>
    <row r="69" customFormat="false" ht="15" hidden="false" customHeight="true" outlineLevel="0" collapsed="false">
      <c r="A69" s="282" t="s">
        <v>320</v>
      </c>
      <c r="B69" s="283" t="s">
        <v>2054</v>
      </c>
      <c r="C69" s="282" t="s">
        <v>2055</v>
      </c>
      <c r="D69" s="284" t="n">
        <v>80000</v>
      </c>
      <c r="E69" s="284" t="n">
        <v>135000</v>
      </c>
      <c r="F69" s="284" t="n">
        <v>200000</v>
      </c>
      <c r="G69" s="285" t="s">
        <v>2056</v>
      </c>
      <c r="H69" s="281" t="n">
        <f aca="false">IF(OR($A69="",$A69="—"),"",CHOOSE(MATCH($I$1,{"Low","Mid","High"},0),D69,E69,F69))</f>
        <v>80000</v>
      </c>
    </row>
    <row r="70" customFormat="false" ht="15" hidden="false" customHeight="true" outlineLevel="0" collapsed="false">
      <c r="A70" s="277" t="s">
        <v>330</v>
      </c>
      <c r="B70" s="278" t="s">
        <v>2057</v>
      </c>
      <c r="C70" s="277" t="s">
        <v>2055</v>
      </c>
      <c r="D70" s="279" t="n">
        <v>20000</v>
      </c>
      <c r="E70" s="279" t="n">
        <v>40000</v>
      </c>
      <c r="F70" s="279" t="n">
        <v>65000</v>
      </c>
      <c r="G70" s="280" t="s">
        <v>2058</v>
      </c>
      <c r="H70" s="281" t="n">
        <f aca="false">IF(OR($A70="",$A70="—"),"",CHOOSE(MATCH($I$1,{"Low","Mid","High"},0),D70,E70,F70))</f>
        <v>20000</v>
      </c>
    </row>
    <row r="71" customFormat="false" ht="15" hidden="false" customHeight="true" outlineLevel="0" collapsed="false">
      <c r="A71" s="282" t="s">
        <v>278</v>
      </c>
      <c r="B71" s="283" t="s">
        <v>2059</v>
      </c>
      <c r="C71" s="282" t="s">
        <v>2060</v>
      </c>
      <c r="D71" s="284" t="n">
        <v>0.04</v>
      </c>
      <c r="E71" s="284" t="n">
        <v>0.06</v>
      </c>
      <c r="F71" s="284" t="n">
        <v>0.09</v>
      </c>
      <c r="G71" s="285" t="s">
        <v>2061</v>
      </c>
      <c r="H71" s="281" t="n">
        <f aca="false">IF(OR($A71="",$A71="—"),"",CHOOSE(MATCH($I$1,{"Low","Mid","High"},0),D71,E71,F71))</f>
        <v>0.04</v>
      </c>
    </row>
    <row r="72" customFormat="false" ht="15" hidden="false" customHeight="true" outlineLevel="0" collapsed="false">
      <c r="A72" s="277" t="s">
        <v>296</v>
      </c>
      <c r="B72" s="278" t="s">
        <v>2062</v>
      </c>
      <c r="C72" s="277" t="s">
        <v>280</v>
      </c>
      <c r="D72" s="279" t="n">
        <v>7500</v>
      </c>
      <c r="E72" s="279" t="n">
        <v>8625</v>
      </c>
      <c r="F72" s="279" t="n">
        <v>10125</v>
      </c>
      <c r="G72" s="280" t="s">
        <v>2063</v>
      </c>
      <c r="H72" s="281" t="n">
        <f aca="false">IF(OR($A72="",$A72="—"),"",CHOOSE(MATCH($I$1,{"Low","Mid","High"},0),D72,E72,F72))</f>
        <v>7500</v>
      </c>
    </row>
    <row r="73" customFormat="false" ht="15" hidden="false" customHeight="true" outlineLevel="0" collapsed="false">
      <c r="A73" s="282" t="s">
        <v>298</v>
      </c>
      <c r="B73" s="283" t="s">
        <v>299</v>
      </c>
      <c r="C73" s="282" t="s">
        <v>1960</v>
      </c>
      <c r="D73" s="284" t="n">
        <v>75000</v>
      </c>
      <c r="E73" s="284" t="n">
        <v>150000</v>
      </c>
      <c r="F73" s="284" t="n">
        <v>250000</v>
      </c>
      <c r="G73" s="285" t="s">
        <v>2064</v>
      </c>
      <c r="H73" s="281" t="n">
        <f aca="false">IF(OR($A73="",$A73="—"),"",CHOOSE(MATCH($I$1,{"Low","Mid","High"},0),D73,E73,F73))</f>
        <v>75000</v>
      </c>
    </row>
    <row r="74" customFormat="false" ht="15" hidden="false" customHeight="true" outlineLevel="0" collapsed="false">
      <c r="A74" s="277" t="s">
        <v>309</v>
      </c>
      <c r="B74" s="278" t="s">
        <v>2065</v>
      </c>
      <c r="C74" s="277" t="s">
        <v>2060</v>
      </c>
      <c r="D74" s="279" t="n">
        <v>0.005</v>
      </c>
      <c r="E74" s="279" t="n">
        <v>0.01</v>
      </c>
      <c r="F74" s="279" t="n">
        <v>0.02</v>
      </c>
      <c r="G74" s="280" t="s">
        <v>2066</v>
      </c>
      <c r="H74" s="281" t="n">
        <f aca="false">IF(OR($A74="",$A74="—"),"",CHOOSE(MATCH($I$1,{"Low","Mid","High"},0),D74,E74,F74))</f>
        <v>0.005</v>
      </c>
    </row>
    <row r="75" customFormat="false" ht="15" hidden="false" customHeight="true" outlineLevel="0" collapsed="false">
      <c r="A75" s="286" t="s">
        <v>85</v>
      </c>
      <c r="B75" s="287" t="s">
        <v>2067</v>
      </c>
      <c r="C75" s="286" t="s">
        <v>280</v>
      </c>
      <c r="D75" s="288" t="n">
        <v>8000000</v>
      </c>
      <c r="E75" s="288" t="n">
        <v>12000000</v>
      </c>
      <c r="F75" s="288" t="n">
        <v>18000000</v>
      </c>
      <c r="G75" s="289" t="s">
        <v>2068</v>
      </c>
      <c r="H75" s="281" t="str">
        <f aca="false">IF(OR($A75="",$A75="—"),"",CHOOSE(MATCH($I$1,{"Low","Mid","High"},0),D75,E75,F75))</f>
        <v/>
      </c>
    </row>
    <row r="76" customFormat="false" ht="15" hidden="false" customHeight="true" outlineLevel="0" collapsed="false">
      <c r="A76" s="290" t="s">
        <v>1659</v>
      </c>
      <c r="B76" s="291" t="s">
        <v>1660</v>
      </c>
      <c r="C76" s="290" t="s">
        <v>1923</v>
      </c>
      <c r="D76" s="292" t="n">
        <v>17.5</v>
      </c>
      <c r="E76" s="292" t="n">
        <v>25</v>
      </c>
      <c r="F76" s="292" t="n">
        <v>35</v>
      </c>
      <c r="G76" s="280" t="s">
        <v>2069</v>
      </c>
      <c r="H76" s="293" t="n">
        <f aca="false">IF(OR($A76="",$A76="—"),"",CHOOSE(MATCH($I$1,{"Low","Mid","High"},0),D76,E76,F76))</f>
        <v>17.5</v>
      </c>
    </row>
    <row r="77" customFormat="false" ht="15" hidden="false" customHeight="true" outlineLevel="0" collapsed="false">
      <c r="A77" s="294" t="s">
        <v>1661</v>
      </c>
      <c r="B77" s="295" t="s">
        <v>1662</v>
      </c>
      <c r="C77" s="294" t="s">
        <v>1923</v>
      </c>
      <c r="D77" s="296" t="n">
        <v>24.5</v>
      </c>
      <c r="E77" s="296" t="n">
        <v>35</v>
      </c>
      <c r="F77" s="296" t="n">
        <v>49</v>
      </c>
      <c r="G77" s="285" t="s">
        <v>2069</v>
      </c>
      <c r="H77" s="293" t="n">
        <f aca="false">IF(OR($A77="",$A77="—"),"",CHOOSE(MATCH($I$1,{"Low","Mid","High"},0),D77,E77,F77))</f>
        <v>24.5</v>
      </c>
    </row>
    <row r="78" customFormat="false" ht="15" hidden="false" customHeight="true" outlineLevel="0" collapsed="false">
      <c r="A78" s="290" t="s">
        <v>1673</v>
      </c>
      <c r="B78" s="291" t="s">
        <v>2070</v>
      </c>
      <c r="C78" s="290" t="s">
        <v>1929</v>
      </c>
      <c r="D78" s="292" t="n">
        <v>140</v>
      </c>
      <c r="E78" s="292" t="n">
        <v>200</v>
      </c>
      <c r="F78" s="292" t="n">
        <v>280</v>
      </c>
      <c r="G78" s="280" t="s">
        <v>2069</v>
      </c>
      <c r="H78" s="293" t="n">
        <f aca="false">IF(OR($A78="",$A78="—"),"",CHOOSE(MATCH($I$1,{"Low","Mid","High"},0),D78,E78,F78))</f>
        <v>140</v>
      </c>
    </row>
    <row r="79" customFormat="false" ht="15" hidden="false" customHeight="true" outlineLevel="0" collapsed="false">
      <c r="A79" s="294" t="s">
        <v>1709</v>
      </c>
      <c r="B79" s="295" t="s">
        <v>1710</v>
      </c>
      <c r="C79" s="294" t="s">
        <v>1929</v>
      </c>
      <c r="D79" s="296" t="n">
        <v>35</v>
      </c>
      <c r="E79" s="296" t="n">
        <v>50</v>
      </c>
      <c r="F79" s="296" t="n">
        <v>70</v>
      </c>
      <c r="G79" s="285" t="s">
        <v>2069</v>
      </c>
      <c r="H79" s="293" t="n">
        <f aca="false">IF(OR($A79="",$A79="—"),"",CHOOSE(MATCH($I$1,{"Low","Mid","High"},0),D79,E79,F79))</f>
        <v>35</v>
      </c>
    </row>
    <row r="80" customFormat="false" ht="15" hidden="false" customHeight="true" outlineLevel="0" collapsed="false">
      <c r="A80" s="290" t="s">
        <v>1711</v>
      </c>
      <c r="B80" s="291" t="s">
        <v>1712</v>
      </c>
      <c r="C80" s="290" t="s">
        <v>1923</v>
      </c>
      <c r="D80" s="292" t="n">
        <v>0.35</v>
      </c>
      <c r="E80" s="292" t="n">
        <v>0.5</v>
      </c>
      <c r="F80" s="292" t="n">
        <v>0.7</v>
      </c>
      <c r="G80" s="280" t="s">
        <v>2069</v>
      </c>
      <c r="H80" s="293" t="n">
        <f aca="false">IF(OR($A80="",$A80="—"),"",CHOOSE(MATCH($I$1,{"Low","Mid","High"},0),D80,E80,F80))</f>
        <v>0.35</v>
      </c>
    </row>
    <row r="81" customFormat="false" ht="15" hidden="false" customHeight="true" outlineLevel="0" collapsed="false">
      <c r="A81" s="294" t="s">
        <v>1715</v>
      </c>
      <c r="B81" s="295" t="s">
        <v>1716</v>
      </c>
      <c r="C81" s="294" t="s">
        <v>1960</v>
      </c>
      <c r="D81" s="296" t="n">
        <v>3500</v>
      </c>
      <c r="E81" s="296" t="n">
        <v>5000</v>
      </c>
      <c r="F81" s="296" t="n">
        <v>7000</v>
      </c>
      <c r="G81" s="285" t="s">
        <v>2069</v>
      </c>
      <c r="H81" s="293" t="n">
        <f aca="false">IF(OR($A81="",$A81="—"),"",CHOOSE(MATCH($I$1,{"Low","Mid","High"},0),D81,E81,F81))</f>
        <v>3500</v>
      </c>
    </row>
    <row r="82" customFormat="false" ht="15" hidden="false" customHeight="true" outlineLevel="0" collapsed="false">
      <c r="A82" s="290" t="s">
        <v>1717</v>
      </c>
      <c r="B82" s="291" t="s">
        <v>1718</v>
      </c>
      <c r="C82" s="290" t="s">
        <v>1960</v>
      </c>
      <c r="D82" s="292" t="n">
        <v>52500</v>
      </c>
      <c r="E82" s="292" t="n">
        <v>75000</v>
      </c>
      <c r="F82" s="292" t="n">
        <v>105000</v>
      </c>
      <c r="G82" s="280" t="s">
        <v>2069</v>
      </c>
      <c r="H82" s="293" t="n">
        <f aca="false">IF(OR($A82="",$A82="—"),"",CHOOSE(MATCH($I$1,{"Low","Mid","High"},0),D82,E82,F82))</f>
        <v>52500</v>
      </c>
    </row>
    <row r="83" customFormat="false" ht="15" hidden="false" customHeight="true" outlineLevel="0" collapsed="false">
      <c r="A83" s="294" t="s">
        <v>1719</v>
      </c>
      <c r="B83" s="295" t="s">
        <v>1720</v>
      </c>
      <c r="C83" s="294" t="s">
        <v>1923</v>
      </c>
      <c r="D83" s="296" t="n">
        <v>1.05</v>
      </c>
      <c r="E83" s="296" t="n">
        <v>1.5</v>
      </c>
      <c r="F83" s="296" t="n">
        <v>2.1</v>
      </c>
      <c r="G83" s="285" t="s">
        <v>2069</v>
      </c>
      <c r="H83" s="293" t="n">
        <f aca="false">IF(OR($A83="",$A83="—"),"",CHOOSE(MATCH($I$1,{"Low","Mid","High"},0),D83,E83,F83))</f>
        <v>1.05</v>
      </c>
    </row>
    <row r="84" customFormat="false" ht="15" hidden="false" customHeight="true" outlineLevel="0" collapsed="false">
      <c r="A84" s="290" t="s">
        <v>1721</v>
      </c>
      <c r="B84" s="291" t="s">
        <v>1722</v>
      </c>
      <c r="C84" s="290" t="s">
        <v>1923</v>
      </c>
      <c r="D84" s="292" t="n">
        <v>2.8</v>
      </c>
      <c r="E84" s="292" t="n">
        <v>4</v>
      </c>
      <c r="F84" s="292" t="n">
        <v>5.6</v>
      </c>
      <c r="G84" s="280" t="s">
        <v>2069</v>
      </c>
      <c r="H84" s="293" t="n">
        <f aca="false">IF(OR($A84="",$A84="—"),"",CHOOSE(MATCH($I$1,{"Low","Mid","High"},0),D84,E84,F84))</f>
        <v>2.8</v>
      </c>
    </row>
    <row r="85" customFormat="false" ht="15" hidden="false" customHeight="true" outlineLevel="0" collapsed="false">
      <c r="A85" s="294" t="s">
        <v>1743</v>
      </c>
      <c r="B85" s="295" t="s">
        <v>1744</v>
      </c>
      <c r="C85" s="294" t="s">
        <v>300</v>
      </c>
      <c r="D85" s="296" t="n">
        <v>140000</v>
      </c>
      <c r="E85" s="296" t="n">
        <v>200000</v>
      </c>
      <c r="F85" s="296" t="n">
        <v>280000</v>
      </c>
      <c r="G85" s="285" t="s">
        <v>2069</v>
      </c>
      <c r="H85" s="293" t="n">
        <f aca="false">IF(OR($A85="",$A85="—"),"",CHOOSE(MATCH($I$1,{"Low","Mid","High"},0),D85,E85,F85))</f>
        <v>140000</v>
      </c>
    </row>
    <row r="86" customFormat="false" ht="15" hidden="false" customHeight="true" outlineLevel="0" collapsed="false">
      <c r="A86" s="290" t="s">
        <v>1753</v>
      </c>
      <c r="B86" s="291" t="s">
        <v>1754</v>
      </c>
      <c r="C86" s="290" t="s">
        <v>1923</v>
      </c>
      <c r="D86" s="292" t="n">
        <v>5.6</v>
      </c>
      <c r="E86" s="292" t="n">
        <v>8</v>
      </c>
      <c r="F86" s="292" t="n">
        <v>11.2</v>
      </c>
      <c r="G86" s="280" t="s">
        <v>2069</v>
      </c>
      <c r="H86" s="293" t="n">
        <f aca="false">IF(OR($A86="",$A86="—"),"",CHOOSE(MATCH($I$1,{"Low","Mid","High"},0),D86,E86,F86))</f>
        <v>5.6</v>
      </c>
    </row>
    <row r="87" customFormat="false" ht="15" hidden="false" customHeight="true" outlineLevel="0" collapsed="false">
      <c r="A87" s="294" t="s">
        <v>1755</v>
      </c>
      <c r="B87" s="295" t="s">
        <v>1940</v>
      </c>
      <c r="C87" s="294" t="s">
        <v>1929</v>
      </c>
      <c r="D87" s="296" t="n">
        <v>105</v>
      </c>
      <c r="E87" s="296" t="n">
        <v>150</v>
      </c>
      <c r="F87" s="296" t="n">
        <v>210</v>
      </c>
      <c r="G87" s="285" t="s">
        <v>2069</v>
      </c>
      <c r="H87" s="293" t="n">
        <f aca="false">IF(OR($A87="",$A87="—"),"",CHOOSE(MATCH($I$1,{"Low","Mid","High"},0),D87,E87,F87))</f>
        <v>105</v>
      </c>
    </row>
    <row r="88" customFormat="false" ht="15" hidden="false" customHeight="true" outlineLevel="0" collapsed="false">
      <c r="A88" s="290" t="s">
        <v>1773</v>
      </c>
      <c r="B88" s="291" t="s">
        <v>2071</v>
      </c>
      <c r="C88" s="290" t="s">
        <v>1929</v>
      </c>
      <c r="D88" s="292" t="n">
        <v>140</v>
      </c>
      <c r="E88" s="292" t="n">
        <v>200</v>
      </c>
      <c r="F88" s="292" t="n">
        <v>280</v>
      </c>
      <c r="G88" s="280" t="s">
        <v>2069</v>
      </c>
      <c r="H88" s="293" t="n">
        <f aca="false">IF(OR($A88="",$A88="—"),"",CHOOSE(MATCH($I$1,{"Low","Mid","High"},0),D88,E88,F88))</f>
        <v>140</v>
      </c>
    </row>
    <row r="89" customFormat="false" ht="15" hidden="false" customHeight="true" outlineLevel="0" collapsed="false">
      <c r="A89" s="294" t="s">
        <v>1793</v>
      </c>
      <c r="B89" s="295" t="s">
        <v>2072</v>
      </c>
      <c r="C89" s="294" t="s">
        <v>1929</v>
      </c>
      <c r="D89" s="296" t="n">
        <v>350</v>
      </c>
      <c r="E89" s="296" t="n">
        <v>500</v>
      </c>
      <c r="F89" s="296" t="n">
        <v>700</v>
      </c>
      <c r="G89" s="285" t="s">
        <v>2069</v>
      </c>
      <c r="H89" s="293" t="n">
        <f aca="false">IF(OR($A89="",$A89="—"),"",CHOOSE(MATCH($I$1,{"Low","Mid","High"},0),D89,E89,F89))</f>
        <v>350</v>
      </c>
    </row>
    <row r="90" customFormat="false" ht="15" hidden="false" customHeight="true" outlineLevel="0" collapsed="false">
      <c r="A90" s="290" t="s">
        <v>1801</v>
      </c>
      <c r="B90" s="291" t="s">
        <v>1802</v>
      </c>
      <c r="C90" s="290" t="s">
        <v>1960</v>
      </c>
      <c r="D90" s="292" t="n">
        <v>17500</v>
      </c>
      <c r="E90" s="292" t="n">
        <v>25000</v>
      </c>
      <c r="F90" s="292" t="n">
        <v>35000</v>
      </c>
      <c r="G90" s="280" t="s">
        <v>2069</v>
      </c>
      <c r="H90" s="293" t="n">
        <f aca="false">IF(OR($A90="",$A90="—"),"",CHOOSE(MATCH($I$1,{"Low","Mid","High"},0),D90,E90,F90))</f>
        <v>17500</v>
      </c>
    </row>
    <row r="91" customFormat="false" ht="15" hidden="false" customHeight="true" outlineLevel="0" collapsed="false">
      <c r="A91" s="294" t="s">
        <v>1803</v>
      </c>
      <c r="B91" s="295" t="s">
        <v>1804</v>
      </c>
      <c r="C91" s="294" t="s">
        <v>1960</v>
      </c>
      <c r="D91" s="296" t="n">
        <v>3150</v>
      </c>
      <c r="E91" s="296" t="n">
        <v>4500</v>
      </c>
      <c r="F91" s="296" t="n">
        <v>6300</v>
      </c>
      <c r="G91" s="285" t="s">
        <v>2069</v>
      </c>
      <c r="H91" s="293" t="n">
        <f aca="false">IF(OR($A91="",$A91="—"),"",CHOOSE(MATCH($I$1,{"Low","Mid","High"},0),D91,E91,F91))</f>
        <v>3150</v>
      </c>
    </row>
    <row r="92" customFormat="false" ht="15" hidden="false" customHeight="true" outlineLevel="0" collapsed="false">
      <c r="A92" s="290" t="s">
        <v>1805</v>
      </c>
      <c r="B92" s="291" t="s">
        <v>1806</v>
      </c>
      <c r="C92" s="290" t="s">
        <v>300</v>
      </c>
      <c r="D92" s="292" t="n">
        <v>175000</v>
      </c>
      <c r="E92" s="292" t="n">
        <v>250000</v>
      </c>
      <c r="F92" s="292" t="n">
        <v>350000</v>
      </c>
      <c r="G92" s="280" t="s">
        <v>2069</v>
      </c>
      <c r="H92" s="293" t="n">
        <f aca="false">IF(OR($A92="",$A92="—"),"",CHOOSE(MATCH($I$1,{"Low","Mid","High"},0),D92,E92,F92))</f>
        <v>175000</v>
      </c>
    </row>
    <row r="93" customFormat="false" ht="15" hidden="false" customHeight="true" outlineLevel="0" collapsed="false">
      <c r="A93" s="294" t="s">
        <v>420</v>
      </c>
      <c r="B93" s="295" t="s">
        <v>421</v>
      </c>
      <c r="C93" s="294" t="s">
        <v>1923</v>
      </c>
      <c r="D93" s="296" t="n">
        <v>2.8</v>
      </c>
      <c r="E93" s="296" t="n">
        <v>4</v>
      </c>
      <c r="F93" s="296" t="n">
        <v>5.6</v>
      </c>
      <c r="G93" s="285" t="s">
        <v>2069</v>
      </c>
      <c r="H93" s="293" t="n">
        <f aca="false">IF(OR($A93="",$A93="—"),"",CHOOSE(MATCH($I$1,{"Low","Mid","High"},0),D93,E93,F93))</f>
        <v>2.8</v>
      </c>
    </row>
    <row r="94" customFormat="false" ht="15" hidden="false" customHeight="true" outlineLevel="0" collapsed="false">
      <c r="A94" s="290" t="s">
        <v>432</v>
      </c>
      <c r="B94" s="291" t="s">
        <v>433</v>
      </c>
      <c r="C94" s="290" t="s">
        <v>1923</v>
      </c>
      <c r="D94" s="292" t="n">
        <v>21</v>
      </c>
      <c r="E94" s="292" t="n">
        <v>30</v>
      </c>
      <c r="F94" s="292" t="n">
        <v>42</v>
      </c>
      <c r="G94" s="280" t="s">
        <v>2069</v>
      </c>
      <c r="H94" s="293" t="n">
        <f aca="false">IF(OR($A94="",$A94="—"),"",CHOOSE(MATCH($I$1,{"Low","Mid","High"},0),D94,E94,F94))</f>
        <v>21</v>
      </c>
    </row>
    <row r="95" customFormat="false" ht="15" hidden="false" customHeight="true" outlineLevel="0" collapsed="false">
      <c r="A95" s="294" t="s">
        <v>434</v>
      </c>
      <c r="B95" s="295" t="s">
        <v>435</v>
      </c>
      <c r="C95" s="294" t="s">
        <v>1923</v>
      </c>
      <c r="D95" s="296" t="n">
        <v>0.35</v>
      </c>
      <c r="E95" s="296" t="n">
        <v>0.5</v>
      </c>
      <c r="F95" s="296" t="n">
        <v>0.7</v>
      </c>
      <c r="G95" s="285" t="s">
        <v>2069</v>
      </c>
      <c r="H95" s="293" t="n">
        <f aca="false">IF(OR($A95="",$A95="—"),"",CHOOSE(MATCH($I$1,{"Low","Mid","High"},0),D95,E95,F95))</f>
        <v>0.35</v>
      </c>
    </row>
    <row r="96" customFormat="false" ht="15" hidden="false" customHeight="true" outlineLevel="0" collapsed="false">
      <c r="A96" s="290" t="s">
        <v>494</v>
      </c>
      <c r="B96" s="291" t="s">
        <v>495</v>
      </c>
      <c r="C96" s="290" t="s">
        <v>1952</v>
      </c>
      <c r="D96" s="292" t="n">
        <v>3850</v>
      </c>
      <c r="E96" s="292" t="n">
        <v>5500</v>
      </c>
      <c r="F96" s="292" t="n">
        <v>7700</v>
      </c>
      <c r="G96" s="280" t="s">
        <v>2069</v>
      </c>
      <c r="H96" s="293" t="n">
        <f aca="false">IF(OR($A96="",$A96="—"),"",CHOOSE(MATCH($I$1,{"Low","Mid","High"},0),D96,E96,F96))</f>
        <v>3850</v>
      </c>
    </row>
    <row r="97" customFormat="false" ht="15" hidden="false" customHeight="true" outlineLevel="0" collapsed="false">
      <c r="A97" s="294" t="s">
        <v>496</v>
      </c>
      <c r="B97" s="295" t="s">
        <v>2073</v>
      </c>
      <c r="C97" s="294" t="s">
        <v>1952</v>
      </c>
      <c r="D97" s="296" t="n">
        <v>3850</v>
      </c>
      <c r="E97" s="296" t="n">
        <v>5500</v>
      </c>
      <c r="F97" s="296" t="n">
        <v>7700</v>
      </c>
      <c r="G97" s="285" t="s">
        <v>2069</v>
      </c>
      <c r="H97" s="293" t="n">
        <f aca="false">IF(OR($A97="",$A97="—"),"",CHOOSE(MATCH($I$1,{"Low","Mid","High"},0),D97,E97,F97))</f>
        <v>3850</v>
      </c>
    </row>
    <row r="98" customFormat="false" ht="15" hidden="false" customHeight="true" outlineLevel="0" collapsed="false">
      <c r="A98" s="290" t="s">
        <v>504</v>
      </c>
      <c r="B98" s="291" t="s">
        <v>2074</v>
      </c>
      <c r="C98" s="290" t="s">
        <v>1923</v>
      </c>
      <c r="D98" s="292" t="n">
        <v>4.2</v>
      </c>
      <c r="E98" s="292" t="n">
        <v>6</v>
      </c>
      <c r="F98" s="292" t="n">
        <v>8.4</v>
      </c>
      <c r="G98" s="280" t="s">
        <v>2069</v>
      </c>
      <c r="H98" s="293" t="n">
        <f aca="false">IF(OR($A98="",$A98="—"),"",CHOOSE(MATCH($I$1,{"Low","Mid","High"},0),D98,E98,F98))</f>
        <v>4.2</v>
      </c>
    </row>
    <row r="99" customFormat="false" ht="15" hidden="false" customHeight="true" outlineLevel="0" collapsed="false">
      <c r="A99" s="294" t="s">
        <v>522</v>
      </c>
      <c r="B99" s="295" t="s">
        <v>2075</v>
      </c>
      <c r="C99" s="294" t="s">
        <v>1923</v>
      </c>
      <c r="D99" s="296" t="n">
        <v>8.4</v>
      </c>
      <c r="E99" s="296" t="n">
        <v>12</v>
      </c>
      <c r="F99" s="296" t="n">
        <v>16.8</v>
      </c>
      <c r="G99" s="285" t="s">
        <v>2069</v>
      </c>
      <c r="H99" s="293" t="n">
        <f aca="false">IF(OR($A99="",$A99="—"),"",CHOOSE(MATCH($I$1,{"Low","Mid","High"},0),D99,E99,F99))</f>
        <v>8.4</v>
      </c>
    </row>
    <row r="100" customFormat="false" ht="15" hidden="false" customHeight="true" outlineLevel="0" collapsed="false">
      <c r="A100" s="290" t="s">
        <v>530</v>
      </c>
      <c r="B100" s="291" t="s">
        <v>531</v>
      </c>
      <c r="C100" s="290" t="s">
        <v>1923</v>
      </c>
      <c r="D100" s="292" t="n">
        <v>1.4</v>
      </c>
      <c r="E100" s="292" t="n">
        <v>2</v>
      </c>
      <c r="F100" s="292" t="n">
        <v>2.8</v>
      </c>
      <c r="G100" s="280" t="s">
        <v>2069</v>
      </c>
      <c r="H100" s="293" t="n">
        <f aca="false">IF(OR($A100="",$A100="—"),"",CHOOSE(MATCH($I$1,{"Low","Mid","High"},0),D100,E100,F100))</f>
        <v>1.4</v>
      </c>
    </row>
    <row r="101" customFormat="false" ht="15" hidden="false" customHeight="true" outlineLevel="0" collapsed="false">
      <c r="A101" s="294" t="s">
        <v>532</v>
      </c>
      <c r="B101" s="295" t="s">
        <v>533</v>
      </c>
      <c r="C101" s="294" t="s">
        <v>1960</v>
      </c>
      <c r="D101" s="296" t="n">
        <v>52500</v>
      </c>
      <c r="E101" s="296" t="n">
        <v>75000</v>
      </c>
      <c r="F101" s="296" t="n">
        <v>105000</v>
      </c>
      <c r="G101" s="285" t="s">
        <v>2069</v>
      </c>
      <c r="H101" s="293" t="n">
        <f aca="false">IF(OR($A101="",$A101="—"),"",CHOOSE(MATCH($I$1,{"Low","Mid","High"},0),D101,E101,F101))</f>
        <v>52500</v>
      </c>
    </row>
    <row r="102" customFormat="false" ht="15" hidden="false" customHeight="true" outlineLevel="0" collapsed="false">
      <c r="A102" s="290" t="s">
        <v>534</v>
      </c>
      <c r="B102" s="291" t="s">
        <v>2076</v>
      </c>
      <c r="C102" s="290" t="s">
        <v>1960</v>
      </c>
      <c r="D102" s="292" t="n">
        <v>5600</v>
      </c>
      <c r="E102" s="292" t="n">
        <v>8000</v>
      </c>
      <c r="F102" s="292" t="n">
        <v>11200</v>
      </c>
      <c r="G102" s="280" t="s">
        <v>2069</v>
      </c>
      <c r="H102" s="293" t="n">
        <f aca="false">IF(OR($A102="",$A102="—"),"",CHOOSE(MATCH($I$1,{"Low","Mid","High"},0),D102,E102,F102))</f>
        <v>5600</v>
      </c>
    </row>
    <row r="103" customFormat="false" ht="15" hidden="false" customHeight="true" outlineLevel="0" collapsed="false">
      <c r="A103" s="294" t="s">
        <v>542</v>
      </c>
      <c r="B103" s="295" t="s">
        <v>543</v>
      </c>
      <c r="C103" s="294" t="s">
        <v>1929</v>
      </c>
      <c r="D103" s="296" t="n">
        <v>17.5</v>
      </c>
      <c r="E103" s="296" t="n">
        <v>25</v>
      </c>
      <c r="F103" s="296" t="n">
        <v>35</v>
      </c>
      <c r="G103" s="285" t="s">
        <v>2069</v>
      </c>
      <c r="H103" s="293" t="n">
        <f aca="false">IF(OR($A103="",$A103="—"),"",CHOOSE(MATCH($I$1,{"Low","Mid","High"},0),D103,E103,F103))</f>
        <v>17.5</v>
      </c>
    </row>
    <row r="104" customFormat="false" ht="15" hidden="false" customHeight="true" outlineLevel="0" collapsed="false">
      <c r="A104" s="290" t="s">
        <v>572</v>
      </c>
      <c r="B104" s="291" t="s">
        <v>573</v>
      </c>
      <c r="C104" s="290" t="s">
        <v>1923</v>
      </c>
      <c r="D104" s="292" t="n">
        <v>2.8</v>
      </c>
      <c r="E104" s="292" t="n">
        <v>4</v>
      </c>
      <c r="F104" s="292" t="n">
        <v>5.6</v>
      </c>
      <c r="G104" s="280" t="s">
        <v>2069</v>
      </c>
      <c r="H104" s="293" t="n">
        <f aca="false">IF(OR($A104="",$A104="—"),"",CHOOSE(MATCH($I$1,{"Low","Mid","High"},0),D104,E104,F104))</f>
        <v>2.8</v>
      </c>
    </row>
    <row r="105" customFormat="false" ht="15" hidden="false" customHeight="true" outlineLevel="0" collapsed="false">
      <c r="A105" s="294" t="s">
        <v>574</v>
      </c>
      <c r="B105" s="295" t="s">
        <v>575</v>
      </c>
      <c r="C105" s="294" t="s">
        <v>1923</v>
      </c>
      <c r="D105" s="296" t="n">
        <v>8.4</v>
      </c>
      <c r="E105" s="296" t="n">
        <v>12</v>
      </c>
      <c r="F105" s="296" t="n">
        <v>16.8</v>
      </c>
      <c r="G105" s="285" t="s">
        <v>2069</v>
      </c>
      <c r="H105" s="293" t="n">
        <f aca="false">IF(OR($A105="",$A105="—"),"",CHOOSE(MATCH($I$1,{"Low","Mid","High"},0),D105,E105,F105))</f>
        <v>8.4</v>
      </c>
    </row>
    <row r="106" customFormat="false" ht="15" hidden="false" customHeight="true" outlineLevel="0" collapsed="false">
      <c r="A106" s="290" t="s">
        <v>576</v>
      </c>
      <c r="B106" s="291" t="s">
        <v>2077</v>
      </c>
      <c r="C106" s="290" t="s">
        <v>1923</v>
      </c>
      <c r="D106" s="292" t="n">
        <v>4.2</v>
      </c>
      <c r="E106" s="292" t="n">
        <v>6</v>
      </c>
      <c r="F106" s="292" t="n">
        <v>8.4</v>
      </c>
      <c r="G106" s="280" t="s">
        <v>2069</v>
      </c>
      <c r="H106" s="293" t="n">
        <f aca="false">IF(OR($A106="",$A106="—"),"",CHOOSE(MATCH($I$1,{"Low","Mid","High"},0),D106,E106,F106))</f>
        <v>4.2</v>
      </c>
    </row>
    <row r="107" customFormat="false" ht="15" hidden="false" customHeight="true" outlineLevel="0" collapsed="false">
      <c r="A107" s="294" t="s">
        <v>584</v>
      </c>
      <c r="B107" s="295" t="s">
        <v>2078</v>
      </c>
      <c r="C107" s="294" t="s">
        <v>1923</v>
      </c>
      <c r="D107" s="296" t="n">
        <v>2.8</v>
      </c>
      <c r="E107" s="296" t="n">
        <v>4</v>
      </c>
      <c r="F107" s="296" t="n">
        <v>5.6</v>
      </c>
      <c r="G107" s="285" t="s">
        <v>2069</v>
      </c>
      <c r="H107" s="293" t="n">
        <f aca="false">IF(OR($A107="",$A107="—"),"",CHOOSE(MATCH($I$1,{"Low","Mid","High"},0),D107,E107,F107))</f>
        <v>2.8</v>
      </c>
    </row>
    <row r="108" customFormat="false" ht="15" hidden="false" customHeight="true" outlineLevel="0" collapsed="false">
      <c r="A108" s="290" t="s">
        <v>600</v>
      </c>
      <c r="B108" s="291" t="s">
        <v>601</v>
      </c>
      <c r="C108" s="290" t="s">
        <v>1923</v>
      </c>
      <c r="D108" s="292" t="n">
        <v>17.5</v>
      </c>
      <c r="E108" s="292" t="n">
        <v>25</v>
      </c>
      <c r="F108" s="292" t="n">
        <v>35</v>
      </c>
      <c r="G108" s="280" t="s">
        <v>2069</v>
      </c>
      <c r="H108" s="293" t="n">
        <f aca="false">IF(OR($A108="",$A108="—"),"",CHOOSE(MATCH($I$1,{"Low","Mid","High"},0),D108,E108,F108))</f>
        <v>17.5</v>
      </c>
    </row>
    <row r="109" customFormat="false" ht="15" hidden="false" customHeight="true" outlineLevel="0" collapsed="false">
      <c r="A109" s="294" t="s">
        <v>602</v>
      </c>
      <c r="B109" s="295" t="s">
        <v>603</v>
      </c>
      <c r="C109" s="294" t="s">
        <v>1923</v>
      </c>
      <c r="D109" s="296" t="n">
        <v>9.8</v>
      </c>
      <c r="E109" s="296" t="n">
        <v>14</v>
      </c>
      <c r="F109" s="296" t="n">
        <v>19.6</v>
      </c>
      <c r="G109" s="285" t="s">
        <v>2069</v>
      </c>
      <c r="H109" s="293" t="n">
        <f aca="false">IF(OR($A109="",$A109="—"),"",CHOOSE(MATCH($I$1,{"Low","Mid","High"},0),D109,E109,F109))</f>
        <v>9.8</v>
      </c>
    </row>
    <row r="110" customFormat="false" ht="15" hidden="false" customHeight="true" outlineLevel="0" collapsed="false">
      <c r="A110" s="290" t="s">
        <v>612</v>
      </c>
      <c r="B110" s="291" t="s">
        <v>613</v>
      </c>
      <c r="C110" s="290" t="s">
        <v>1923</v>
      </c>
      <c r="D110" s="292" t="n">
        <v>1.05</v>
      </c>
      <c r="E110" s="292" t="n">
        <v>1.5</v>
      </c>
      <c r="F110" s="292" t="n">
        <v>2.1</v>
      </c>
      <c r="G110" s="280" t="s">
        <v>2069</v>
      </c>
      <c r="H110" s="293" t="n">
        <f aca="false">IF(OR($A110="",$A110="—"),"",CHOOSE(MATCH($I$1,{"Low","Mid","High"},0),D110,E110,F110))</f>
        <v>1.05</v>
      </c>
    </row>
    <row r="111" customFormat="false" ht="15" hidden="false" customHeight="true" outlineLevel="0" collapsed="false">
      <c r="A111" s="294" t="s">
        <v>614</v>
      </c>
      <c r="B111" s="295" t="s">
        <v>615</v>
      </c>
      <c r="C111" s="294" t="s">
        <v>1960</v>
      </c>
      <c r="D111" s="296" t="n">
        <v>2800</v>
      </c>
      <c r="E111" s="296" t="n">
        <v>4000</v>
      </c>
      <c r="F111" s="296" t="n">
        <v>5600</v>
      </c>
      <c r="G111" s="285" t="s">
        <v>2069</v>
      </c>
      <c r="H111" s="293" t="n">
        <f aca="false">IF(OR($A111="",$A111="—"),"",CHOOSE(MATCH($I$1,{"Low","Mid","High"},0),D111,E111,F111))</f>
        <v>2800</v>
      </c>
    </row>
    <row r="112" customFormat="false" ht="15" hidden="false" customHeight="true" outlineLevel="0" collapsed="false">
      <c r="A112" s="290" t="s">
        <v>616</v>
      </c>
      <c r="B112" s="291" t="s">
        <v>617</v>
      </c>
      <c r="C112" s="290" t="s">
        <v>1923</v>
      </c>
      <c r="D112" s="292" t="n">
        <v>0.35</v>
      </c>
      <c r="E112" s="292" t="n">
        <v>0.5</v>
      </c>
      <c r="F112" s="292" t="n">
        <v>0.7</v>
      </c>
      <c r="G112" s="280" t="s">
        <v>2069</v>
      </c>
      <c r="H112" s="293" t="n">
        <f aca="false">IF(OR($A112="",$A112="—"),"",CHOOSE(MATCH($I$1,{"Low","Mid","High"},0),D112,E112,F112))</f>
        <v>0.35</v>
      </c>
    </row>
    <row r="113" customFormat="false" ht="15" hidden="false" customHeight="true" outlineLevel="0" collapsed="false">
      <c r="A113" s="294" t="s">
        <v>618</v>
      </c>
      <c r="B113" s="295" t="s">
        <v>2079</v>
      </c>
      <c r="C113" s="294" t="s">
        <v>1952</v>
      </c>
      <c r="D113" s="296" t="n">
        <v>2450</v>
      </c>
      <c r="E113" s="296" t="n">
        <v>3500</v>
      </c>
      <c r="F113" s="296" t="n">
        <v>4900</v>
      </c>
      <c r="G113" s="285" t="s">
        <v>2069</v>
      </c>
      <c r="H113" s="293" t="n">
        <f aca="false">IF(OR($A113="",$A113="—"),"",CHOOSE(MATCH($I$1,{"Low","Mid","High"},0),D113,E113,F113))</f>
        <v>2450</v>
      </c>
    </row>
    <row r="114" customFormat="false" ht="15" hidden="false" customHeight="true" outlineLevel="0" collapsed="false">
      <c r="A114" s="290" t="s">
        <v>628</v>
      </c>
      <c r="B114" s="291" t="s">
        <v>629</v>
      </c>
      <c r="C114" s="290" t="s">
        <v>1923</v>
      </c>
      <c r="D114" s="292" t="n">
        <v>0.35</v>
      </c>
      <c r="E114" s="292" t="n">
        <v>0.5</v>
      </c>
      <c r="F114" s="292" t="n">
        <v>0.7</v>
      </c>
      <c r="G114" s="280" t="s">
        <v>2069</v>
      </c>
      <c r="H114" s="293" t="n">
        <f aca="false">IF(OR($A114="",$A114="—"),"",CHOOSE(MATCH($I$1,{"Low","Mid","High"},0),D114,E114,F114))</f>
        <v>0.35</v>
      </c>
    </row>
    <row r="115" customFormat="false" ht="15" hidden="false" customHeight="true" outlineLevel="0" collapsed="false">
      <c r="A115" s="294" t="s">
        <v>909</v>
      </c>
      <c r="B115" s="295" t="s">
        <v>910</v>
      </c>
      <c r="C115" s="294" t="s">
        <v>1963</v>
      </c>
      <c r="D115" s="296" t="n">
        <v>3850</v>
      </c>
      <c r="E115" s="296" t="n">
        <v>5500</v>
      </c>
      <c r="F115" s="296" t="n">
        <v>7700</v>
      </c>
      <c r="G115" s="285" t="s">
        <v>2069</v>
      </c>
      <c r="H115" s="293" t="n">
        <f aca="false">IF(OR($A115="",$A115="—"),"",CHOOSE(MATCH($I$1,{"Low","Mid","High"},0),D115,E115,F115))</f>
        <v>3850</v>
      </c>
    </row>
    <row r="116" customFormat="false" ht="15" hidden="false" customHeight="true" outlineLevel="0" collapsed="false">
      <c r="A116" s="290" t="s">
        <v>911</v>
      </c>
      <c r="B116" s="291" t="s">
        <v>912</v>
      </c>
      <c r="C116" s="290" t="s">
        <v>1963</v>
      </c>
      <c r="D116" s="292" t="n">
        <v>2800</v>
      </c>
      <c r="E116" s="292" t="n">
        <v>4000</v>
      </c>
      <c r="F116" s="292" t="n">
        <v>5600</v>
      </c>
      <c r="G116" s="280" t="s">
        <v>2069</v>
      </c>
      <c r="H116" s="293" t="n">
        <f aca="false">IF(OR($A116="",$A116="—"),"",CHOOSE(MATCH($I$1,{"Low","Mid","High"},0),D116,E116,F116))</f>
        <v>2800</v>
      </c>
    </row>
    <row r="117" customFormat="false" ht="15" hidden="false" customHeight="true" outlineLevel="0" collapsed="false">
      <c r="A117" s="294" t="s">
        <v>913</v>
      </c>
      <c r="B117" s="295" t="s">
        <v>914</v>
      </c>
      <c r="C117" s="294" t="s">
        <v>1923</v>
      </c>
      <c r="D117" s="296" t="n">
        <v>0.84</v>
      </c>
      <c r="E117" s="296" t="n">
        <v>1.2</v>
      </c>
      <c r="F117" s="296" t="n">
        <v>1.68</v>
      </c>
      <c r="G117" s="285" t="s">
        <v>2069</v>
      </c>
      <c r="H117" s="293" t="n">
        <f aca="false">IF(OR($A117="",$A117="—"),"",CHOOSE(MATCH($I$1,{"Low","Mid","High"},0),D117,E117,F117))</f>
        <v>0.84</v>
      </c>
    </row>
    <row r="118" customFormat="false" ht="15" hidden="false" customHeight="true" outlineLevel="0" collapsed="false">
      <c r="A118" s="290" t="s">
        <v>925</v>
      </c>
      <c r="B118" s="291" t="s">
        <v>926</v>
      </c>
      <c r="C118" s="290" t="s">
        <v>1966</v>
      </c>
      <c r="D118" s="292" t="n">
        <v>140</v>
      </c>
      <c r="E118" s="292" t="n">
        <v>200</v>
      </c>
      <c r="F118" s="292" t="n">
        <v>280</v>
      </c>
      <c r="G118" s="280" t="s">
        <v>2069</v>
      </c>
      <c r="H118" s="293" t="n">
        <f aca="false">IF(OR($A118="",$A118="—"),"",CHOOSE(MATCH($I$1,{"Low","Mid","High"},0),D118,E118,F118))</f>
        <v>140</v>
      </c>
    </row>
    <row r="119" customFormat="false" ht="15" hidden="false" customHeight="true" outlineLevel="0" collapsed="false">
      <c r="A119" s="294" t="s">
        <v>927</v>
      </c>
      <c r="B119" s="295" t="s">
        <v>928</v>
      </c>
      <c r="C119" s="294" t="s">
        <v>1960</v>
      </c>
      <c r="D119" s="296" t="n">
        <v>3150</v>
      </c>
      <c r="E119" s="296" t="n">
        <v>4500</v>
      </c>
      <c r="F119" s="296" t="n">
        <v>6300</v>
      </c>
      <c r="G119" s="285" t="s">
        <v>2069</v>
      </c>
      <c r="H119" s="293" t="n">
        <f aca="false">IF(OR($A119="",$A119="—"),"",CHOOSE(MATCH($I$1,{"Low","Mid","High"},0),D119,E119,F119))</f>
        <v>3150</v>
      </c>
    </row>
    <row r="120" customFormat="false" ht="15" hidden="false" customHeight="true" outlineLevel="0" collapsed="false">
      <c r="A120" s="290" t="s">
        <v>931</v>
      </c>
      <c r="B120" s="291" t="s">
        <v>932</v>
      </c>
      <c r="C120" s="290" t="s">
        <v>1960</v>
      </c>
      <c r="D120" s="292" t="n">
        <v>17500</v>
      </c>
      <c r="E120" s="292" t="n">
        <v>25000</v>
      </c>
      <c r="F120" s="292" t="n">
        <v>35000</v>
      </c>
      <c r="G120" s="280" t="s">
        <v>2069</v>
      </c>
      <c r="H120" s="293" t="n">
        <f aca="false">IF(OR($A120="",$A120="—"),"",CHOOSE(MATCH($I$1,{"Low","Mid","High"},0),D120,E120,F120))</f>
        <v>17500</v>
      </c>
    </row>
    <row r="121" customFormat="false" ht="15" hidden="false" customHeight="true" outlineLevel="0" collapsed="false">
      <c r="A121" s="294" t="s">
        <v>933</v>
      </c>
      <c r="B121" s="295" t="s">
        <v>934</v>
      </c>
      <c r="C121" s="294" t="s">
        <v>1929</v>
      </c>
      <c r="D121" s="296" t="n">
        <v>45.5</v>
      </c>
      <c r="E121" s="296" t="n">
        <v>65</v>
      </c>
      <c r="F121" s="296" t="n">
        <v>91</v>
      </c>
      <c r="G121" s="285" t="s">
        <v>2069</v>
      </c>
      <c r="H121" s="293" t="n">
        <f aca="false">IF(OR($A121="",$A121="—"),"",CHOOSE(MATCH($I$1,{"Low","Mid","High"},0),D121,E121,F121))</f>
        <v>45.5</v>
      </c>
    </row>
    <row r="122" customFormat="false" ht="15" hidden="false" customHeight="true" outlineLevel="0" collapsed="false">
      <c r="A122" s="290" t="s">
        <v>935</v>
      </c>
      <c r="B122" s="291" t="s">
        <v>936</v>
      </c>
      <c r="C122" s="290" t="s">
        <v>1929</v>
      </c>
      <c r="D122" s="292" t="n">
        <v>59.5</v>
      </c>
      <c r="E122" s="292" t="n">
        <v>85</v>
      </c>
      <c r="F122" s="292" t="n">
        <v>119</v>
      </c>
      <c r="G122" s="280" t="s">
        <v>2069</v>
      </c>
      <c r="H122" s="293" t="n">
        <f aca="false">IF(OR($A122="",$A122="—"),"",CHOOSE(MATCH($I$1,{"Low","Mid","High"},0),D122,E122,F122))</f>
        <v>59.5</v>
      </c>
    </row>
    <row r="123" customFormat="false" ht="15" hidden="false" customHeight="true" outlineLevel="0" collapsed="false">
      <c r="A123" s="294" t="s">
        <v>937</v>
      </c>
      <c r="B123" s="295" t="s">
        <v>938</v>
      </c>
      <c r="C123" s="294" t="s">
        <v>1960</v>
      </c>
      <c r="D123" s="296" t="n">
        <v>8400</v>
      </c>
      <c r="E123" s="296" t="n">
        <v>12000</v>
      </c>
      <c r="F123" s="296" t="n">
        <v>16800</v>
      </c>
      <c r="G123" s="285" t="s">
        <v>2069</v>
      </c>
      <c r="H123" s="293" t="n">
        <f aca="false">IF(OR($A123="",$A123="—"),"",CHOOSE(MATCH($I$1,{"Low","Mid","High"},0),D123,E123,F123))</f>
        <v>8400</v>
      </c>
    </row>
    <row r="124" customFormat="false" ht="15" hidden="false" customHeight="true" outlineLevel="0" collapsed="false">
      <c r="A124" s="290" t="s">
        <v>843</v>
      </c>
      <c r="B124" s="291" t="s">
        <v>844</v>
      </c>
      <c r="C124" s="290" t="s">
        <v>1923</v>
      </c>
      <c r="D124" s="292" t="n">
        <v>0.35</v>
      </c>
      <c r="E124" s="292" t="n">
        <v>0.5</v>
      </c>
      <c r="F124" s="292" t="n">
        <v>0.7</v>
      </c>
      <c r="G124" s="280" t="s">
        <v>2069</v>
      </c>
      <c r="H124" s="293" t="n">
        <f aca="false">IF(OR($A124="",$A124="—"),"",CHOOSE(MATCH($I$1,{"Low","Mid","High"},0),D124,E124,F124))</f>
        <v>0.35</v>
      </c>
    </row>
    <row r="125" customFormat="false" ht="15" hidden="false" customHeight="true" outlineLevel="0" collapsed="false">
      <c r="A125" s="294" t="s">
        <v>845</v>
      </c>
      <c r="B125" s="295" t="s">
        <v>846</v>
      </c>
      <c r="C125" s="294" t="s">
        <v>1923</v>
      </c>
      <c r="D125" s="296" t="n">
        <v>3.5</v>
      </c>
      <c r="E125" s="296" t="n">
        <v>5</v>
      </c>
      <c r="F125" s="296" t="n">
        <v>7</v>
      </c>
      <c r="G125" s="285" t="s">
        <v>2069</v>
      </c>
      <c r="H125" s="293" t="n">
        <f aca="false">IF(OR($A125="",$A125="—"),"",CHOOSE(MATCH($I$1,{"Low","Mid","High"},0),D125,E125,F125))</f>
        <v>3.5</v>
      </c>
    </row>
    <row r="126" customFormat="false" ht="15" hidden="false" customHeight="true" outlineLevel="0" collapsed="false">
      <c r="A126" s="290" t="s">
        <v>847</v>
      </c>
      <c r="B126" s="291" t="s">
        <v>848</v>
      </c>
      <c r="C126" s="290" t="s">
        <v>1923</v>
      </c>
      <c r="D126" s="292" t="n">
        <v>5.6</v>
      </c>
      <c r="E126" s="292" t="n">
        <v>8</v>
      </c>
      <c r="F126" s="292" t="n">
        <v>11.2</v>
      </c>
      <c r="G126" s="280" t="s">
        <v>2069</v>
      </c>
      <c r="H126" s="293" t="n">
        <f aca="false">IF(OR($A126="",$A126="—"),"",CHOOSE(MATCH($I$1,{"Low","Mid","High"},0),D126,E126,F126))</f>
        <v>5.6</v>
      </c>
    </row>
    <row r="127" customFormat="false" ht="15" hidden="false" customHeight="true" outlineLevel="0" collapsed="false">
      <c r="A127" s="294" t="s">
        <v>885</v>
      </c>
      <c r="B127" s="295" t="s">
        <v>886</v>
      </c>
      <c r="C127" s="294" t="s">
        <v>1960</v>
      </c>
      <c r="D127" s="296" t="n">
        <v>24500</v>
      </c>
      <c r="E127" s="296" t="n">
        <v>35000</v>
      </c>
      <c r="F127" s="296" t="n">
        <v>49000</v>
      </c>
      <c r="G127" s="285" t="s">
        <v>2069</v>
      </c>
      <c r="H127" s="293" t="n">
        <f aca="false">IF(OR($A127="",$A127="—"),"",CHOOSE(MATCH($I$1,{"Low","Mid","High"},0),D127,E127,F127))</f>
        <v>24500</v>
      </c>
    </row>
    <row r="128" customFormat="false" ht="15" hidden="false" customHeight="true" outlineLevel="0" collapsed="false">
      <c r="A128" s="290" t="s">
        <v>887</v>
      </c>
      <c r="B128" s="291" t="s">
        <v>888</v>
      </c>
      <c r="C128" s="290" t="s">
        <v>1923</v>
      </c>
      <c r="D128" s="292" t="n">
        <v>5.6</v>
      </c>
      <c r="E128" s="292" t="n">
        <v>8</v>
      </c>
      <c r="F128" s="292" t="n">
        <v>11.2</v>
      </c>
      <c r="G128" s="280" t="s">
        <v>2069</v>
      </c>
      <c r="H128" s="293" t="n">
        <f aca="false">IF(OR($A128="",$A128="—"),"",CHOOSE(MATCH($I$1,{"Low","Mid","High"},0),D128,E128,F128))</f>
        <v>5.6</v>
      </c>
    </row>
    <row r="129" customFormat="false" ht="15" hidden="false" customHeight="true" outlineLevel="0" collapsed="false">
      <c r="A129" s="294" t="s">
        <v>889</v>
      </c>
      <c r="B129" s="295" t="s">
        <v>890</v>
      </c>
      <c r="C129" s="294" t="s">
        <v>1960</v>
      </c>
      <c r="D129" s="296" t="n">
        <v>52500</v>
      </c>
      <c r="E129" s="296" t="n">
        <v>75000</v>
      </c>
      <c r="F129" s="296" t="n">
        <v>105000</v>
      </c>
      <c r="G129" s="285" t="s">
        <v>2069</v>
      </c>
      <c r="H129" s="293" t="n">
        <f aca="false">IF(OR($A129="",$A129="—"),"",CHOOSE(MATCH($I$1,{"Low","Mid","High"},0),D129,E129,F129))</f>
        <v>52500</v>
      </c>
    </row>
    <row r="130" customFormat="false" ht="15" hidden="false" customHeight="true" outlineLevel="0" collapsed="false">
      <c r="A130" s="290" t="s">
        <v>893</v>
      </c>
      <c r="B130" s="291" t="s">
        <v>894</v>
      </c>
      <c r="C130" s="290" t="s">
        <v>1960</v>
      </c>
      <c r="D130" s="292" t="n">
        <v>175000</v>
      </c>
      <c r="E130" s="292" t="n">
        <v>250000</v>
      </c>
      <c r="F130" s="292" t="n">
        <v>350000</v>
      </c>
      <c r="G130" s="280" t="s">
        <v>2069</v>
      </c>
      <c r="H130" s="293" t="n">
        <f aca="false">IF(OR($A130="",$A130="—"),"",CHOOSE(MATCH($I$1,{"Low","Mid","High"},0),D130,E130,F130))</f>
        <v>175000</v>
      </c>
    </row>
    <row r="131" customFormat="false" ht="15" hidden="false" customHeight="true" outlineLevel="0" collapsed="false">
      <c r="A131" s="294" t="s">
        <v>959</v>
      </c>
      <c r="B131" s="295" t="s">
        <v>2080</v>
      </c>
      <c r="C131" s="294" t="s">
        <v>1923</v>
      </c>
      <c r="D131" s="296" t="n">
        <v>2.8</v>
      </c>
      <c r="E131" s="296" t="n">
        <v>4</v>
      </c>
      <c r="F131" s="296" t="n">
        <v>5.6</v>
      </c>
      <c r="G131" s="285" t="s">
        <v>2069</v>
      </c>
      <c r="H131" s="293" t="n">
        <f aca="false">IF(OR($A131="",$A131="—"),"",CHOOSE(MATCH($I$1,{"Low","Mid","High"},0),D131,E131,F131))</f>
        <v>2.8</v>
      </c>
    </row>
    <row r="132" customFormat="false" ht="15" hidden="false" customHeight="true" outlineLevel="0" collapsed="false">
      <c r="A132" s="290" t="s">
        <v>967</v>
      </c>
      <c r="B132" s="291" t="s">
        <v>968</v>
      </c>
      <c r="C132" s="290" t="s">
        <v>1923</v>
      </c>
      <c r="D132" s="292" t="n">
        <v>2.1</v>
      </c>
      <c r="E132" s="292" t="n">
        <v>3</v>
      </c>
      <c r="F132" s="292" t="n">
        <v>4.2</v>
      </c>
      <c r="G132" s="280" t="s">
        <v>2069</v>
      </c>
      <c r="H132" s="293" t="n">
        <f aca="false">IF(OR($A132="",$A132="—"),"",CHOOSE(MATCH($I$1,{"Low","Mid","High"},0),D132,E132,F132))</f>
        <v>2.1</v>
      </c>
    </row>
    <row r="133" customFormat="false" ht="15" hidden="false" customHeight="true" outlineLevel="0" collapsed="false">
      <c r="A133" s="294" t="s">
        <v>969</v>
      </c>
      <c r="B133" s="295" t="s">
        <v>970</v>
      </c>
      <c r="C133" s="294" t="s">
        <v>1923</v>
      </c>
      <c r="D133" s="296" t="n">
        <v>3.5</v>
      </c>
      <c r="E133" s="296" t="n">
        <v>5</v>
      </c>
      <c r="F133" s="296" t="n">
        <v>7</v>
      </c>
      <c r="G133" s="285" t="s">
        <v>2069</v>
      </c>
      <c r="H133" s="293" t="n">
        <f aca="false">IF(OR($A133="",$A133="—"),"",CHOOSE(MATCH($I$1,{"Low","Mid","High"},0),D133,E133,F133))</f>
        <v>3.5</v>
      </c>
    </row>
    <row r="134" customFormat="false" ht="15" hidden="false" customHeight="true" outlineLevel="0" collapsed="false">
      <c r="A134" s="290" t="s">
        <v>979</v>
      </c>
      <c r="B134" s="291" t="s">
        <v>2081</v>
      </c>
      <c r="C134" s="290" t="s">
        <v>1991</v>
      </c>
      <c r="D134" s="292" t="n">
        <v>525</v>
      </c>
      <c r="E134" s="292" t="n">
        <v>750</v>
      </c>
      <c r="F134" s="292" t="n">
        <v>1050</v>
      </c>
      <c r="G134" s="280" t="s">
        <v>2069</v>
      </c>
      <c r="H134" s="293" t="n">
        <f aca="false">IF(OR($A134="",$A134="—"),"",CHOOSE(MATCH($I$1,{"Low","Mid","High"},0),D134,E134,F134))</f>
        <v>525</v>
      </c>
    </row>
    <row r="135" customFormat="false" ht="15" hidden="false" customHeight="true" outlineLevel="0" collapsed="false">
      <c r="A135" s="294" t="s">
        <v>997</v>
      </c>
      <c r="B135" s="295" t="s">
        <v>998</v>
      </c>
      <c r="C135" s="294" t="s">
        <v>1960</v>
      </c>
      <c r="D135" s="296" t="n">
        <v>105000</v>
      </c>
      <c r="E135" s="296" t="n">
        <v>150000</v>
      </c>
      <c r="F135" s="296" t="n">
        <v>210000</v>
      </c>
      <c r="G135" s="285" t="s">
        <v>2069</v>
      </c>
      <c r="H135" s="293" t="n">
        <f aca="false">IF(OR($A135="",$A135="—"),"",CHOOSE(MATCH($I$1,{"Low","Mid","High"},0),D135,E135,F135))</f>
        <v>105000</v>
      </c>
    </row>
    <row r="136" customFormat="false" ht="15" hidden="false" customHeight="true" outlineLevel="0" collapsed="false">
      <c r="A136" s="290" t="s">
        <v>1001</v>
      </c>
      <c r="B136" s="291" t="s">
        <v>2082</v>
      </c>
      <c r="C136" s="290" t="s">
        <v>1929</v>
      </c>
      <c r="D136" s="292" t="n">
        <v>84</v>
      </c>
      <c r="E136" s="292" t="n">
        <v>120</v>
      </c>
      <c r="F136" s="292" t="n">
        <v>168</v>
      </c>
      <c r="G136" s="280" t="s">
        <v>2069</v>
      </c>
      <c r="H136" s="293" t="n">
        <f aca="false">IF(OR($A136="",$A136="—"),"",CHOOSE(MATCH($I$1,{"Low","Mid","High"},0),D136,E136,F136))</f>
        <v>84</v>
      </c>
    </row>
    <row r="137" customFormat="false" ht="15" hidden="false" customHeight="true" outlineLevel="0" collapsed="false">
      <c r="A137" s="294" t="s">
        <v>1019</v>
      </c>
      <c r="B137" s="295" t="s">
        <v>1020</v>
      </c>
      <c r="C137" s="294" t="s">
        <v>1929</v>
      </c>
      <c r="D137" s="296" t="n">
        <v>91</v>
      </c>
      <c r="E137" s="296" t="n">
        <v>130</v>
      </c>
      <c r="F137" s="296" t="n">
        <v>182</v>
      </c>
      <c r="G137" s="285" t="s">
        <v>2069</v>
      </c>
      <c r="H137" s="293" t="n">
        <f aca="false">IF(OR($A137="",$A137="—"),"",CHOOSE(MATCH($I$1,{"Low","Mid","High"},0),D137,E137,F137))</f>
        <v>91</v>
      </c>
    </row>
    <row r="138" customFormat="false" ht="15" hidden="false" customHeight="true" outlineLevel="0" collapsed="false">
      <c r="A138" s="290" t="s">
        <v>1021</v>
      </c>
      <c r="B138" s="291" t="s">
        <v>1022</v>
      </c>
      <c r="C138" s="290" t="s">
        <v>1952</v>
      </c>
      <c r="D138" s="292" t="n">
        <v>35</v>
      </c>
      <c r="E138" s="292" t="n">
        <v>50</v>
      </c>
      <c r="F138" s="292" t="n">
        <v>70</v>
      </c>
      <c r="G138" s="280" t="s">
        <v>2069</v>
      </c>
      <c r="H138" s="293" t="n">
        <f aca="false">IF(OR($A138="",$A138="—"),"",CHOOSE(MATCH($I$1,{"Low","Mid","High"},0),D138,E138,F138))</f>
        <v>35</v>
      </c>
    </row>
    <row r="139" customFormat="false" ht="15" hidden="false" customHeight="true" outlineLevel="0" collapsed="false">
      <c r="A139" s="294" t="s">
        <v>1033</v>
      </c>
      <c r="B139" s="295" t="s">
        <v>2083</v>
      </c>
      <c r="C139" s="294" t="s">
        <v>1960</v>
      </c>
      <c r="D139" s="296" t="n">
        <v>52500</v>
      </c>
      <c r="E139" s="296" t="n">
        <v>75000</v>
      </c>
      <c r="F139" s="296" t="n">
        <v>105000</v>
      </c>
      <c r="G139" s="285" t="s">
        <v>2069</v>
      </c>
      <c r="H139" s="293" t="n">
        <f aca="false">IF(OR($A139="",$A139="—"),"",CHOOSE(MATCH($I$1,{"Low","Mid","High"},0),D139,E139,F139))</f>
        <v>52500</v>
      </c>
    </row>
    <row r="140" customFormat="false" ht="15" hidden="false" customHeight="true" outlineLevel="0" collapsed="false">
      <c r="A140" s="290" t="s">
        <v>1045</v>
      </c>
      <c r="B140" s="291" t="s">
        <v>1046</v>
      </c>
      <c r="C140" s="290" t="s">
        <v>1960</v>
      </c>
      <c r="D140" s="292" t="n">
        <v>24500</v>
      </c>
      <c r="E140" s="292" t="n">
        <v>35000</v>
      </c>
      <c r="F140" s="292" t="n">
        <v>49000</v>
      </c>
      <c r="G140" s="280" t="s">
        <v>2069</v>
      </c>
      <c r="H140" s="293" t="n">
        <f aca="false">IF(OR($A140="",$A140="—"),"",CHOOSE(MATCH($I$1,{"Low","Mid","High"},0),D140,E140,F140))</f>
        <v>24500</v>
      </c>
    </row>
    <row r="141" customFormat="false" ht="15" hidden="false" customHeight="true" outlineLevel="0" collapsed="false">
      <c r="A141" s="294" t="s">
        <v>1065</v>
      </c>
      <c r="B141" s="295" t="s">
        <v>1066</v>
      </c>
      <c r="C141" s="294" t="s">
        <v>1952</v>
      </c>
      <c r="D141" s="296" t="n">
        <v>175</v>
      </c>
      <c r="E141" s="296" t="n">
        <v>250</v>
      </c>
      <c r="F141" s="296" t="n">
        <v>350</v>
      </c>
      <c r="G141" s="285" t="s">
        <v>2069</v>
      </c>
      <c r="H141" s="293" t="n">
        <f aca="false">IF(OR($A141="",$A141="—"),"",CHOOSE(MATCH($I$1,{"Low","Mid","High"},0),D141,E141,F141))</f>
        <v>175</v>
      </c>
    </row>
    <row r="142" customFormat="false" ht="15" hidden="false" customHeight="true" outlineLevel="0" collapsed="false">
      <c r="A142" s="290" t="s">
        <v>1067</v>
      </c>
      <c r="B142" s="291" t="s">
        <v>1068</v>
      </c>
      <c r="C142" s="290" t="s">
        <v>1923</v>
      </c>
      <c r="D142" s="292" t="n">
        <v>12.6</v>
      </c>
      <c r="E142" s="292" t="n">
        <v>18</v>
      </c>
      <c r="F142" s="292" t="n">
        <v>25.2</v>
      </c>
      <c r="G142" s="280" t="s">
        <v>2069</v>
      </c>
      <c r="H142" s="293" t="n">
        <f aca="false">IF(OR($A142="",$A142="—"),"",CHOOSE(MATCH($I$1,{"Low","Mid","High"},0),D142,E142,F142))</f>
        <v>12.6</v>
      </c>
    </row>
    <row r="143" customFormat="false" ht="15" hidden="false" customHeight="true" outlineLevel="0" collapsed="false">
      <c r="A143" s="294" t="s">
        <v>1069</v>
      </c>
      <c r="B143" s="295" t="s">
        <v>1070</v>
      </c>
      <c r="C143" s="294" t="s">
        <v>1923</v>
      </c>
      <c r="D143" s="296" t="n">
        <v>5.6</v>
      </c>
      <c r="E143" s="296" t="n">
        <v>8</v>
      </c>
      <c r="F143" s="296" t="n">
        <v>11.2</v>
      </c>
      <c r="G143" s="285" t="s">
        <v>2069</v>
      </c>
      <c r="H143" s="293" t="n">
        <f aca="false">IF(OR($A143="",$A143="—"),"",CHOOSE(MATCH($I$1,{"Low","Mid","High"},0),D143,E143,F143))</f>
        <v>5.6</v>
      </c>
    </row>
    <row r="144" customFormat="false" ht="15" hidden="false" customHeight="true" outlineLevel="0" collapsed="false">
      <c r="A144" s="290" t="s">
        <v>1071</v>
      </c>
      <c r="B144" s="291" t="s">
        <v>1072</v>
      </c>
      <c r="C144" s="290" t="s">
        <v>1960</v>
      </c>
      <c r="D144" s="292" t="n">
        <v>24500</v>
      </c>
      <c r="E144" s="292" t="n">
        <v>35000</v>
      </c>
      <c r="F144" s="292" t="n">
        <v>49000</v>
      </c>
      <c r="G144" s="280" t="s">
        <v>2069</v>
      </c>
      <c r="H144" s="293" t="n">
        <f aca="false">IF(OR($A144="",$A144="—"),"",CHOOSE(MATCH($I$1,{"Low","Mid","High"},0),D144,E144,F144))</f>
        <v>24500</v>
      </c>
    </row>
    <row r="145" customFormat="false" ht="15" hidden="false" customHeight="true" outlineLevel="0" collapsed="false">
      <c r="A145" s="294" t="s">
        <v>1073</v>
      </c>
      <c r="B145" s="295" t="s">
        <v>2084</v>
      </c>
      <c r="C145" s="294" t="s">
        <v>1923</v>
      </c>
      <c r="D145" s="296" t="n">
        <v>5.6</v>
      </c>
      <c r="E145" s="296" t="n">
        <v>8</v>
      </c>
      <c r="F145" s="296" t="n">
        <v>11.2</v>
      </c>
      <c r="G145" s="285" t="s">
        <v>2069</v>
      </c>
      <c r="H145" s="293" t="n">
        <f aca="false">IF(OR($A145="",$A145="—"),"",CHOOSE(MATCH($I$1,{"Low","Mid","High"},0),D145,E145,F145))</f>
        <v>5.6</v>
      </c>
    </row>
    <row r="146" customFormat="false" ht="15" hidden="false" customHeight="true" outlineLevel="0" collapsed="false">
      <c r="A146" s="290" t="s">
        <v>1081</v>
      </c>
      <c r="B146" s="291" t="s">
        <v>1082</v>
      </c>
      <c r="C146" s="290" t="s">
        <v>1923</v>
      </c>
      <c r="D146" s="292" t="n">
        <v>3.5</v>
      </c>
      <c r="E146" s="292" t="n">
        <v>5</v>
      </c>
      <c r="F146" s="292" t="n">
        <v>7</v>
      </c>
      <c r="G146" s="280" t="s">
        <v>2069</v>
      </c>
      <c r="H146" s="293" t="n">
        <f aca="false">IF(OR($A146="",$A146="—"),"",CHOOSE(MATCH($I$1,{"Low","Mid","High"},0),D146,E146,F146))</f>
        <v>3.5</v>
      </c>
    </row>
    <row r="147" customFormat="false" ht="15" hidden="false" customHeight="true" outlineLevel="0" collapsed="false">
      <c r="A147" s="294" t="s">
        <v>1083</v>
      </c>
      <c r="B147" s="295" t="s">
        <v>1084</v>
      </c>
      <c r="C147" s="294" t="s">
        <v>1929</v>
      </c>
      <c r="D147" s="296" t="n">
        <v>56</v>
      </c>
      <c r="E147" s="296" t="n">
        <v>80</v>
      </c>
      <c r="F147" s="296" t="n">
        <v>112</v>
      </c>
      <c r="G147" s="285" t="s">
        <v>2069</v>
      </c>
      <c r="H147" s="293" t="n">
        <f aca="false">IF(OR($A147="",$A147="—"),"",CHOOSE(MATCH($I$1,{"Low","Mid","High"},0),D147,E147,F147))</f>
        <v>56</v>
      </c>
    </row>
    <row r="148" customFormat="false" ht="15" hidden="false" customHeight="true" outlineLevel="0" collapsed="false">
      <c r="A148" s="290" t="s">
        <v>1085</v>
      </c>
      <c r="B148" s="291" t="s">
        <v>2085</v>
      </c>
      <c r="C148" s="290" t="s">
        <v>1966</v>
      </c>
      <c r="D148" s="292" t="n">
        <v>420</v>
      </c>
      <c r="E148" s="292" t="n">
        <v>600</v>
      </c>
      <c r="F148" s="292" t="n">
        <v>840</v>
      </c>
      <c r="G148" s="280" t="s">
        <v>2069</v>
      </c>
      <c r="H148" s="293" t="n">
        <f aca="false">IF(OR($A148="",$A148="—"),"",CHOOSE(MATCH($I$1,{"Low","Mid","High"},0),D148,E148,F148))</f>
        <v>420</v>
      </c>
    </row>
    <row r="149" customFormat="false" ht="15" hidden="false" customHeight="true" outlineLevel="0" collapsed="false">
      <c r="A149" s="294" t="s">
        <v>1095</v>
      </c>
      <c r="B149" s="295" t="s">
        <v>1158</v>
      </c>
      <c r="C149" s="294" t="s">
        <v>280</v>
      </c>
      <c r="D149" s="296" t="n">
        <v>24500</v>
      </c>
      <c r="E149" s="296" t="n">
        <v>35000</v>
      </c>
      <c r="F149" s="296" t="n">
        <v>49000</v>
      </c>
      <c r="G149" s="285" t="s">
        <v>2069</v>
      </c>
      <c r="H149" s="293" t="n">
        <f aca="false">IF(OR($A149="",$A149="—"),"",CHOOSE(MATCH($I$1,{"Low","Mid","High"},0),D149,E149,F149))</f>
        <v>24500</v>
      </c>
    </row>
    <row r="150" customFormat="false" ht="15" hidden="false" customHeight="true" outlineLevel="0" collapsed="false">
      <c r="A150" s="290" t="s">
        <v>1105</v>
      </c>
      <c r="B150" s="291" t="s">
        <v>1106</v>
      </c>
      <c r="C150" s="290" t="s">
        <v>1960</v>
      </c>
      <c r="D150" s="292" t="n">
        <v>175000</v>
      </c>
      <c r="E150" s="292" t="n">
        <v>250000</v>
      </c>
      <c r="F150" s="292" t="n">
        <v>350000</v>
      </c>
      <c r="G150" s="280" t="s">
        <v>2069</v>
      </c>
      <c r="H150" s="293" t="n">
        <f aca="false">IF(OR($A150="",$A150="—"),"",CHOOSE(MATCH($I$1,{"Low","Mid","High"},0),D150,E150,F150))</f>
        <v>175000</v>
      </c>
    </row>
    <row r="151" customFormat="false" ht="15" hidden="false" customHeight="true" outlineLevel="0" collapsed="false">
      <c r="A151" s="294" t="s">
        <v>1107</v>
      </c>
      <c r="B151" s="295" t="s">
        <v>2086</v>
      </c>
      <c r="C151" s="294" t="s">
        <v>2087</v>
      </c>
      <c r="D151" s="296" t="n">
        <v>560</v>
      </c>
      <c r="E151" s="296" t="n">
        <v>800</v>
      </c>
      <c r="F151" s="296" t="n">
        <v>1120</v>
      </c>
      <c r="G151" s="285" t="s">
        <v>2069</v>
      </c>
      <c r="H151" s="293" t="n">
        <f aca="false">IF(OR($A151="",$A151="—"),"",CHOOSE(MATCH($I$1,{"Low","Mid","High"},0),D151,E151,F151))</f>
        <v>560</v>
      </c>
    </row>
    <row r="152" customFormat="false" ht="15" hidden="false" customHeight="true" outlineLevel="0" collapsed="false">
      <c r="A152" s="290" t="s">
        <v>1211</v>
      </c>
      <c r="B152" s="291" t="s">
        <v>2088</v>
      </c>
      <c r="C152" s="290" t="s">
        <v>1923</v>
      </c>
      <c r="D152" s="292" t="n">
        <v>5.6</v>
      </c>
      <c r="E152" s="292" t="n">
        <v>8</v>
      </c>
      <c r="F152" s="292" t="n">
        <v>11.2</v>
      </c>
      <c r="G152" s="280" t="s">
        <v>2069</v>
      </c>
      <c r="H152" s="293" t="n">
        <f aca="false">IF(OR($A152="",$A152="—"),"",CHOOSE(MATCH($I$1,{"Low","Mid","High"},0),D152,E152,F152))</f>
        <v>5.6</v>
      </c>
    </row>
    <row r="153" customFormat="false" ht="15" hidden="false" customHeight="true" outlineLevel="0" collapsed="false">
      <c r="A153" s="294" t="s">
        <v>1231</v>
      </c>
      <c r="B153" s="295" t="s">
        <v>2089</v>
      </c>
      <c r="C153" s="294" t="s">
        <v>1929</v>
      </c>
      <c r="D153" s="296" t="n">
        <v>175</v>
      </c>
      <c r="E153" s="296" t="n">
        <v>250</v>
      </c>
      <c r="F153" s="296" t="n">
        <v>350</v>
      </c>
      <c r="G153" s="285" t="s">
        <v>2069</v>
      </c>
      <c r="H153" s="293" t="n">
        <f aca="false">IF(OR($A153="",$A153="—"),"",CHOOSE(MATCH($I$1,{"Low","Mid","High"},0),D153,E153,F153))</f>
        <v>175</v>
      </c>
    </row>
    <row r="154" customFormat="false" ht="15" hidden="false" customHeight="true" outlineLevel="0" collapsed="false">
      <c r="A154" s="290" t="s">
        <v>1249</v>
      </c>
      <c r="B154" s="291" t="s">
        <v>2090</v>
      </c>
      <c r="C154" s="290" t="s">
        <v>1998</v>
      </c>
      <c r="D154" s="292" t="n">
        <v>24.5</v>
      </c>
      <c r="E154" s="292" t="n">
        <v>35</v>
      </c>
      <c r="F154" s="292" t="n">
        <v>49</v>
      </c>
      <c r="G154" s="280" t="s">
        <v>2069</v>
      </c>
      <c r="H154" s="293" t="n">
        <f aca="false">IF(OR($A154="",$A154="—"),"",CHOOSE(MATCH($I$1,{"Low","Mid","High"},0),D154,E154,F154))</f>
        <v>24.5</v>
      </c>
    </row>
    <row r="155" customFormat="false" ht="15" hidden="false" customHeight="true" outlineLevel="0" collapsed="false">
      <c r="A155" s="294" t="s">
        <v>1257</v>
      </c>
      <c r="B155" s="295" t="s">
        <v>2091</v>
      </c>
      <c r="C155" s="294" t="s">
        <v>1998</v>
      </c>
      <c r="D155" s="296" t="n">
        <v>21</v>
      </c>
      <c r="E155" s="296" t="n">
        <v>30</v>
      </c>
      <c r="F155" s="296" t="n">
        <v>42</v>
      </c>
      <c r="G155" s="285" t="s">
        <v>2069</v>
      </c>
      <c r="H155" s="293" t="n">
        <f aca="false">IF(OR($A155="",$A155="—"),"",CHOOSE(MATCH($I$1,{"Low","Mid","High"},0),D155,E155,F155))</f>
        <v>21</v>
      </c>
    </row>
    <row r="156" customFormat="false" ht="15" hidden="false" customHeight="true" outlineLevel="0" collapsed="false">
      <c r="A156" s="290" t="s">
        <v>1265</v>
      </c>
      <c r="B156" s="291" t="s">
        <v>2092</v>
      </c>
      <c r="C156" s="290" t="s">
        <v>1960</v>
      </c>
      <c r="D156" s="292" t="n">
        <v>245000</v>
      </c>
      <c r="E156" s="292" t="n">
        <v>350000</v>
      </c>
      <c r="F156" s="292" t="n">
        <v>490000</v>
      </c>
      <c r="G156" s="280" t="s">
        <v>2069</v>
      </c>
      <c r="H156" s="293" t="n">
        <f aca="false">IF(OR($A156="",$A156="—"),"",CHOOSE(MATCH($I$1,{"Low","Mid","High"},0),D156,E156,F156))</f>
        <v>245000</v>
      </c>
    </row>
    <row r="157" customFormat="false" ht="15" hidden="false" customHeight="true" outlineLevel="0" collapsed="false">
      <c r="A157" s="294" t="s">
        <v>1273</v>
      </c>
      <c r="B157" s="295" t="s">
        <v>2093</v>
      </c>
      <c r="C157" s="294" t="s">
        <v>1960</v>
      </c>
      <c r="D157" s="296" t="n">
        <v>52500</v>
      </c>
      <c r="E157" s="296" t="n">
        <v>75000</v>
      </c>
      <c r="F157" s="296" t="n">
        <v>105000</v>
      </c>
      <c r="G157" s="285" t="s">
        <v>2069</v>
      </c>
      <c r="H157" s="293" t="n">
        <f aca="false">IF(OR($A157="",$A157="—"),"",CHOOSE(MATCH($I$1,{"Low","Mid","High"},0),D157,E157,F157))</f>
        <v>52500</v>
      </c>
    </row>
    <row r="158" customFormat="false" ht="15" hidden="false" customHeight="true" outlineLevel="0" collapsed="false">
      <c r="A158" s="290" t="s">
        <v>1281</v>
      </c>
      <c r="B158" s="291" t="s">
        <v>2094</v>
      </c>
      <c r="C158" s="290" t="s">
        <v>1960</v>
      </c>
      <c r="D158" s="292" t="n">
        <v>17500</v>
      </c>
      <c r="E158" s="292" t="n">
        <v>25000</v>
      </c>
      <c r="F158" s="292" t="n">
        <v>35000</v>
      </c>
      <c r="G158" s="280" t="s">
        <v>2069</v>
      </c>
      <c r="H158" s="293" t="n">
        <f aca="false">IF(OR($A158="",$A158="—"),"",CHOOSE(MATCH($I$1,{"Low","Mid","High"},0),D158,E158,F158))</f>
        <v>17500</v>
      </c>
    </row>
    <row r="159" customFormat="false" ht="15" hidden="false" customHeight="true" outlineLevel="0" collapsed="false">
      <c r="A159" s="294" t="s">
        <v>1289</v>
      </c>
      <c r="B159" s="295" t="s">
        <v>2095</v>
      </c>
      <c r="C159" s="294" t="s">
        <v>1960</v>
      </c>
      <c r="D159" s="296" t="n">
        <v>8400</v>
      </c>
      <c r="E159" s="296" t="n">
        <v>12000</v>
      </c>
      <c r="F159" s="296" t="n">
        <v>16800</v>
      </c>
      <c r="G159" s="285" t="s">
        <v>2069</v>
      </c>
      <c r="H159" s="293" t="n">
        <f aca="false">IF(OR($A159="",$A159="—"),"",CHOOSE(MATCH($I$1,{"Low","Mid","High"},0),D159,E159,F159))</f>
        <v>8400</v>
      </c>
    </row>
    <row r="160" customFormat="false" ht="15" hidden="false" customHeight="true" outlineLevel="0" collapsed="false">
      <c r="A160" s="290" t="s">
        <v>1307</v>
      </c>
      <c r="B160" s="291" t="s">
        <v>2096</v>
      </c>
      <c r="C160" s="290" t="s">
        <v>1993</v>
      </c>
      <c r="D160" s="292" t="n">
        <v>70</v>
      </c>
      <c r="E160" s="292" t="n">
        <v>100</v>
      </c>
      <c r="F160" s="292" t="n">
        <v>140</v>
      </c>
      <c r="G160" s="280" t="s">
        <v>2069</v>
      </c>
      <c r="H160" s="293" t="n">
        <f aca="false">IF(OR($A160="",$A160="—"),"",CHOOSE(MATCH($I$1,{"Low","Mid","High"},0),D160,E160,F160))</f>
        <v>70</v>
      </c>
    </row>
    <row r="161" customFormat="false" ht="15" hidden="false" customHeight="true" outlineLevel="0" collapsed="false">
      <c r="A161" s="294" t="s">
        <v>1315</v>
      </c>
      <c r="B161" s="295" t="s">
        <v>2097</v>
      </c>
      <c r="C161" s="294" t="s">
        <v>1960</v>
      </c>
      <c r="D161" s="296" t="n">
        <v>52500</v>
      </c>
      <c r="E161" s="296" t="n">
        <v>75000</v>
      </c>
      <c r="F161" s="296" t="n">
        <v>105000</v>
      </c>
      <c r="G161" s="285" t="s">
        <v>2069</v>
      </c>
      <c r="H161" s="293" t="n">
        <f aca="false">IF(OR($A161="",$A161="—"),"",CHOOSE(MATCH($I$1,{"Low","Mid","High"},0),D161,E161,F161))</f>
        <v>52500</v>
      </c>
    </row>
    <row r="162" customFormat="false" ht="15" hidden="false" customHeight="true" outlineLevel="0" collapsed="false">
      <c r="A162" s="290" t="s">
        <v>1323</v>
      </c>
      <c r="B162" s="291" t="s">
        <v>2098</v>
      </c>
      <c r="C162" s="290" t="s">
        <v>1960</v>
      </c>
      <c r="D162" s="292" t="n">
        <v>45500</v>
      </c>
      <c r="E162" s="292" t="n">
        <v>65000</v>
      </c>
      <c r="F162" s="292" t="n">
        <v>91000</v>
      </c>
      <c r="G162" s="280" t="s">
        <v>2069</v>
      </c>
      <c r="H162" s="293" t="n">
        <f aca="false">IF(OR($A162="",$A162="—"),"",CHOOSE(MATCH($I$1,{"Low","Mid","High"},0),D162,E162,F162))</f>
        <v>45500</v>
      </c>
    </row>
    <row r="163" customFormat="false" ht="15" hidden="false" customHeight="true" outlineLevel="0" collapsed="false">
      <c r="A163" s="294" t="s">
        <v>1331</v>
      </c>
      <c r="B163" s="295" t="s">
        <v>2099</v>
      </c>
      <c r="C163" s="294" t="s">
        <v>1960</v>
      </c>
      <c r="D163" s="296" t="n">
        <v>87500</v>
      </c>
      <c r="E163" s="296" t="n">
        <v>125000</v>
      </c>
      <c r="F163" s="296" t="n">
        <v>175000</v>
      </c>
      <c r="G163" s="285" t="s">
        <v>2069</v>
      </c>
      <c r="H163" s="293" t="n">
        <f aca="false">IF(OR($A163="",$A163="—"),"",CHOOSE(MATCH($I$1,{"Low","Mid","High"},0),D163,E163,F163))</f>
        <v>87500</v>
      </c>
    </row>
    <row r="164" customFormat="false" ht="15" hidden="false" customHeight="true" outlineLevel="0" collapsed="false">
      <c r="A164" s="290" t="s">
        <v>1339</v>
      </c>
      <c r="B164" s="291" t="s">
        <v>1340</v>
      </c>
      <c r="C164" s="290" t="s">
        <v>1960</v>
      </c>
      <c r="D164" s="292" t="n">
        <v>175000</v>
      </c>
      <c r="E164" s="292" t="n">
        <v>250000</v>
      </c>
      <c r="F164" s="292" t="n">
        <v>350000</v>
      </c>
      <c r="G164" s="280" t="s">
        <v>2069</v>
      </c>
      <c r="H164" s="293" t="n">
        <f aca="false">IF(OR($A164="",$A164="—"),"",CHOOSE(MATCH($I$1,{"Low","Mid","High"},0),D164,E164,F164))</f>
        <v>175000</v>
      </c>
    </row>
    <row r="165" customFormat="false" ht="15" hidden="false" customHeight="true" outlineLevel="0" collapsed="false">
      <c r="A165" s="294" t="s">
        <v>1361</v>
      </c>
      <c r="B165" s="295" t="s">
        <v>1362</v>
      </c>
      <c r="C165" s="294" t="s">
        <v>1993</v>
      </c>
      <c r="D165" s="296" t="n">
        <v>52.5</v>
      </c>
      <c r="E165" s="296" t="n">
        <v>75</v>
      </c>
      <c r="F165" s="296" t="n">
        <v>105</v>
      </c>
      <c r="G165" s="285" t="s">
        <v>2069</v>
      </c>
      <c r="H165" s="293" t="n">
        <f aca="false">IF(OR($A165="",$A165="—"),"",CHOOSE(MATCH($I$1,{"Low","Mid","High"},0),D165,E165,F165))</f>
        <v>52.5</v>
      </c>
    </row>
    <row r="166" customFormat="false" ht="15" hidden="false" customHeight="true" outlineLevel="0" collapsed="false">
      <c r="A166" s="290" t="s">
        <v>1381</v>
      </c>
      <c r="B166" s="291" t="s">
        <v>2100</v>
      </c>
      <c r="C166" s="290" t="s">
        <v>1960</v>
      </c>
      <c r="D166" s="292" t="n">
        <v>24500</v>
      </c>
      <c r="E166" s="292" t="n">
        <v>35000</v>
      </c>
      <c r="F166" s="292" t="n">
        <v>49000</v>
      </c>
      <c r="G166" s="280" t="s">
        <v>2069</v>
      </c>
      <c r="H166" s="293" t="n">
        <f aca="false">IF(OR($A166="",$A166="—"),"",CHOOSE(MATCH($I$1,{"Low","Mid","High"},0),D166,E166,F166))</f>
        <v>24500</v>
      </c>
    </row>
    <row r="167" customFormat="false" ht="15" hidden="false" customHeight="true" outlineLevel="0" collapsed="false">
      <c r="A167" s="294" t="s">
        <v>1397</v>
      </c>
      <c r="B167" s="295" t="s">
        <v>2101</v>
      </c>
      <c r="C167" s="294" t="s">
        <v>1960</v>
      </c>
      <c r="D167" s="296" t="n">
        <v>2450</v>
      </c>
      <c r="E167" s="296" t="n">
        <v>3500</v>
      </c>
      <c r="F167" s="296" t="n">
        <v>4900</v>
      </c>
      <c r="G167" s="285" t="s">
        <v>2069</v>
      </c>
      <c r="H167" s="293" t="n">
        <f aca="false">IF(OR($A167="",$A167="—"),"",CHOOSE(MATCH($I$1,{"Low","Mid","High"},0),D167,E167,F167))</f>
        <v>2450</v>
      </c>
    </row>
    <row r="168" customFormat="false" ht="15" hidden="false" customHeight="true" outlineLevel="0" collapsed="false">
      <c r="A168" s="290" t="s">
        <v>1413</v>
      </c>
      <c r="B168" s="291" t="s">
        <v>1414</v>
      </c>
      <c r="C168" s="290" t="s">
        <v>1923</v>
      </c>
      <c r="D168" s="292" t="n">
        <v>4.2</v>
      </c>
      <c r="E168" s="292" t="n">
        <v>6</v>
      </c>
      <c r="F168" s="292" t="n">
        <v>8.4</v>
      </c>
      <c r="G168" s="280" t="s">
        <v>2069</v>
      </c>
      <c r="H168" s="293" t="n">
        <f aca="false">IF(OR($A168="",$A168="—"),"",CHOOSE(MATCH($I$1,{"Low","Mid","High"},0),D168,E168,F168))</f>
        <v>4.2</v>
      </c>
    </row>
    <row r="169" customFormat="false" ht="15" hidden="false" customHeight="true" outlineLevel="0" collapsed="false">
      <c r="A169" s="294" t="s">
        <v>1415</v>
      </c>
      <c r="B169" s="295" t="s">
        <v>2102</v>
      </c>
      <c r="C169" s="294" t="s">
        <v>1923</v>
      </c>
      <c r="D169" s="296" t="n">
        <v>5.6</v>
      </c>
      <c r="E169" s="296" t="n">
        <v>8</v>
      </c>
      <c r="F169" s="296" t="n">
        <v>11.2</v>
      </c>
      <c r="G169" s="285" t="s">
        <v>2069</v>
      </c>
      <c r="H169" s="293" t="n">
        <f aca="false">IF(OR($A169="",$A169="—"),"",CHOOSE(MATCH($I$1,{"Low","Mid","High"},0),D169,E169,F169))</f>
        <v>5.6</v>
      </c>
    </row>
    <row r="170" customFormat="false" ht="15" hidden="false" customHeight="true" outlineLevel="0" collapsed="false">
      <c r="A170" s="290" t="s">
        <v>1423</v>
      </c>
      <c r="B170" s="291" t="s">
        <v>1424</v>
      </c>
      <c r="C170" s="290" t="s">
        <v>1923</v>
      </c>
      <c r="D170" s="292" t="n">
        <v>0.7</v>
      </c>
      <c r="E170" s="292" t="n">
        <v>1</v>
      </c>
      <c r="F170" s="292" t="n">
        <v>1.4</v>
      </c>
      <c r="G170" s="280" t="s">
        <v>2069</v>
      </c>
      <c r="H170" s="293" t="n">
        <f aca="false">IF(OR($A170="",$A170="—"),"",CHOOSE(MATCH($I$1,{"Low","Mid","High"},0),D170,E170,F170))</f>
        <v>0.7</v>
      </c>
    </row>
    <row r="171" customFormat="false" ht="15" hidden="false" customHeight="true" outlineLevel="0" collapsed="false">
      <c r="A171" s="294" t="s">
        <v>1425</v>
      </c>
      <c r="B171" s="295" t="s">
        <v>1426</v>
      </c>
      <c r="C171" s="294" t="s">
        <v>1923</v>
      </c>
      <c r="D171" s="296" t="n">
        <v>5.6</v>
      </c>
      <c r="E171" s="296" t="n">
        <v>8</v>
      </c>
      <c r="F171" s="296" t="n">
        <v>11.2</v>
      </c>
      <c r="G171" s="285" t="s">
        <v>2069</v>
      </c>
      <c r="H171" s="293" t="n">
        <f aca="false">IF(OR($A171="",$A171="—"),"",CHOOSE(MATCH($I$1,{"Low","Mid","High"},0),D171,E171,F171))</f>
        <v>5.6</v>
      </c>
    </row>
    <row r="172" customFormat="false" ht="15" hidden="false" customHeight="true" outlineLevel="0" collapsed="false">
      <c r="A172" s="290" t="s">
        <v>1427</v>
      </c>
      <c r="B172" s="291" t="s">
        <v>1428</v>
      </c>
      <c r="C172" s="290" t="s">
        <v>1923</v>
      </c>
      <c r="D172" s="292" t="n">
        <v>1.05</v>
      </c>
      <c r="E172" s="292" t="n">
        <v>1.5</v>
      </c>
      <c r="F172" s="292" t="n">
        <v>2.1</v>
      </c>
      <c r="G172" s="280" t="s">
        <v>2069</v>
      </c>
      <c r="H172" s="293" t="n">
        <f aca="false">IF(OR($A172="",$A172="—"),"",CHOOSE(MATCH($I$1,{"Low","Mid","High"},0),D172,E172,F172))</f>
        <v>1.05</v>
      </c>
    </row>
    <row r="173" customFormat="false" ht="15" hidden="false" customHeight="true" outlineLevel="0" collapsed="false">
      <c r="A173" s="294" t="s">
        <v>1429</v>
      </c>
      <c r="B173" s="295" t="s">
        <v>1430</v>
      </c>
      <c r="C173" s="294" t="s">
        <v>1960</v>
      </c>
      <c r="D173" s="296" t="n">
        <v>10500</v>
      </c>
      <c r="E173" s="296" t="n">
        <v>15000</v>
      </c>
      <c r="F173" s="296" t="n">
        <v>21000</v>
      </c>
      <c r="G173" s="285" t="s">
        <v>2069</v>
      </c>
      <c r="H173" s="293" t="n">
        <f aca="false">IF(OR($A173="",$A173="—"),"",CHOOSE(MATCH($I$1,{"Low","Mid","High"},0),D173,E173,F173))</f>
        <v>10500</v>
      </c>
    </row>
    <row r="174" customFormat="false" ht="15" hidden="false" customHeight="true" outlineLevel="0" collapsed="false">
      <c r="A174" s="290" t="s">
        <v>1431</v>
      </c>
      <c r="B174" s="291" t="s">
        <v>2103</v>
      </c>
      <c r="C174" s="290" t="s">
        <v>1960</v>
      </c>
      <c r="D174" s="292" t="n">
        <v>10500</v>
      </c>
      <c r="E174" s="292" t="n">
        <v>15000</v>
      </c>
      <c r="F174" s="292" t="n">
        <v>21000</v>
      </c>
      <c r="G174" s="280" t="s">
        <v>2069</v>
      </c>
      <c r="H174" s="293" t="n">
        <f aca="false">IF(OR($A174="",$A174="—"),"",CHOOSE(MATCH($I$1,{"Low","Mid","High"},0),D174,E174,F174))</f>
        <v>10500</v>
      </c>
    </row>
    <row r="175" customFormat="false" ht="15" hidden="false" customHeight="true" outlineLevel="0" collapsed="false">
      <c r="A175" s="294" t="s">
        <v>1439</v>
      </c>
      <c r="B175" s="295" t="s">
        <v>1440</v>
      </c>
      <c r="C175" s="294" t="s">
        <v>1960</v>
      </c>
      <c r="D175" s="296" t="n">
        <v>17500</v>
      </c>
      <c r="E175" s="296" t="n">
        <v>25000</v>
      </c>
      <c r="F175" s="296" t="n">
        <v>35000</v>
      </c>
      <c r="G175" s="285" t="s">
        <v>2069</v>
      </c>
      <c r="H175" s="293" t="n">
        <f aca="false">IF(OR($A175="",$A175="—"),"",CHOOSE(MATCH($I$1,{"Low","Mid","High"},0),D175,E175,F175))</f>
        <v>17500</v>
      </c>
    </row>
    <row r="176" customFormat="false" ht="15" hidden="false" customHeight="true" outlineLevel="0" collapsed="false">
      <c r="A176" s="290" t="s">
        <v>646</v>
      </c>
      <c r="B176" s="291" t="s">
        <v>647</v>
      </c>
      <c r="C176" s="290" t="s">
        <v>1960</v>
      </c>
      <c r="D176" s="292" t="n">
        <v>2450</v>
      </c>
      <c r="E176" s="292" t="n">
        <v>3500</v>
      </c>
      <c r="F176" s="292" t="n">
        <v>4900</v>
      </c>
      <c r="G176" s="280" t="s">
        <v>2069</v>
      </c>
      <c r="H176" s="293" t="n">
        <f aca="false">IF(OR($A176="",$A176="—"),"",CHOOSE(MATCH($I$1,{"Low","Mid","High"},0),D176,E176,F176))</f>
        <v>2450</v>
      </c>
    </row>
    <row r="177" customFormat="false" ht="15" hidden="false" customHeight="true" outlineLevel="0" collapsed="false">
      <c r="A177" s="294" t="s">
        <v>648</v>
      </c>
      <c r="B177" s="295" t="s">
        <v>649</v>
      </c>
      <c r="C177" s="294" t="s">
        <v>1960</v>
      </c>
      <c r="D177" s="296" t="n">
        <v>5950</v>
      </c>
      <c r="E177" s="296" t="n">
        <v>8500</v>
      </c>
      <c r="F177" s="296" t="n">
        <v>11900</v>
      </c>
      <c r="G177" s="285" t="s">
        <v>2069</v>
      </c>
      <c r="H177" s="293" t="n">
        <f aca="false">IF(OR($A177="",$A177="—"),"",CHOOSE(MATCH($I$1,{"Low","Mid","High"},0),D177,E177,F177))</f>
        <v>5950</v>
      </c>
    </row>
    <row r="178" customFormat="false" ht="15" hidden="false" customHeight="true" outlineLevel="0" collapsed="false">
      <c r="A178" s="290" t="s">
        <v>650</v>
      </c>
      <c r="B178" s="291" t="s">
        <v>651</v>
      </c>
      <c r="C178" s="290" t="s">
        <v>1960</v>
      </c>
      <c r="D178" s="292" t="n">
        <v>560</v>
      </c>
      <c r="E178" s="292" t="n">
        <v>800</v>
      </c>
      <c r="F178" s="292" t="n">
        <v>1120</v>
      </c>
      <c r="G178" s="280" t="s">
        <v>2069</v>
      </c>
      <c r="H178" s="293" t="n">
        <f aca="false">IF(OR($A178="",$A178="—"),"",CHOOSE(MATCH($I$1,{"Low","Mid","High"},0),D178,E178,F178))</f>
        <v>560</v>
      </c>
    </row>
    <row r="179" customFormat="false" ht="15" hidden="false" customHeight="true" outlineLevel="0" collapsed="false">
      <c r="A179" s="294" t="s">
        <v>654</v>
      </c>
      <c r="B179" s="295" t="s">
        <v>655</v>
      </c>
      <c r="C179" s="294" t="s">
        <v>1960</v>
      </c>
      <c r="D179" s="296" t="n">
        <v>17500</v>
      </c>
      <c r="E179" s="296" t="n">
        <v>25000</v>
      </c>
      <c r="F179" s="296" t="n">
        <v>35000</v>
      </c>
      <c r="G179" s="285" t="s">
        <v>2069</v>
      </c>
      <c r="H179" s="293" t="n">
        <f aca="false">IF(OR($A179="",$A179="—"),"",CHOOSE(MATCH($I$1,{"Low","Mid","High"},0),D179,E179,F179))</f>
        <v>17500</v>
      </c>
    </row>
    <row r="180" customFormat="false" ht="15" hidden="false" customHeight="true" outlineLevel="0" collapsed="false">
      <c r="A180" s="290" t="s">
        <v>656</v>
      </c>
      <c r="B180" s="291" t="s">
        <v>657</v>
      </c>
      <c r="C180" s="290" t="s">
        <v>1960</v>
      </c>
      <c r="D180" s="292" t="n">
        <v>8400</v>
      </c>
      <c r="E180" s="292" t="n">
        <v>12000</v>
      </c>
      <c r="F180" s="292" t="n">
        <v>16800</v>
      </c>
      <c r="G180" s="280" t="s">
        <v>2069</v>
      </c>
      <c r="H180" s="293" t="n">
        <f aca="false">IF(OR($A180="",$A180="—"),"",CHOOSE(MATCH($I$1,{"Low","Mid","High"},0),D180,E180,F180))</f>
        <v>8400</v>
      </c>
    </row>
    <row r="181" customFormat="false" ht="15" hidden="false" customHeight="true" outlineLevel="0" collapsed="false">
      <c r="A181" s="294" t="s">
        <v>658</v>
      </c>
      <c r="B181" s="295" t="s">
        <v>659</v>
      </c>
      <c r="C181" s="294" t="s">
        <v>1923</v>
      </c>
      <c r="D181" s="296" t="n">
        <v>59.5</v>
      </c>
      <c r="E181" s="296" t="n">
        <v>85</v>
      </c>
      <c r="F181" s="296" t="n">
        <v>119</v>
      </c>
      <c r="G181" s="285" t="s">
        <v>2069</v>
      </c>
      <c r="H181" s="293" t="n">
        <f aca="false">IF(OR($A181="",$A181="—"),"",CHOOSE(MATCH($I$1,{"Low","Mid","High"},0),D181,E181,F181))</f>
        <v>59.5</v>
      </c>
    </row>
    <row r="182" customFormat="false" ht="15" hidden="false" customHeight="true" outlineLevel="0" collapsed="false">
      <c r="A182" s="290" t="s">
        <v>660</v>
      </c>
      <c r="B182" s="291" t="s">
        <v>2104</v>
      </c>
      <c r="C182" s="290" t="s">
        <v>1923</v>
      </c>
      <c r="D182" s="292" t="n">
        <v>87.5</v>
      </c>
      <c r="E182" s="292" t="n">
        <v>125</v>
      </c>
      <c r="F182" s="292" t="n">
        <v>175</v>
      </c>
      <c r="G182" s="280" t="s">
        <v>2069</v>
      </c>
      <c r="H182" s="293" t="n">
        <f aca="false">IF(OR($A182="",$A182="—"),"",CHOOSE(MATCH($I$1,{"Low","Mid","High"},0),D182,E182,F182))</f>
        <v>87.5</v>
      </c>
    </row>
    <row r="183" customFormat="false" ht="15" hidden="false" customHeight="true" outlineLevel="0" collapsed="false">
      <c r="A183" s="294" t="s">
        <v>668</v>
      </c>
      <c r="B183" s="295" t="s">
        <v>669</v>
      </c>
      <c r="C183" s="294" t="s">
        <v>1923</v>
      </c>
      <c r="D183" s="296" t="n">
        <v>45.5</v>
      </c>
      <c r="E183" s="296" t="n">
        <v>65</v>
      </c>
      <c r="F183" s="296" t="n">
        <v>91</v>
      </c>
      <c r="G183" s="285" t="s">
        <v>2069</v>
      </c>
      <c r="H183" s="293" t="n">
        <f aca="false">IF(OR($A183="",$A183="—"),"",CHOOSE(MATCH($I$1,{"Low","Mid","High"},0),D183,E183,F183))</f>
        <v>45.5</v>
      </c>
    </row>
    <row r="184" customFormat="false" ht="15" hidden="false" customHeight="true" outlineLevel="0" collapsed="false">
      <c r="A184" s="290" t="s">
        <v>670</v>
      </c>
      <c r="B184" s="291" t="s">
        <v>671</v>
      </c>
      <c r="C184" s="290" t="s">
        <v>1960</v>
      </c>
      <c r="D184" s="292" t="n">
        <v>1050</v>
      </c>
      <c r="E184" s="292" t="n">
        <v>1500</v>
      </c>
      <c r="F184" s="292" t="n">
        <v>2100</v>
      </c>
      <c r="G184" s="280" t="s">
        <v>2069</v>
      </c>
      <c r="H184" s="293" t="n">
        <f aca="false">IF(OR($A184="",$A184="—"),"",CHOOSE(MATCH($I$1,{"Low","Mid","High"},0),D184,E184,F184))</f>
        <v>1050</v>
      </c>
    </row>
    <row r="185" customFormat="false" ht="15" hidden="false" customHeight="true" outlineLevel="0" collapsed="false">
      <c r="A185" s="294" t="s">
        <v>672</v>
      </c>
      <c r="B185" s="295" t="s">
        <v>673</v>
      </c>
      <c r="C185" s="294" t="s">
        <v>1960</v>
      </c>
      <c r="D185" s="296" t="n">
        <v>2450</v>
      </c>
      <c r="E185" s="296" t="n">
        <v>3500</v>
      </c>
      <c r="F185" s="296" t="n">
        <v>4900</v>
      </c>
      <c r="G185" s="285" t="s">
        <v>2069</v>
      </c>
      <c r="H185" s="293" t="n">
        <f aca="false">IF(OR($A185="",$A185="—"),"",CHOOSE(MATCH($I$1,{"Low","Mid","High"},0),D185,E185,F185))</f>
        <v>2450</v>
      </c>
    </row>
    <row r="186" customFormat="false" ht="15" hidden="false" customHeight="true" outlineLevel="0" collapsed="false">
      <c r="A186" s="290" t="s">
        <v>674</v>
      </c>
      <c r="B186" s="291" t="s">
        <v>675</v>
      </c>
      <c r="C186" s="290" t="s">
        <v>1923</v>
      </c>
      <c r="D186" s="292" t="n">
        <v>24.5</v>
      </c>
      <c r="E186" s="292" t="n">
        <v>35</v>
      </c>
      <c r="F186" s="292" t="n">
        <v>49</v>
      </c>
      <c r="G186" s="280" t="s">
        <v>2069</v>
      </c>
      <c r="H186" s="293" t="n">
        <f aca="false">IF(OR($A186="",$A186="—"),"",CHOOSE(MATCH($I$1,{"Low","Mid","High"},0),D186,E186,F186))</f>
        <v>24.5</v>
      </c>
    </row>
    <row r="187" customFormat="false" ht="15" hidden="false" customHeight="true" outlineLevel="0" collapsed="false">
      <c r="A187" s="294" t="s">
        <v>676</v>
      </c>
      <c r="B187" s="295" t="s">
        <v>677</v>
      </c>
      <c r="C187" s="294" t="s">
        <v>1923</v>
      </c>
      <c r="D187" s="296" t="n">
        <v>122.5</v>
      </c>
      <c r="E187" s="296" t="n">
        <v>175</v>
      </c>
      <c r="F187" s="296" t="n">
        <v>245</v>
      </c>
      <c r="G187" s="285" t="s">
        <v>2069</v>
      </c>
      <c r="H187" s="293" t="n">
        <f aca="false">IF(OR($A187="",$A187="—"),"",CHOOSE(MATCH($I$1,{"Low","Mid","High"},0),D187,E187,F187))</f>
        <v>122.5</v>
      </c>
    </row>
    <row r="188" customFormat="false" ht="15" hidden="false" customHeight="true" outlineLevel="0" collapsed="false">
      <c r="A188" s="290" t="s">
        <v>702</v>
      </c>
      <c r="B188" s="291" t="s">
        <v>703</v>
      </c>
      <c r="C188" s="290" t="s">
        <v>1923</v>
      </c>
      <c r="D188" s="292" t="n">
        <v>2.8</v>
      </c>
      <c r="E188" s="292" t="n">
        <v>4</v>
      </c>
      <c r="F188" s="292" t="n">
        <v>5.6</v>
      </c>
      <c r="G188" s="280" t="s">
        <v>2069</v>
      </c>
      <c r="H188" s="293" t="n">
        <f aca="false">IF(OR($A188="",$A188="—"),"",CHOOSE(MATCH($I$1,{"Low","Mid","High"},0),D188,E188,F188))</f>
        <v>2.8</v>
      </c>
    </row>
    <row r="189" customFormat="false" ht="15" hidden="false" customHeight="true" outlineLevel="0" collapsed="false">
      <c r="A189" s="294" t="s">
        <v>704</v>
      </c>
      <c r="B189" s="295" t="s">
        <v>705</v>
      </c>
      <c r="C189" s="294" t="s">
        <v>1923</v>
      </c>
      <c r="D189" s="296" t="n">
        <v>4.2</v>
      </c>
      <c r="E189" s="296" t="n">
        <v>6</v>
      </c>
      <c r="F189" s="296" t="n">
        <v>8.4</v>
      </c>
      <c r="G189" s="285" t="s">
        <v>2069</v>
      </c>
      <c r="H189" s="293" t="n">
        <f aca="false">IF(OR($A189="",$A189="—"),"",CHOOSE(MATCH($I$1,{"Low","Mid","High"},0),D189,E189,F189))</f>
        <v>4.2</v>
      </c>
    </row>
    <row r="190" customFormat="false" ht="15" hidden="false" customHeight="true" outlineLevel="0" collapsed="false">
      <c r="A190" s="290" t="s">
        <v>706</v>
      </c>
      <c r="B190" s="291" t="s">
        <v>707</v>
      </c>
      <c r="C190" s="290" t="s">
        <v>1923</v>
      </c>
      <c r="D190" s="292" t="n">
        <v>3.5</v>
      </c>
      <c r="E190" s="292" t="n">
        <v>5</v>
      </c>
      <c r="F190" s="292" t="n">
        <v>7</v>
      </c>
      <c r="G190" s="280" t="s">
        <v>2069</v>
      </c>
      <c r="H190" s="293" t="n">
        <f aca="false">IF(OR($A190="",$A190="—"),"",CHOOSE(MATCH($I$1,{"Low","Mid","High"},0),D190,E190,F190))</f>
        <v>3.5</v>
      </c>
    </row>
    <row r="191" customFormat="false" ht="15" hidden="false" customHeight="true" outlineLevel="0" collapsed="false">
      <c r="A191" s="294" t="s">
        <v>708</v>
      </c>
      <c r="B191" s="295" t="s">
        <v>709</v>
      </c>
      <c r="C191" s="294" t="s">
        <v>1923</v>
      </c>
      <c r="D191" s="296" t="n">
        <v>5.6</v>
      </c>
      <c r="E191" s="296" t="n">
        <v>8</v>
      </c>
      <c r="F191" s="296" t="n">
        <v>11.2</v>
      </c>
      <c r="G191" s="285" t="s">
        <v>2069</v>
      </c>
      <c r="H191" s="293" t="n">
        <f aca="false">IF(OR($A191="",$A191="—"),"",CHOOSE(MATCH($I$1,{"Low","Mid","High"},0),D191,E191,F191))</f>
        <v>5.6</v>
      </c>
    </row>
    <row r="192" customFormat="false" ht="15" hidden="false" customHeight="true" outlineLevel="0" collapsed="false">
      <c r="A192" s="290" t="s">
        <v>722</v>
      </c>
      <c r="B192" s="291" t="s">
        <v>723</v>
      </c>
      <c r="C192" s="290" t="s">
        <v>1923</v>
      </c>
      <c r="D192" s="292" t="n">
        <v>1.4</v>
      </c>
      <c r="E192" s="292" t="n">
        <v>2</v>
      </c>
      <c r="F192" s="292" t="n">
        <v>2.8</v>
      </c>
      <c r="G192" s="280" t="s">
        <v>2069</v>
      </c>
      <c r="H192" s="293" t="n">
        <f aca="false">IF(OR($A192="",$A192="—"),"",CHOOSE(MATCH($I$1,{"Low","Mid","High"},0),D192,E192,F192))</f>
        <v>1.4</v>
      </c>
    </row>
    <row r="193" customFormat="false" ht="15" hidden="false" customHeight="true" outlineLevel="0" collapsed="false">
      <c r="A193" s="294" t="s">
        <v>724</v>
      </c>
      <c r="B193" s="295" t="s">
        <v>725</v>
      </c>
      <c r="C193" s="294" t="s">
        <v>1923</v>
      </c>
      <c r="D193" s="296" t="n">
        <v>2.8</v>
      </c>
      <c r="E193" s="296" t="n">
        <v>4</v>
      </c>
      <c r="F193" s="296" t="n">
        <v>5.6</v>
      </c>
      <c r="G193" s="285" t="s">
        <v>2069</v>
      </c>
      <c r="H193" s="293" t="n">
        <f aca="false">IF(OR($A193="",$A193="—"),"",CHOOSE(MATCH($I$1,{"Low","Mid","High"},0),D193,E193,F193))</f>
        <v>2.8</v>
      </c>
    </row>
    <row r="194" customFormat="false" ht="15" hidden="false" customHeight="true" outlineLevel="0" collapsed="false">
      <c r="A194" s="290" t="s">
        <v>726</v>
      </c>
      <c r="B194" s="291" t="s">
        <v>727</v>
      </c>
      <c r="C194" s="290" t="s">
        <v>1923</v>
      </c>
      <c r="D194" s="292" t="n">
        <v>1.4</v>
      </c>
      <c r="E194" s="292" t="n">
        <v>2</v>
      </c>
      <c r="F194" s="292" t="n">
        <v>2.8</v>
      </c>
      <c r="G194" s="280" t="s">
        <v>2069</v>
      </c>
      <c r="H194" s="293" t="n">
        <f aca="false">IF(OR($A194="",$A194="—"),"",CHOOSE(MATCH($I$1,{"Low","Mid","High"},0),D194,E194,F194))</f>
        <v>1.4</v>
      </c>
    </row>
    <row r="195" customFormat="false" ht="15" hidden="false" customHeight="true" outlineLevel="0" collapsed="false">
      <c r="A195" s="294" t="s">
        <v>730</v>
      </c>
      <c r="B195" s="295" t="s">
        <v>2105</v>
      </c>
      <c r="C195" s="294" t="s">
        <v>1923</v>
      </c>
      <c r="D195" s="296" t="n">
        <v>5.6</v>
      </c>
      <c r="E195" s="296" t="n">
        <v>8</v>
      </c>
      <c r="F195" s="296" t="n">
        <v>11.2</v>
      </c>
      <c r="G195" s="285" t="s">
        <v>2069</v>
      </c>
      <c r="H195" s="293" t="n">
        <f aca="false">IF(OR($A195="",$A195="—"),"",CHOOSE(MATCH($I$1,{"Low","Mid","High"},0),D195,E195,F195))</f>
        <v>5.6</v>
      </c>
    </row>
    <row r="196" customFormat="false" ht="15" hidden="false" customHeight="true" outlineLevel="0" collapsed="false">
      <c r="A196" s="290" t="s">
        <v>756</v>
      </c>
      <c r="B196" s="291" t="s">
        <v>757</v>
      </c>
      <c r="C196" s="290" t="s">
        <v>1960</v>
      </c>
      <c r="D196" s="292" t="n">
        <v>1050</v>
      </c>
      <c r="E196" s="292" t="n">
        <v>1500</v>
      </c>
      <c r="F196" s="292" t="n">
        <v>2100</v>
      </c>
      <c r="G196" s="280" t="s">
        <v>2069</v>
      </c>
      <c r="H196" s="293" t="n">
        <f aca="false">IF(OR($A196="",$A196="—"),"",CHOOSE(MATCH($I$1,{"Low","Mid","High"},0),D196,E196,F196))</f>
        <v>1050</v>
      </c>
    </row>
    <row r="197" customFormat="false" ht="15" hidden="false" customHeight="true" outlineLevel="0" collapsed="false">
      <c r="A197" s="294" t="s">
        <v>758</v>
      </c>
      <c r="B197" s="295" t="s">
        <v>759</v>
      </c>
      <c r="C197" s="294" t="s">
        <v>1960</v>
      </c>
      <c r="D197" s="296" t="n">
        <v>17500</v>
      </c>
      <c r="E197" s="296" t="n">
        <v>25000</v>
      </c>
      <c r="F197" s="296" t="n">
        <v>35000</v>
      </c>
      <c r="G197" s="285" t="s">
        <v>2069</v>
      </c>
      <c r="H197" s="293" t="n">
        <f aca="false">IF(OR($A197="",$A197="—"),"",CHOOSE(MATCH($I$1,{"Low","Mid","High"},0),D197,E197,F197))</f>
        <v>17500</v>
      </c>
    </row>
    <row r="198" customFormat="false" ht="15" hidden="false" customHeight="true" outlineLevel="0" collapsed="false">
      <c r="A198" s="290" t="s">
        <v>760</v>
      </c>
      <c r="B198" s="291" t="s">
        <v>761</v>
      </c>
      <c r="C198" s="290" t="s">
        <v>1960</v>
      </c>
      <c r="D198" s="292" t="n">
        <v>175</v>
      </c>
      <c r="E198" s="292" t="n">
        <v>250</v>
      </c>
      <c r="F198" s="292" t="n">
        <v>350</v>
      </c>
      <c r="G198" s="280" t="s">
        <v>2069</v>
      </c>
      <c r="H198" s="293" t="n">
        <f aca="false">IF(OR($A198="",$A198="—"),"",CHOOSE(MATCH($I$1,{"Low","Mid","High"},0),D198,E198,F198))</f>
        <v>175</v>
      </c>
    </row>
    <row r="199" customFormat="false" ht="15" hidden="false" customHeight="true" outlineLevel="0" collapsed="false">
      <c r="A199" s="294" t="s">
        <v>762</v>
      </c>
      <c r="B199" s="295" t="s">
        <v>763</v>
      </c>
      <c r="C199" s="294" t="s">
        <v>1960</v>
      </c>
      <c r="D199" s="296" t="n">
        <v>3150</v>
      </c>
      <c r="E199" s="296" t="n">
        <v>4500</v>
      </c>
      <c r="F199" s="296" t="n">
        <v>6300</v>
      </c>
      <c r="G199" s="285" t="s">
        <v>2069</v>
      </c>
      <c r="H199" s="293" t="n">
        <f aca="false">IF(OR($A199="",$A199="—"),"",CHOOSE(MATCH($I$1,{"Low","Mid","High"},0),D199,E199,F199))</f>
        <v>3150</v>
      </c>
    </row>
    <row r="200" customFormat="false" ht="15" hidden="false" customHeight="true" outlineLevel="0" collapsed="false">
      <c r="A200" s="290" t="s">
        <v>764</v>
      </c>
      <c r="B200" s="291" t="s">
        <v>765</v>
      </c>
      <c r="C200" s="290" t="s">
        <v>1929</v>
      </c>
      <c r="D200" s="292" t="n">
        <v>24.5</v>
      </c>
      <c r="E200" s="292" t="n">
        <v>35</v>
      </c>
      <c r="F200" s="292" t="n">
        <v>49</v>
      </c>
      <c r="G200" s="280" t="s">
        <v>2069</v>
      </c>
      <c r="H200" s="293" t="n">
        <f aca="false">IF(OR($A200="",$A200="—"),"",CHOOSE(MATCH($I$1,{"Low","Mid","High"},0),D200,E200,F200))</f>
        <v>24.5</v>
      </c>
    </row>
    <row r="201" customFormat="false" ht="15" hidden="false" customHeight="true" outlineLevel="0" collapsed="false">
      <c r="A201" s="294" t="s">
        <v>766</v>
      </c>
      <c r="B201" s="295" t="s">
        <v>767</v>
      </c>
      <c r="C201" s="294" t="s">
        <v>1960</v>
      </c>
      <c r="D201" s="296" t="n">
        <v>840</v>
      </c>
      <c r="E201" s="296" t="n">
        <v>1200</v>
      </c>
      <c r="F201" s="296" t="n">
        <v>1680</v>
      </c>
      <c r="G201" s="285" t="s">
        <v>2069</v>
      </c>
      <c r="H201" s="293" t="n">
        <f aca="false">IF(OR($A201="",$A201="—"),"",CHOOSE(MATCH($I$1,{"Low","Mid","High"},0),D201,E201,F201))</f>
        <v>840</v>
      </c>
    </row>
    <row r="202" customFormat="false" ht="15" hidden="false" customHeight="true" outlineLevel="0" collapsed="false">
      <c r="A202" s="290" t="s">
        <v>768</v>
      </c>
      <c r="B202" s="291" t="s">
        <v>769</v>
      </c>
      <c r="C202" s="290" t="s">
        <v>1960</v>
      </c>
      <c r="D202" s="292" t="n">
        <v>350</v>
      </c>
      <c r="E202" s="292" t="n">
        <v>500</v>
      </c>
      <c r="F202" s="292" t="n">
        <v>700</v>
      </c>
      <c r="G202" s="280" t="s">
        <v>2069</v>
      </c>
      <c r="H202" s="293" t="n">
        <f aca="false">IF(OR($A202="",$A202="—"),"",CHOOSE(MATCH($I$1,{"Low","Mid","High"},0),D202,E202,F202))</f>
        <v>350</v>
      </c>
    </row>
    <row r="203" customFormat="false" ht="15" hidden="false" customHeight="true" outlineLevel="0" collapsed="false">
      <c r="A203" s="294" t="s">
        <v>770</v>
      </c>
      <c r="B203" s="295" t="s">
        <v>771</v>
      </c>
      <c r="C203" s="294" t="s">
        <v>300</v>
      </c>
      <c r="D203" s="296" t="n">
        <v>17500</v>
      </c>
      <c r="E203" s="296" t="n">
        <v>25000</v>
      </c>
      <c r="F203" s="296" t="n">
        <v>35000</v>
      </c>
      <c r="G203" s="285" t="s">
        <v>2069</v>
      </c>
      <c r="H203" s="293" t="n">
        <f aca="false">IF(OR($A203="",$A203="—"),"",CHOOSE(MATCH($I$1,{"Low","Mid","High"},0),D203,E203,F203))</f>
        <v>17500</v>
      </c>
    </row>
    <row r="204" customFormat="false" ht="15" hidden="false" customHeight="true" outlineLevel="0" collapsed="false">
      <c r="A204" s="290" t="s">
        <v>772</v>
      </c>
      <c r="B204" s="291" t="s">
        <v>773</v>
      </c>
      <c r="C204" s="290" t="s">
        <v>1960</v>
      </c>
      <c r="D204" s="292" t="n">
        <v>3500</v>
      </c>
      <c r="E204" s="292" t="n">
        <v>5000</v>
      </c>
      <c r="F204" s="292" t="n">
        <v>7000</v>
      </c>
      <c r="G204" s="280" t="s">
        <v>2069</v>
      </c>
      <c r="H204" s="293" t="n">
        <f aca="false">IF(OR($A204="",$A204="—"),"",CHOOSE(MATCH($I$1,{"Low","Mid","High"},0),D204,E204,F204))</f>
        <v>3500</v>
      </c>
    </row>
    <row r="205" customFormat="false" ht="15" hidden="false" customHeight="true" outlineLevel="0" collapsed="false">
      <c r="A205" s="294" t="s">
        <v>774</v>
      </c>
      <c r="B205" s="295" t="s">
        <v>775</v>
      </c>
      <c r="C205" s="294" t="s">
        <v>1960</v>
      </c>
      <c r="D205" s="296" t="n">
        <v>5950</v>
      </c>
      <c r="E205" s="296" t="n">
        <v>8500</v>
      </c>
      <c r="F205" s="296" t="n">
        <v>11900</v>
      </c>
      <c r="G205" s="285" t="s">
        <v>2069</v>
      </c>
      <c r="H205" s="293" t="n">
        <f aca="false">IF(OR($A205="",$A205="—"),"",CHOOSE(MATCH($I$1,{"Low","Mid","High"},0),D205,E205,F205))</f>
        <v>5950</v>
      </c>
    </row>
    <row r="206" customFormat="false" ht="15" hidden="false" customHeight="true" outlineLevel="0" collapsed="false">
      <c r="A206" s="290" t="s">
        <v>1504</v>
      </c>
      <c r="B206" s="291" t="s">
        <v>1505</v>
      </c>
      <c r="C206" s="290" t="s">
        <v>1960</v>
      </c>
      <c r="D206" s="292" t="n">
        <v>245</v>
      </c>
      <c r="E206" s="292" t="n">
        <v>350</v>
      </c>
      <c r="F206" s="292" t="n">
        <v>490</v>
      </c>
      <c r="G206" s="280" t="s">
        <v>2069</v>
      </c>
      <c r="H206" s="293" t="n">
        <f aca="false">IF(OR($A206="",$A206="—"),"",CHOOSE(MATCH($I$1,{"Low","Mid","High"},0),D206,E206,F206))</f>
        <v>245</v>
      </c>
    </row>
    <row r="207" customFormat="false" ht="15" hidden="false" customHeight="true" outlineLevel="0" collapsed="false">
      <c r="A207" s="294" t="s">
        <v>1508</v>
      </c>
      <c r="B207" s="295" t="s">
        <v>1509</v>
      </c>
      <c r="C207" s="294" t="s">
        <v>2033</v>
      </c>
      <c r="D207" s="296" t="n">
        <v>245</v>
      </c>
      <c r="E207" s="296" t="n">
        <v>350</v>
      </c>
      <c r="F207" s="296" t="n">
        <v>490</v>
      </c>
      <c r="G207" s="285" t="s">
        <v>2069</v>
      </c>
      <c r="H207" s="293" t="n">
        <f aca="false">IF(OR($A207="",$A207="—"),"",CHOOSE(MATCH($I$1,{"Low","Mid","High"},0),D207,E207,F207))</f>
        <v>245</v>
      </c>
    </row>
    <row r="208" customFormat="false" ht="15" hidden="false" customHeight="true" outlineLevel="0" collapsed="false">
      <c r="A208" s="290" t="s">
        <v>1512</v>
      </c>
      <c r="B208" s="291" t="s">
        <v>1513</v>
      </c>
      <c r="C208" s="290" t="s">
        <v>1929</v>
      </c>
      <c r="D208" s="292" t="n">
        <v>5.6</v>
      </c>
      <c r="E208" s="292" t="n">
        <v>8</v>
      </c>
      <c r="F208" s="292" t="n">
        <v>11.2</v>
      </c>
      <c r="G208" s="280" t="s">
        <v>2069</v>
      </c>
      <c r="H208" s="293" t="n">
        <f aca="false">IF(OR($A208="",$A208="—"),"",CHOOSE(MATCH($I$1,{"Low","Mid","High"},0),D208,E208,F208))</f>
        <v>5.6</v>
      </c>
    </row>
    <row r="209" customFormat="false" ht="15" hidden="false" customHeight="true" outlineLevel="0" collapsed="false">
      <c r="A209" s="294" t="s">
        <v>1514</v>
      </c>
      <c r="B209" s="295" t="s">
        <v>1515</v>
      </c>
      <c r="C209" s="294" t="s">
        <v>1960</v>
      </c>
      <c r="D209" s="296" t="n">
        <v>175000</v>
      </c>
      <c r="E209" s="296" t="n">
        <v>250000</v>
      </c>
      <c r="F209" s="296" t="n">
        <v>350000</v>
      </c>
      <c r="G209" s="285" t="s">
        <v>2069</v>
      </c>
      <c r="H209" s="293" t="n">
        <f aca="false">IF(OR($A209="",$A209="—"),"",CHOOSE(MATCH($I$1,{"Low","Mid","High"},0),D209,E209,F209))</f>
        <v>175000</v>
      </c>
    </row>
    <row r="210" customFormat="false" ht="15" hidden="false" customHeight="true" outlineLevel="0" collapsed="false">
      <c r="A210" s="290" t="s">
        <v>1516</v>
      </c>
      <c r="B210" s="291" t="s">
        <v>1517</v>
      </c>
      <c r="C210" s="290" t="s">
        <v>1960</v>
      </c>
      <c r="D210" s="292" t="n">
        <v>70000</v>
      </c>
      <c r="E210" s="292" t="n">
        <v>100000</v>
      </c>
      <c r="F210" s="292" t="n">
        <v>140000</v>
      </c>
      <c r="G210" s="280" t="s">
        <v>2069</v>
      </c>
      <c r="H210" s="293" t="n">
        <f aca="false">IF(OR($A210="",$A210="—"),"",CHOOSE(MATCH($I$1,{"Low","Mid","High"},0),D210,E210,F210))</f>
        <v>70000</v>
      </c>
    </row>
    <row r="211" customFormat="false" ht="15" hidden="false" customHeight="true" outlineLevel="0" collapsed="false">
      <c r="A211" s="294" t="s">
        <v>1526</v>
      </c>
      <c r="B211" s="295" t="s">
        <v>2106</v>
      </c>
      <c r="C211" s="294" t="s">
        <v>1960</v>
      </c>
      <c r="D211" s="296" t="n">
        <v>1050</v>
      </c>
      <c r="E211" s="296" t="n">
        <v>1500</v>
      </c>
      <c r="F211" s="296" t="n">
        <v>2100</v>
      </c>
      <c r="G211" s="285" t="s">
        <v>2069</v>
      </c>
      <c r="H211" s="293" t="n">
        <f aca="false">IF(OR($A211="",$A211="—"),"",CHOOSE(MATCH($I$1,{"Low","Mid","High"},0),D211,E211,F211))</f>
        <v>1050</v>
      </c>
    </row>
    <row r="212" customFormat="false" ht="15" hidden="false" customHeight="true" outlineLevel="0" collapsed="false">
      <c r="A212" s="290" t="s">
        <v>1534</v>
      </c>
      <c r="B212" s="291" t="s">
        <v>1535</v>
      </c>
      <c r="C212" s="290" t="s">
        <v>1923</v>
      </c>
      <c r="D212" s="292" t="n">
        <v>1.4</v>
      </c>
      <c r="E212" s="292" t="n">
        <v>2</v>
      </c>
      <c r="F212" s="292" t="n">
        <v>2.8</v>
      </c>
      <c r="G212" s="280" t="s">
        <v>2069</v>
      </c>
      <c r="H212" s="293" t="n">
        <f aca="false">IF(OR($A212="",$A212="—"),"",CHOOSE(MATCH($I$1,{"Low","Mid","High"},0),D212,E212,F212))</f>
        <v>1.4</v>
      </c>
    </row>
    <row r="213" customFormat="false" ht="15" hidden="false" customHeight="true" outlineLevel="0" collapsed="false">
      <c r="A213" s="294" t="s">
        <v>1536</v>
      </c>
      <c r="B213" s="295" t="s">
        <v>2107</v>
      </c>
      <c r="C213" s="294" t="s">
        <v>1960</v>
      </c>
      <c r="D213" s="296" t="n">
        <v>3150</v>
      </c>
      <c r="E213" s="296" t="n">
        <v>4500</v>
      </c>
      <c r="F213" s="296" t="n">
        <v>6300</v>
      </c>
      <c r="G213" s="285" t="s">
        <v>2069</v>
      </c>
      <c r="H213" s="293" t="n">
        <f aca="false">IF(OR($A213="",$A213="—"),"",CHOOSE(MATCH($I$1,{"Low","Mid","High"},0),D213,E213,F213))</f>
        <v>3150</v>
      </c>
    </row>
    <row r="214" customFormat="false" ht="15" hidden="false" customHeight="true" outlineLevel="0" collapsed="false">
      <c r="A214" s="290" t="s">
        <v>1544</v>
      </c>
      <c r="B214" s="291" t="s">
        <v>2108</v>
      </c>
      <c r="C214" s="290" t="s">
        <v>1960</v>
      </c>
      <c r="D214" s="292" t="n">
        <v>1050</v>
      </c>
      <c r="E214" s="292" t="n">
        <v>1500</v>
      </c>
      <c r="F214" s="292" t="n">
        <v>2100</v>
      </c>
      <c r="G214" s="280" t="s">
        <v>2069</v>
      </c>
      <c r="H214" s="293" t="n">
        <f aca="false">IF(OR($A214="",$A214="—"),"",CHOOSE(MATCH($I$1,{"Low","Mid","High"},0),D214,E214,F214))</f>
        <v>1050</v>
      </c>
    </row>
    <row r="215" customFormat="false" ht="15" hidden="false" customHeight="true" outlineLevel="0" collapsed="false">
      <c r="A215" s="294" t="s">
        <v>1554</v>
      </c>
      <c r="B215" s="295" t="s">
        <v>1555</v>
      </c>
      <c r="C215" s="294" t="s">
        <v>1960</v>
      </c>
      <c r="D215" s="296" t="n">
        <v>245</v>
      </c>
      <c r="E215" s="296" t="n">
        <v>350</v>
      </c>
      <c r="F215" s="296" t="n">
        <v>490</v>
      </c>
      <c r="G215" s="285" t="s">
        <v>2069</v>
      </c>
      <c r="H215" s="293" t="n">
        <f aca="false">IF(OR($A215="",$A215="—"),"",CHOOSE(MATCH($I$1,{"Low","Mid","High"},0),D215,E215,F215))</f>
        <v>245</v>
      </c>
    </row>
    <row r="216" customFormat="false" ht="15" hidden="false" customHeight="true" outlineLevel="0" collapsed="false">
      <c r="A216" s="290" t="s">
        <v>1564</v>
      </c>
      <c r="B216" s="291" t="s">
        <v>1565</v>
      </c>
      <c r="C216" s="290" t="s">
        <v>300</v>
      </c>
      <c r="D216" s="292" t="n">
        <v>245000</v>
      </c>
      <c r="E216" s="292" t="n">
        <v>350000</v>
      </c>
      <c r="F216" s="292" t="n">
        <v>490000</v>
      </c>
      <c r="G216" s="280" t="s">
        <v>2069</v>
      </c>
      <c r="H216" s="293" t="n">
        <f aca="false">IF(OR($A216="",$A216="—"),"",CHOOSE(MATCH($I$1,{"Low","Mid","High"},0),D216,E216,F216))</f>
        <v>245000</v>
      </c>
    </row>
    <row r="217" customFormat="false" ht="15" hidden="false" customHeight="true" outlineLevel="0" collapsed="false">
      <c r="A217" s="294" t="s">
        <v>1566</v>
      </c>
      <c r="B217" s="295" t="s">
        <v>1567</v>
      </c>
      <c r="C217" s="294" t="s">
        <v>1960</v>
      </c>
      <c r="D217" s="296" t="n">
        <v>17500</v>
      </c>
      <c r="E217" s="296" t="n">
        <v>25000</v>
      </c>
      <c r="F217" s="296" t="n">
        <v>35000</v>
      </c>
      <c r="G217" s="285" t="s">
        <v>2069</v>
      </c>
      <c r="H217" s="293" t="n">
        <f aca="false">IF(OR($A217="",$A217="—"),"",CHOOSE(MATCH($I$1,{"Low","Mid","High"},0),D217,E217,F217))</f>
        <v>17500</v>
      </c>
    </row>
    <row r="218" customFormat="false" ht="15" hidden="false" customHeight="true" outlineLevel="0" collapsed="false">
      <c r="A218" s="290" t="s">
        <v>1568</v>
      </c>
      <c r="B218" s="291" t="s">
        <v>1569</v>
      </c>
      <c r="C218" s="290" t="s">
        <v>1960</v>
      </c>
      <c r="D218" s="292" t="n">
        <v>1750</v>
      </c>
      <c r="E218" s="292" t="n">
        <v>2500</v>
      </c>
      <c r="F218" s="292" t="n">
        <v>3500</v>
      </c>
      <c r="G218" s="280" t="s">
        <v>2069</v>
      </c>
      <c r="H218" s="293" t="n">
        <f aca="false">IF(OR($A218="",$A218="—"),"",CHOOSE(MATCH($I$1,{"Low","Mid","High"},0),D218,E218,F218))</f>
        <v>1750</v>
      </c>
    </row>
    <row r="219" customFormat="false" ht="15" hidden="false" customHeight="true" outlineLevel="0" collapsed="false">
      <c r="A219" s="294" t="s">
        <v>1570</v>
      </c>
      <c r="B219" s="295" t="s">
        <v>1571</v>
      </c>
      <c r="C219" s="294" t="s">
        <v>1960</v>
      </c>
      <c r="D219" s="296" t="n">
        <v>175000</v>
      </c>
      <c r="E219" s="296" t="n">
        <v>250000</v>
      </c>
      <c r="F219" s="296" t="n">
        <v>350000</v>
      </c>
      <c r="G219" s="285" t="s">
        <v>2069</v>
      </c>
      <c r="H219" s="293" t="n">
        <f aca="false">IF(OR($A219="",$A219="—"),"",CHOOSE(MATCH($I$1,{"Low","Mid","High"},0),D219,E219,F219))</f>
        <v>175000</v>
      </c>
    </row>
    <row r="220" customFormat="false" ht="15" hidden="false" customHeight="true" outlineLevel="0" collapsed="false">
      <c r="A220" s="290" t="s">
        <v>1596</v>
      </c>
      <c r="B220" s="291" t="s">
        <v>1597</v>
      </c>
      <c r="C220" s="290" t="s">
        <v>1923</v>
      </c>
      <c r="D220" s="292" t="n">
        <v>1.05</v>
      </c>
      <c r="E220" s="292" t="n">
        <v>1.5</v>
      </c>
      <c r="F220" s="292" t="n">
        <v>2.1</v>
      </c>
      <c r="G220" s="280" t="s">
        <v>2069</v>
      </c>
      <c r="H220" s="293" t="n">
        <f aca="false">IF(OR($A220="",$A220="—"),"",CHOOSE(MATCH($I$1,{"Low","Mid","High"},0),D220,E220,F220))</f>
        <v>1.05</v>
      </c>
    </row>
    <row r="221" customFormat="false" ht="15" hidden="false" customHeight="true" outlineLevel="0" collapsed="false">
      <c r="A221" s="294" t="s">
        <v>1610</v>
      </c>
      <c r="B221" s="295" t="s">
        <v>1611</v>
      </c>
      <c r="C221" s="294" t="s">
        <v>1960</v>
      </c>
      <c r="D221" s="296" t="n">
        <v>24500</v>
      </c>
      <c r="E221" s="296" t="n">
        <v>35000</v>
      </c>
      <c r="F221" s="296" t="n">
        <v>49000</v>
      </c>
      <c r="G221" s="285" t="s">
        <v>2069</v>
      </c>
      <c r="H221" s="293" t="n">
        <f aca="false">IF(OR($A221="",$A221="—"),"",CHOOSE(MATCH($I$1,{"Low","Mid","High"},0),D221,E221,F221))</f>
        <v>24500</v>
      </c>
    </row>
    <row r="222" customFormat="false" ht="15" hidden="false" customHeight="true" outlineLevel="0" collapsed="false">
      <c r="A222" s="290" t="s">
        <v>1614</v>
      </c>
      <c r="B222" s="291" t="s">
        <v>1615</v>
      </c>
      <c r="C222" s="290" t="s">
        <v>1960</v>
      </c>
      <c r="D222" s="292" t="n">
        <v>5950</v>
      </c>
      <c r="E222" s="292" t="n">
        <v>8500</v>
      </c>
      <c r="F222" s="292" t="n">
        <v>11900</v>
      </c>
      <c r="G222" s="280" t="s">
        <v>2069</v>
      </c>
      <c r="H222" s="293" t="n">
        <f aca="false">IF(OR($A222="",$A222="—"),"",CHOOSE(MATCH($I$1,{"Low","Mid","High"},0),D222,E222,F222))</f>
        <v>5950</v>
      </c>
    </row>
    <row r="223" customFormat="false" ht="15" hidden="false" customHeight="true" outlineLevel="0" collapsed="false">
      <c r="A223" s="294" t="s">
        <v>1616</v>
      </c>
      <c r="B223" s="295" t="s">
        <v>1617</v>
      </c>
      <c r="C223" s="294" t="s">
        <v>300</v>
      </c>
      <c r="D223" s="296" t="n">
        <v>525000</v>
      </c>
      <c r="E223" s="296" t="n">
        <v>750000</v>
      </c>
      <c r="F223" s="296" t="n">
        <v>1050000</v>
      </c>
      <c r="G223" s="285" t="s">
        <v>2069</v>
      </c>
      <c r="H223" s="293" t="n">
        <f aca="false">IF(OR($A223="",$A223="—"),"",CHOOSE(MATCH($I$1,{"Low","Mid","High"},0),D223,E223,F223))</f>
        <v>525000</v>
      </c>
    </row>
    <row r="224" customFormat="false" ht="15" hidden="false" customHeight="true" outlineLevel="0" collapsed="false">
      <c r="A224" s="290" t="s">
        <v>1618</v>
      </c>
      <c r="B224" s="291" t="s">
        <v>1619</v>
      </c>
      <c r="C224" s="290" t="s">
        <v>1929</v>
      </c>
      <c r="D224" s="292" t="n">
        <v>24.5</v>
      </c>
      <c r="E224" s="292" t="n">
        <v>35</v>
      </c>
      <c r="F224" s="292" t="n">
        <v>49</v>
      </c>
      <c r="G224" s="280" t="s">
        <v>2069</v>
      </c>
      <c r="H224" s="293" t="n">
        <f aca="false">IF(OR($A224="",$A224="—"),"",CHOOSE(MATCH($I$1,{"Low","Mid","High"},0),D224,E224,F224))</f>
        <v>24.5</v>
      </c>
    </row>
    <row r="225" customFormat="false" ht="15" hidden="false" customHeight="true" outlineLevel="0" collapsed="false">
      <c r="A225" s="294" t="s">
        <v>1620</v>
      </c>
      <c r="B225" s="295" t="s">
        <v>1621</v>
      </c>
      <c r="C225" s="294" t="s">
        <v>1960</v>
      </c>
      <c r="D225" s="296" t="n">
        <v>595</v>
      </c>
      <c r="E225" s="296" t="n">
        <v>850</v>
      </c>
      <c r="F225" s="296" t="n">
        <v>1190</v>
      </c>
      <c r="G225" s="285" t="s">
        <v>2069</v>
      </c>
      <c r="H225" s="293" t="n">
        <f aca="false">IF(OR($A225="",$A225="—"),"",CHOOSE(MATCH($I$1,{"Low","Mid","High"},0),D225,E225,F225))</f>
        <v>595</v>
      </c>
    </row>
    <row r="226" customFormat="false" ht="15" hidden="false" customHeight="true" outlineLevel="0" collapsed="false">
      <c r="A226" s="290" t="s">
        <v>1622</v>
      </c>
      <c r="B226" s="291" t="s">
        <v>1623</v>
      </c>
      <c r="C226" s="290" t="s">
        <v>300</v>
      </c>
      <c r="D226" s="292" t="n">
        <v>595000</v>
      </c>
      <c r="E226" s="292" t="n">
        <v>850000</v>
      </c>
      <c r="F226" s="292" t="n">
        <v>1190000</v>
      </c>
      <c r="G226" s="280" t="s">
        <v>2069</v>
      </c>
      <c r="H226" s="293" t="n">
        <f aca="false">IF(OR($A226="",$A226="—"),"",CHOOSE(MATCH($I$1,{"Low","Mid","High"},0),D226,E226,F226))</f>
        <v>595000</v>
      </c>
    </row>
    <row r="227" customFormat="false" ht="15" hidden="false" customHeight="true" outlineLevel="0" collapsed="false">
      <c r="A227" s="294" t="s">
        <v>1624</v>
      </c>
      <c r="B227" s="295" t="s">
        <v>1625</v>
      </c>
      <c r="C227" s="294" t="s">
        <v>300</v>
      </c>
      <c r="D227" s="296" t="n">
        <v>52500</v>
      </c>
      <c r="E227" s="296" t="n">
        <v>75000</v>
      </c>
      <c r="F227" s="296" t="n">
        <v>105000</v>
      </c>
      <c r="G227" s="285" t="s">
        <v>2069</v>
      </c>
      <c r="H227" s="293" t="n">
        <f aca="false">IF(OR($A227="",$A227="—"),"",CHOOSE(MATCH($I$1,{"Low","Mid","High"},0),D227,E227,F227))</f>
        <v>52500</v>
      </c>
    </row>
    <row r="228" customFormat="false" ht="15" hidden="false" customHeight="true" outlineLevel="0" collapsed="false">
      <c r="A228" s="290" t="s">
        <v>1626</v>
      </c>
      <c r="B228" s="291" t="s">
        <v>1627</v>
      </c>
      <c r="C228" s="290" t="s">
        <v>1960</v>
      </c>
      <c r="D228" s="292" t="n">
        <v>87500</v>
      </c>
      <c r="E228" s="292" t="n">
        <v>125000</v>
      </c>
      <c r="F228" s="292" t="n">
        <v>175000</v>
      </c>
      <c r="G228" s="280" t="s">
        <v>2069</v>
      </c>
      <c r="H228" s="293" t="n">
        <f aca="false">IF(OR($A228="",$A228="—"),"",CHOOSE(MATCH($I$1,{"Low","Mid","High"},0),D228,E228,F228))</f>
        <v>87500</v>
      </c>
    </row>
    <row r="229" customFormat="false" ht="15" hidden="false" customHeight="true" outlineLevel="0" collapsed="false">
      <c r="A229" s="294" t="s">
        <v>1628</v>
      </c>
      <c r="B229" s="295" t="s">
        <v>1629</v>
      </c>
      <c r="C229" s="294" t="s">
        <v>300</v>
      </c>
      <c r="D229" s="296" t="n">
        <v>245000</v>
      </c>
      <c r="E229" s="296" t="n">
        <v>350000</v>
      </c>
      <c r="F229" s="296" t="n">
        <v>490000</v>
      </c>
      <c r="G229" s="285" t="s">
        <v>2069</v>
      </c>
      <c r="H229" s="293" t="n">
        <f aca="false">IF(OR($A229="",$A229="—"),"",CHOOSE(MATCH($I$1,{"Low","Mid","High"},0),D229,E229,F229))</f>
        <v>245000</v>
      </c>
    </row>
    <row r="230" customFormat="false" ht="15" hidden="false" customHeight="true" outlineLevel="0" collapsed="false">
      <c r="A230" s="290" t="s">
        <v>1632</v>
      </c>
      <c r="B230" s="291" t="s">
        <v>1633</v>
      </c>
      <c r="C230" s="290" t="s">
        <v>1960</v>
      </c>
      <c r="D230" s="292" t="n">
        <v>1050</v>
      </c>
      <c r="E230" s="292" t="n">
        <v>1500</v>
      </c>
      <c r="F230" s="292" t="n">
        <v>2100</v>
      </c>
      <c r="G230" s="280" t="s">
        <v>2069</v>
      </c>
      <c r="H230" s="293" t="n">
        <f aca="false">IF(OR($A230="",$A230="—"),"",CHOOSE(MATCH($I$1,{"Low","Mid","High"},0),D230,E230,F230))</f>
        <v>1050</v>
      </c>
    </row>
    <row r="231" customFormat="false" ht="15" hidden="false" customHeight="true" outlineLevel="0" collapsed="false">
      <c r="A231" s="294" t="s">
        <v>322</v>
      </c>
      <c r="B231" s="295" t="s">
        <v>323</v>
      </c>
      <c r="C231" s="294" t="s">
        <v>2055</v>
      </c>
      <c r="D231" s="296" t="n">
        <v>17500</v>
      </c>
      <c r="E231" s="296" t="n">
        <v>25000</v>
      </c>
      <c r="F231" s="296" t="n">
        <v>35000</v>
      </c>
      <c r="G231" s="285" t="s">
        <v>2069</v>
      </c>
      <c r="H231" s="293" t="n">
        <f aca="false">IF(OR($A231="",$A231="—"),"",CHOOSE(MATCH($I$1,{"Low","Mid","High"},0),D231,E231,F231))</f>
        <v>17500</v>
      </c>
    </row>
    <row r="232" customFormat="false" ht="15" hidden="false" customHeight="true" outlineLevel="0" collapsed="false">
      <c r="A232" s="290" t="s">
        <v>324</v>
      </c>
      <c r="B232" s="291" t="s">
        <v>325</v>
      </c>
      <c r="C232" s="290" t="s">
        <v>2055</v>
      </c>
      <c r="D232" s="292" t="n">
        <v>12600</v>
      </c>
      <c r="E232" s="292" t="n">
        <v>18000</v>
      </c>
      <c r="F232" s="292" t="n">
        <v>25200</v>
      </c>
      <c r="G232" s="280" t="s">
        <v>2069</v>
      </c>
      <c r="H232" s="293" t="n">
        <f aca="false">IF(OR($A232="",$A232="—"),"",CHOOSE(MATCH($I$1,{"Low","Mid","High"},0),D232,E232,F232))</f>
        <v>12600</v>
      </c>
    </row>
    <row r="233" customFormat="false" ht="15" hidden="false" customHeight="true" outlineLevel="0" collapsed="false">
      <c r="A233" s="294" t="s">
        <v>326</v>
      </c>
      <c r="B233" s="295" t="s">
        <v>327</v>
      </c>
      <c r="C233" s="294" t="s">
        <v>2055</v>
      </c>
      <c r="D233" s="296" t="n">
        <v>5950</v>
      </c>
      <c r="E233" s="296" t="n">
        <v>8500</v>
      </c>
      <c r="F233" s="296" t="n">
        <v>11900</v>
      </c>
      <c r="G233" s="285" t="s">
        <v>2069</v>
      </c>
      <c r="H233" s="293" t="n">
        <f aca="false">IF(OR($A233="",$A233="—"),"",CHOOSE(MATCH($I$1,{"Low","Mid","High"},0),D233,E233,F233))</f>
        <v>5950</v>
      </c>
    </row>
    <row r="234" customFormat="false" ht="15" hidden="false" customHeight="true" outlineLevel="0" collapsed="false">
      <c r="A234" s="290" t="s">
        <v>328</v>
      </c>
      <c r="B234" s="291" t="s">
        <v>329</v>
      </c>
      <c r="C234" s="290" t="s">
        <v>2055</v>
      </c>
      <c r="D234" s="292" t="n">
        <v>45500</v>
      </c>
      <c r="E234" s="292" t="n">
        <v>65000</v>
      </c>
      <c r="F234" s="292" t="n">
        <v>91000</v>
      </c>
      <c r="G234" s="280" t="s">
        <v>2069</v>
      </c>
      <c r="H234" s="293" t="n">
        <f aca="false">IF(OR($A234="",$A234="—"),"",CHOOSE(MATCH($I$1,{"Low","Mid","High"},0),D234,E234,F234))</f>
        <v>45500</v>
      </c>
    </row>
    <row r="235" customFormat="false" ht="15" hidden="false" customHeight="true" outlineLevel="0" collapsed="false">
      <c r="A235" s="294" t="s">
        <v>332</v>
      </c>
      <c r="B235" s="295" t="s">
        <v>333</v>
      </c>
      <c r="C235" s="294" t="s">
        <v>2055</v>
      </c>
      <c r="D235" s="296" t="n">
        <v>24500</v>
      </c>
      <c r="E235" s="296" t="n">
        <v>35000</v>
      </c>
      <c r="F235" s="296" t="n">
        <v>49000</v>
      </c>
      <c r="G235" s="285" t="s">
        <v>2069</v>
      </c>
      <c r="H235" s="293" t="n">
        <f aca="false">IF(OR($A235="",$A235="—"),"",CHOOSE(MATCH($I$1,{"Low","Mid","High"},0),D235,E235,F235))</f>
        <v>24500</v>
      </c>
    </row>
    <row r="236" customFormat="false" ht="15" hidden="false" customHeight="true" outlineLevel="0" collapsed="false">
      <c r="A236" s="290" t="s">
        <v>334</v>
      </c>
      <c r="B236" s="291" t="s">
        <v>335</v>
      </c>
      <c r="C236" s="290" t="s">
        <v>2055</v>
      </c>
      <c r="D236" s="292" t="n">
        <v>17500</v>
      </c>
      <c r="E236" s="292" t="n">
        <v>25000</v>
      </c>
      <c r="F236" s="292" t="n">
        <v>35000</v>
      </c>
      <c r="G236" s="280" t="s">
        <v>2069</v>
      </c>
      <c r="H236" s="293" t="n">
        <f aca="false">IF(OR($A236="",$A236="—"),"",CHOOSE(MATCH($I$1,{"Low","Mid","High"},0),D236,E236,F236))</f>
        <v>17500</v>
      </c>
    </row>
    <row r="237" customFormat="false" ht="15" hidden="false" customHeight="true" outlineLevel="0" collapsed="false">
      <c r="A237" s="294" t="s">
        <v>336</v>
      </c>
      <c r="B237" s="295" t="s">
        <v>337</v>
      </c>
      <c r="C237" s="294" t="s">
        <v>2055</v>
      </c>
      <c r="D237" s="296" t="n">
        <v>24500</v>
      </c>
      <c r="E237" s="296" t="n">
        <v>35000</v>
      </c>
      <c r="F237" s="296" t="n">
        <v>49000</v>
      </c>
      <c r="G237" s="285" t="s">
        <v>2069</v>
      </c>
      <c r="H237" s="293" t="n">
        <f aca="false">IF(OR($A237="",$A237="—"),"",CHOOSE(MATCH($I$1,{"Low","Mid","High"},0),D237,E237,F237))</f>
        <v>24500</v>
      </c>
    </row>
    <row r="238" customFormat="false" ht="15" hidden="false" customHeight="true" outlineLevel="0" collapsed="false">
      <c r="A238" s="290" t="s">
        <v>338</v>
      </c>
      <c r="B238" s="291" t="s">
        <v>339</v>
      </c>
      <c r="C238" s="290" t="s">
        <v>2055</v>
      </c>
      <c r="D238" s="292" t="n">
        <v>45500</v>
      </c>
      <c r="E238" s="292" t="n">
        <v>65000</v>
      </c>
      <c r="F238" s="292" t="n">
        <v>91000</v>
      </c>
      <c r="G238" s="280" t="s">
        <v>2069</v>
      </c>
      <c r="H238" s="293" t="n">
        <f aca="false">IF(OR($A238="",$A238="—"),"",CHOOSE(MATCH($I$1,{"Low","Mid","High"},0),D238,E238,F238))</f>
        <v>45500</v>
      </c>
    </row>
    <row r="239" customFormat="false" ht="15" hidden="false" customHeight="true" outlineLevel="0" collapsed="false">
      <c r="A239" s="294" t="s">
        <v>340</v>
      </c>
      <c r="B239" s="295" t="s">
        <v>341</v>
      </c>
      <c r="C239" s="294" t="s">
        <v>2055</v>
      </c>
      <c r="D239" s="296" t="n">
        <v>12600</v>
      </c>
      <c r="E239" s="296" t="n">
        <v>18000</v>
      </c>
      <c r="F239" s="296" t="n">
        <v>25200</v>
      </c>
      <c r="G239" s="285" t="s">
        <v>2069</v>
      </c>
      <c r="H239" s="293" t="n">
        <f aca="false">IF(OR($A239="",$A239="—"),"",CHOOSE(MATCH($I$1,{"Low","Mid","High"},0),D239,E239,F239))</f>
        <v>12600</v>
      </c>
    </row>
    <row r="240" customFormat="false" ht="15" hidden="false" customHeight="true" outlineLevel="0" collapsed="false">
      <c r="A240" s="290" t="s">
        <v>342</v>
      </c>
      <c r="B240" s="291" t="s">
        <v>343</v>
      </c>
      <c r="C240" s="290" t="s">
        <v>2055</v>
      </c>
      <c r="D240" s="292" t="n">
        <v>17500</v>
      </c>
      <c r="E240" s="292" t="n">
        <v>25000</v>
      </c>
      <c r="F240" s="292" t="n">
        <v>35000</v>
      </c>
      <c r="G240" s="280" t="s">
        <v>2069</v>
      </c>
      <c r="H240" s="293" t="n">
        <f aca="false">IF(OR($A240="",$A240="—"),"",CHOOSE(MATCH($I$1,{"Low","Mid","High"},0),D240,E240,F240))</f>
        <v>17500</v>
      </c>
    </row>
    <row r="241" customFormat="false" ht="15" hidden="false" customHeight="true" outlineLevel="0" collapsed="false">
      <c r="A241" s="294" t="s">
        <v>344</v>
      </c>
      <c r="B241" s="295" t="s">
        <v>345</v>
      </c>
      <c r="C241" s="294" t="s">
        <v>2055</v>
      </c>
      <c r="D241" s="296" t="n">
        <v>12600</v>
      </c>
      <c r="E241" s="296" t="n">
        <v>18000</v>
      </c>
      <c r="F241" s="296" t="n">
        <v>25200</v>
      </c>
      <c r="G241" s="285" t="s">
        <v>2069</v>
      </c>
      <c r="H241" s="293" t="n">
        <f aca="false">IF(OR($A241="",$A241="—"),"",CHOOSE(MATCH($I$1,{"Low","Mid","High"},0),D241,E241,F241))</f>
        <v>12600</v>
      </c>
    </row>
    <row r="242" customFormat="false" ht="15" hidden="false" customHeight="true" outlineLevel="0" collapsed="false">
      <c r="A242" s="290" t="s">
        <v>346</v>
      </c>
      <c r="B242" s="291" t="s">
        <v>347</v>
      </c>
      <c r="C242" s="290" t="s">
        <v>2055</v>
      </c>
      <c r="D242" s="292" t="n">
        <v>17500</v>
      </c>
      <c r="E242" s="292" t="n">
        <v>25000</v>
      </c>
      <c r="F242" s="292" t="n">
        <v>35000</v>
      </c>
      <c r="G242" s="280" t="s">
        <v>2069</v>
      </c>
      <c r="H242" s="293" t="n">
        <f aca="false">IF(OR($A242="",$A242="—"),"",CHOOSE(MATCH($I$1,{"Low","Mid","High"},0),D242,E242,F242))</f>
        <v>17500</v>
      </c>
    </row>
    <row r="243" customFormat="false" ht="15" hidden="false" customHeight="true" outlineLevel="0" collapsed="false">
      <c r="A243" s="294" t="s">
        <v>354</v>
      </c>
      <c r="B243" s="295" t="s">
        <v>355</v>
      </c>
      <c r="C243" s="294" t="s">
        <v>2055</v>
      </c>
      <c r="D243" s="296" t="n">
        <v>12600</v>
      </c>
      <c r="E243" s="296" t="n">
        <v>18000</v>
      </c>
      <c r="F243" s="296" t="n">
        <v>25200</v>
      </c>
      <c r="G243" s="285" t="s">
        <v>2069</v>
      </c>
      <c r="H243" s="293" t="n">
        <f aca="false">IF(OR($A243="",$A243="—"),"",CHOOSE(MATCH($I$1,{"Low","Mid","High"},0),D243,E243,F243))</f>
        <v>12600</v>
      </c>
    </row>
    <row r="244" customFormat="false" ht="15" hidden="false" customHeight="true" outlineLevel="0" collapsed="false">
      <c r="A244" s="290" t="s">
        <v>1653</v>
      </c>
      <c r="B244" s="291" t="s">
        <v>1654</v>
      </c>
      <c r="C244" s="290" t="s">
        <v>1925</v>
      </c>
      <c r="D244" s="292" t="n">
        <v>22</v>
      </c>
      <c r="E244" s="292" t="n">
        <v>30</v>
      </c>
      <c r="F244" s="292" t="n">
        <v>42</v>
      </c>
      <c r="G244" s="280" t="s">
        <v>2109</v>
      </c>
      <c r="H244" s="293" t="n">
        <f aca="false">IF(OR($A244="",$A244="—"),"",CHOOSE(MATCH($I$1,{"Low","Mid","High"},0),D244,E244,F244))</f>
        <v>22</v>
      </c>
    </row>
    <row r="245" customFormat="false" ht="15" hidden="false" customHeight="true" outlineLevel="0" collapsed="false">
      <c r="A245" s="294" t="s">
        <v>1655</v>
      </c>
      <c r="B245" s="295" t="s">
        <v>1656</v>
      </c>
      <c r="C245" s="294" t="s">
        <v>1923</v>
      </c>
      <c r="D245" s="296" t="n">
        <v>0.15</v>
      </c>
      <c r="E245" s="296" t="n">
        <v>0.25</v>
      </c>
      <c r="F245" s="296" t="n">
        <v>0.4</v>
      </c>
      <c r="G245" s="285" t="s">
        <v>2109</v>
      </c>
      <c r="H245" s="293" t="n">
        <f aca="false">IF(OR($A245="",$A245="—"),"",CHOOSE(MATCH($I$1,{"Low","Mid","High"},0),D245,E245,F245))</f>
        <v>0.15</v>
      </c>
    </row>
    <row r="246" customFormat="false" ht="15" hidden="false" customHeight="true" outlineLevel="0" collapsed="false">
      <c r="A246" s="290" t="s">
        <v>1657</v>
      </c>
      <c r="B246" s="291" t="s">
        <v>1658</v>
      </c>
      <c r="C246" s="290" t="s">
        <v>1923</v>
      </c>
      <c r="D246" s="292" t="n">
        <v>1.5</v>
      </c>
      <c r="E246" s="292" t="n">
        <v>2.5</v>
      </c>
      <c r="F246" s="292" t="n">
        <v>4</v>
      </c>
      <c r="G246" s="280" t="s">
        <v>2109</v>
      </c>
      <c r="H246" s="293" t="n">
        <f aca="false">IF(OR($A246="",$A246="—"),"",CHOOSE(MATCH($I$1,{"Low","Mid","High"},0),D246,E246,F246))</f>
        <v>1.5</v>
      </c>
    </row>
    <row r="247" customFormat="false" ht="15" hidden="false" customHeight="true" outlineLevel="0" collapsed="false">
      <c r="A247" s="294" t="s">
        <v>1723</v>
      </c>
      <c r="B247" s="295" t="s">
        <v>1724</v>
      </c>
      <c r="C247" s="294" t="s">
        <v>1923</v>
      </c>
      <c r="D247" s="296" t="n">
        <v>8</v>
      </c>
      <c r="E247" s="296" t="n">
        <v>12</v>
      </c>
      <c r="F247" s="296" t="n">
        <v>18</v>
      </c>
      <c r="G247" s="285" t="s">
        <v>2109</v>
      </c>
      <c r="H247" s="293" t="n">
        <f aca="false">IF(OR($A247="",$A247="—"),"",CHOOSE(MATCH($I$1,{"Low","Mid","High"},0),D247,E247,F247))</f>
        <v>8</v>
      </c>
    </row>
    <row r="248" customFormat="false" ht="15" hidden="false" customHeight="true" outlineLevel="0" collapsed="false">
      <c r="A248" s="290" t="s">
        <v>1765</v>
      </c>
      <c r="B248" s="291" t="s">
        <v>2110</v>
      </c>
      <c r="C248" s="290" t="s">
        <v>1941</v>
      </c>
      <c r="D248" s="292" t="n">
        <v>1.5</v>
      </c>
      <c r="E248" s="292" t="n">
        <v>2.2</v>
      </c>
      <c r="F248" s="292" t="n">
        <v>3.2</v>
      </c>
      <c r="G248" s="280" t="s">
        <v>2109</v>
      </c>
      <c r="H248" s="293" t="n">
        <f aca="false">IF(OR($A248="",$A248="—"),"",CHOOSE(MATCH($I$1,{"Low","Mid","High"},0),D248,E248,F248))</f>
        <v>1.5</v>
      </c>
    </row>
    <row r="249" customFormat="false" ht="15" hidden="false" customHeight="true" outlineLevel="0" collapsed="false">
      <c r="A249" s="294" t="s">
        <v>390</v>
      </c>
      <c r="B249" s="295" t="s">
        <v>391</v>
      </c>
      <c r="C249" s="294" t="s">
        <v>1925</v>
      </c>
      <c r="D249" s="296" t="n">
        <v>220</v>
      </c>
      <c r="E249" s="296" t="n">
        <v>300</v>
      </c>
      <c r="F249" s="296" t="n">
        <v>410</v>
      </c>
      <c r="G249" s="285" t="s">
        <v>2109</v>
      </c>
      <c r="H249" s="293" t="n">
        <f aca="false">IF(OR($A249="",$A249="—"),"",CHOOSE(MATCH($I$1,{"Low","Mid","High"},0),D249,E249,F249))</f>
        <v>220</v>
      </c>
    </row>
    <row r="250" customFormat="false" ht="15" hidden="false" customHeight="true" outlineLevel="0" collapsed="false">
      <c r="A250" s="290" t="s">
        <v>392</v>
      </c>
      <c r="B250" s="291" t="s">
        <v>393</v>
      </c>
      <c r="C250" s="290" t="s">
        <v>1925</v>
      </c>
      <c r="D250" s="292" t="n">
        <v>240</v>
      </c>
      <c r="E250" s="292" t="n">
        <v>330</v>
      </c>
      <c r="F250" s="292" t="n">
        <v>450</v>
      </c>
      <c r="G250" s="280" t="s">
        <v>2109</v>
      </c>
      <c r="H250" s="293" t="n">
        <f aca="false">IF(OR($A250="",$A250="—"),"",CHOOSE(MATCH($I$1,{"Low","Mid","High"},0),D250,E250,F250))</f>
        <v>240</v>
      </c>
    </row>
    <row r="251" customFormat="false" ht="15" hidden="false" customHeight="true" outlineLevel="0" collapsed="false">
      <c r="A251" s="294" t="s">
        <v>396</v>
      </c>
      <c r="B251" s="295" t="s">
        <v>397</v>
      </c>
      <c r="C251" s="294" t="s">
        <v>1925</v>
      </c>
      <c r="D251" s="296" t="n">
        <v>650</v>
      </c>
      <c r="E251" s="296" t="n">
        <v>850</v>
      </c>
      <c r="F251" s="296" t="n">
        <v>1100</v>
      </c>
      <c r="G251" s="285" t="s">
        <v>2109</v>
      </c>
      <c r="H251" s="293" t="n">
        <f aca="false">IF(OR($A251="",$A251="—"),"",CHOOSE(MATCH($I$1,{"Low","Mid","High"},0),D251,E251,F251))</f>
        <v>650</v>
      </c>
    </row>
    <row r="252" customFormat="false" ht="15" hidden="false" customHeight="true" outlineLevel="0" collapsed="false">
      <c r="A252" s="290" t="s">
        <v>398</v>
      </c>
      <c r="B252" s="291" t="s">
        <v>2111</v>
      </c>
      <c r="C252" s="290" t="s">
        <v>1923</v>
      </c>
      <c r="D252" s="292" t="n">
        <v>14</v>
      </c>
      <c r="E252" s="292" t="n">
        <v>20</v>
      </c>
      <c r="F252" s="292" t="n">
        <v>28</v>
      </c>
      <c r="G252" s="280" t="s">
        <v>2109</v>
      </c>
      <c r="H252" s="293" t="n">
        <f aca="false">IF(OR($A252="",$A252="—"),"",CHOOSE(MATCH($I$1,{"Low","Mid","High"},0),D252,E252,F252))</f>
        <v>14</v>
      </c>
    </row>
    <row r="253" customFormat="false" ht="15" hidden="false" customHeight="true" outlineLevel="0" collapsed="false">
      <c r="A253" s="294" t="s">
        <v>418</v>
      </c>
      <c r="B253" s="295" t="s">
        <v>419</v>
      </c>
      <c r="C253" s="294" t="s">
        <v>1923</v>
      </c>
      <c r="D253" s="296" t="n">
        <v>18</v>
      </c>
      <c r="E253" s="296" t="n">
        <v>26</v>
      </c>
      <c r="F253" s="296" t="n">
        <v>36</v>
      </c>
      <c r="G253" s="285" t="s">
        <v>2109</v>
      </c>
      <c r="H253" s="293" t="n">
        <f aca="false">IF(OR($A253="",$A253="—"),"",CHOOSE(MATCH($I$1,{"Low","Mid","High"},0),D253,E253,F253))</f>
        <v>18</v>
      </c>
    </row>
    <row r="254" customFormat="false" ht="15" hidden="false" customHeight="true" outlineLevel="0" collapsed="false">
      <c r="A254" s="290" t="s">
        <v>520</v>
      </c>
      <c r="B254" s="291" t="s">
        <v>521</v>
      </c>
      <c r="C254" s="290" t="s">
        <v>1923</v>
      </c>
      <c r="D254" s="292" t="n">
        <v>6</v>
      </c>
      <c r="E254" s="292" t="n">
        <v>9</v>
      </c>
      <c r="F254" s="292" t="n">
        <v>13</v>
      </c>
      <c r="G254" s="280" t="s">
        <v>2109</v>
      </c>
      <c r="H254" s="293" t="n">
        <f aca="false">IF(OR($A254="",$A254="—"),"",CHOOSE(MATCH($I$1,{"Low","Mid","High"},0),D254,E254,F254))</f>
        <v>6</v>
      </c>
    </row>
    <row r="255" customFormat="false" ht="15" hidden="false" customHeight="true" outlineLevel="0" collapsed="false">
      <c r="A255" s="294" t="s">
        <v>857</v>
      </c>
      <c r="B255" s="295" t="s">
        <v>858</v>
      </c>
      <c r="C255" s="294" t="s">
        <v>1923</v>
      </c>
      <c r="D255" s="296" t="n">
        <v>5</v>
      </c>
      <c r="E255" s="296" t="n">
        <v>7.5</v>
      </c>
      <c r="F255" s="296" t="n">
        <v>11</v>
      </c>
      <c r="G255" s="285" t="s">
        <v>2109</v>
      </c>
      <c r="H255" s="293" t="n">
        <f aca="false">IF(OR($A255="",$A255="—"),"",CHOOSE(MATCH($I$1,{"Low","Mid","High"},0),D255,E255,F255))</f>
        <v>5</v>
      </c>
    </row>
    <row r="256" customFormat="false" ht="15" hidden="false" customHeight="true" outlineLevel="0" collapsed="false">
      <c r="A256" s="290" t="s">
        <v>869</v>
      </c>
      <c r="B256" s="291" t="s">
        <v>870</v>
      </c>
      <c r="C256" s="290" t="s">
        <v>300</v>
      </c>
      <c r="D256" s="292" t="n">
        <v>0</v>
      </c>
      <c r="E256" s="292" t="n">
        <v>0</v>
      </c>
      <c r="F256" s="292" t="n">
        <v>0</v>
      </c>
      <c r="G256" s="280" t="s">
        <v>2109</v>
      </c>
      <c r="H256" s="293" t="n">
        <f aca="false">IF(OR($A256="",$A256="—"),"",CHOOSE(MATCH($I$1,{"Low","Mid","High"},0),D256,E256,F256))</f>
        <v>0</v>
      </c>
    </row>
    <row r="257" customFormat="false" ht="15" hidden="false" customHeight="true" outlineLevel="0" collapsed="false">
      <c r="A257" s="294" t="s">
        <v>871</v>
      </c>
      <c r="B257" s="295" t="s">
        <v>872</v>
      </c>
      <c r="C257" s="294" t="s">
        <v>1923</v>
      </c>
      <c r="D257" s="296" t="n">
        <v>22</v>
      </c>
      <c r="E257" s="296" t="n">
        <v>32</v>
      </c>
      <c r="F257" s="296" t="n">
        <v>45</v>
      </c>
      <c r="G257" s="285" t="s">
        <v>2109</v>
      </c>
      <c r="H257" s="293" t="n">
        <f aca="false">IF(OR($A257="",$A257="—"),"",CHOOSE(MATCH($I$1,{"Low","Mid","High"},0),D257,E257,F257))</f>
        <v>22</v>
      </c>
    </row>
    <row r="258" customFormat="false" ht="15" hidden="false" customHeight="true" outlineLevel="0" collapsed="false">
      <c r="A258" s="290" t="s">
        <v>875</v>
      </c>
      <c r="B258" s="291" t="s">
        <v>876</v>
      </c>
      <c r="C258" s="290" t="s">
        <v>1923</v>
      </c>
      <c r="D258" s="292" t="n">
        <v>0.6</v>
      </c>
      <c r="E258" s="292" t="n">
        <v>1</v>
      </c>
      <c r="F258" s="292" t="n">
        <v>1.6</v>
      </c>
      <c r="G258" s="280" t="s">
        <v>2109</v>
      </c>
      <c r="H258" s="293" t="n">
        <f aca="false">IF(OR($A258="",$A258="—"),"",CHOOSE(MATCH($I$1,{"Low","Mid","High"},0),D258,E258,F258))</f>
        <v>0.6</v>
      </c>
    </row>
    <row r="259" customFormat="false" ht="15" hidden="false" customHeight="true" outlineLevel="0" collapsed="false">
      <c r="A259" s="294" t="s">
        <v>1055</v>
      </c>
      <c r="B259" s="295" t="s">
        <v>1056</v>
      </c>
      <c r="C259" s="294" t="s">
        <v>300</v>
      </c>
      <c r="D259" s="296" t="n">
        <v>0</v>
      </c>
      <c r="E259" s="296" t="n">
        <v>0</v>
      </c>
      <c r="F259" s="296" t="n">
        <v>0</v>
      </c>
      <c r="G259" s="285" t="s">
        <v>2109</v>
      </c>
      <c r="H259" s="293" t="n">
        <f aca="false">IF(OR($A259="",$A259="—"),"",CHOOSE(MATCH($I$1,{"Low","Mid","High"},0),D259,E259,F259))</f>
        <v>0</v>
      </c>
    </row>
    <row r="260" customFormat="false" ht="15" hidden="false" customHeight="true" outlineLevel="0" collapsed="false">
      <c r="A260" s="290" t="s">
        <v>1441</v>
      </c>
      <c r="B260" s="291" t="s">
        <v>2112</v>
      </c>
      <c r="C260" s="290" t="s">
        <v>280</v>
      </c>
      <c r="D260" s="292" t="n">
        <v>35000</v>
      </c>
      <c r="E260" s="292" t="n">
        <v>55000</v>
      </c>
      <c r="F260" s="292" t="n">
        <v>85000</v>
      </c>
      <c r="G260" s="280" t="s">
        <v>2109</v>
      </c>
      <c r="H260" s="293" t="n">
        <f aca="false">IF(OR($A260="",$A260="—"),"",CHOOSE(MATCH($I$1,{"Low","Mid","High"},0),D260,E260,F260))</f>
        <v>35000</v>
      </c>
    </row>
    <row r="261" customFormat="false" ht="15" hidden="false" customHeight="true" outlineLevel="0" collapsed="false">
      <c r="A261" s="294" t="s">
        <v>720</v>
      </c>
      <c r="B261" s="295" t="s">
        <v>721</v>
      </c>
      <c r="C261" s="294" t="s">
        <v>1923</v>
      </c>
      <c r="D261" s="296" t="n">
        <v>28</v>
      </c>
      <c r="E261" s="296" t="n">
        <v>38</v>
      </c>
      <c r="F261" s="296" t="n">
        <v>52</v>
      </c>
      <c r="G261" s="285" t="s">
        <v>2109</v>
      </c>
      <c r="H261" s="293" t="n">
        <f aca="false">IF(OR($A261="",$A261="—"),"",CHOOSE(MATCH($I$1,{"Low","Mid","High"},0),D261,E261,F261))</f>
        <v>28</v>
      </c>
    </row>
    <row r="262" customFormat="false" ht="15" hidden="false" customHeight="true" outlineLevel="0" collapsed="false">
      <c r="A262" s="290" t="s">
        <v>348</v>
      </c>
      <c r="B262" s="291" t="s">
        <v>349</v>
      </c>
      <c r="C262" s="290" t="s">
        <v>300</v>
      </c>
      <c r="D262" s="292" t="n">
        <v>0</v>
      </c>
      <c r="E262" s="292" t="n">
        <v>0</v>
      </c>
      <c r="F262" s="292" t="n">
        <v>0</v>
      </c>
      <c r="G262" s="280" t="s">
        <v>2109</v>
      </c>
      <c r="H262" s="293" t="n">
        <f aca="false">IF(OR($A262="",$A262="—"),"",CHOOSE(MATCH($I$1,{"Low","Mid","High"},0),D262,E262,F262))</f>
        <v>0</v>
      </c>
    </row>
    <row r="263" customFormat="false" ht="15" hidden="false" customHeight="true" outlineLevel="0" collapsed="false">
      <c r="A263" s="294" t="s">
        <v>350</v>
      </c>
      <c r="B263" s="295" t="s">
        <v>351</v>
      </c>
      <c r="C263" s="294" t="s">
        <v>300</v>
      </c>
      <c r="D263" s="296" t="n">
        <v>0</v>
      </c>
      <c r="E263" s="296" t="n">
        <v>0</v>
      </c>
      <c r="F263" s="296" t="n">
        <v>0</v>
      </c>
      <c r="G263" s="285" t="s">
        <v>2109</v>
      </c>
      <c r="H263" s="293" t="n">
        <f aca="false">IF(OR($A263="",$A263="—"),"",CHOOSE(MATCH($I$1,{"Low","Mid","High"},0),D263,E263,F263))</f>
        <v>0</v>
      </c>
    </row>
    <row r="264" customFormat="false" ht="15" hidden="false" customHeight="true" outlineLevel="0" collapsed="false">
      <c r="A264" s="290" t="s">
        <v>352</v>
      </c>
      <c r="B264" s="291" t="s">
        <v>353</v>
      </c>
      <c r="C264" s="290" t="s">
        <v>300</v>
      </c>
      <c r="D264" s="292" t="n">
        <v>0</v>
      </c>
      <c r="E264" s="292" t="n">
        <v>0</v>
      </c>
      <c r="F264" s="292" t="n">
        <v>0</v>
      </c>
      <c r="G264" s="280" t="s">
        <v>2109</v>
      </c>
      <c r="H264" s="293" t="n">
        <f aca="false">IF(OR($A264="",$A264="—"),"",CHOOSE(MATCH($I$1,{"Low","Mid","High"},0),D264,E264,F264))</f>
        <v>0</v>
      </c>
    </row>
    <row r="265" customFormat="false" ht="15" hidden="false" customHeight="true" outlineLevel="0" collapsed="false">
      <c r="A265" s="294" t="s">
        <v>460</v>
      </c>
      <c r="B265" s="295" t="s">
        <v>461</v>
      </c>
      <c r="C265" s="294" t="s">
        <v>300</v>
      </c>
      <c r="D265" s="296" t="n">
        <v>180000</v>
      </c>
      <c r="E265" s="296" t="n">
        <v>250000</v>
      </c>
      <c r="F265" s="296" t="n">
        <v>340000</v>
      </c>
      <c r="G265" s="285" t="s">
        <v>2113</v>
      </c>
      <c r="H265" s="293" t="n">
        <f aca="false">IF(OR($A265="",$A265="—"),"",CHOOSE(MATCH($I$1,{"Low","Mid","High"},0),D265,E265,F265))</f>
        <v>180000</v>
      </c>
    </row>
    <row r="266" customFormat="false" ht="15" hidden="false" customHeight="true" outlineLevel="0" collapsed="false">
      <c r="A266" s="290" t="s">
        <v>462</v>
      </c>
      <c r="B266" s="291" t="s">
        <v>2114</v>
      </c>
      <c r="C266" s="290" t="s">
        <v>1923</v>
      </c>
      <c r="D266" s="292" t="n">
        <v>22</v>
      </c>
      <c r="E266" s="292" t="n">
        <v>28</v>
      </c>
      <c r="F266" s="292" t="n">
        <v>36</v>
      </c>
      <c r="G266" s="280" t="s">
        <v>2115</v>
      </c>
      <c r="H266" s="293" t="n">
        <f aca="false">IF(OR($A266="",$A266="—"),"",CHOOSE(MATCH($I$1,{"Low","Mid","High"},0),D266,E266,F266))</f>
        <v>22</v>
      </c>
    </row>
    <row r="267" customFormat="false" ht="15" hidden="false" customHeight="true" outlineLevel="0" collapsed="false">
      <c r="A267" s="294" t="s">
        <v>470</v>
      </c>
      <c r="B267" s="295" t="s">
        <v>471</v>
      </c>
      <c r="C267" s="294" t="s">
        <v>1923</v>
      </c>
      <c r="D267" s="296" t="n">
        <v>26</v>
      </c>
      <c r="E267" s="296" t="n">
        <v>32</v>
      </c>
      <c r="F267" s="296" t="n">
        <v>42</v>
      </c>
      <c r="G267" s="285" t="s">
        <v>2116</v>
      </c>
      <c r="H267" s="293" t="n">
        <f aca="false">IF(OR($A267="",$A267="—"),"",CHOOSE(MATCH($I$1,{"Low","Mid","High"},0),D267,E267,F267))</f>
        <v>26</v>
      </c>
    </row>
    <row r="268" customFormat="false" ht="15" hidden="false" customHeight="true" outlineLevel="0" collapsed="false">
      <c r="A268" s="290" t="s">
        <v>472</v>
      </c>
      <c r="B268" s="291" t="s">
        <v>473</v>
      </c>
      <c r="C268" s="290" t="s">
        <v>1923</v>
      </c>
      <c r="D268" s="292" t="n">
        <v>40</v>
      </c>
      <c r="E268" s="292" t="n">
        <v>52</v>
      </c>
      <c r="F268" s="292" t="n">
        <v>68</v>
      </c>
      <c r="G268" s="280" t="s">
        <v>2117</v>
      </c>
      <c r="H268" s="293" t="n">
        <f aca="false">IF(OR($A268="",$A268="—"),"",CHOOSE(MATCH($I$1,{"Low","Mid","High"},0),D268,E268,F268))</f>
        <v>40</v>
      </c>
    </row>
    <row r="269" customFormat="false" ht="15" hidden="false" customHeight="true" outlineLevel="0" collapsed="false">
      <c r="A269" s="294" t="s">
        <v>474</v>
      </c>
      <c r="B269" s="295" t="s">
        <v>475</v>
      </c>
      <c r="C269" s="294" t="s">
        <v>1923</v>
      </c>
      <c r="D269" s="296" t="n">
        <v>30</v>
      </c>
      <c r="E269" s="296" t="n">
        <v>40</v>
      </c>
      <c r="F269" s="296" t="n">
        <v>55</v>
      </c>
      <c r="G269" s="285" t="s">
        <v>2118</v>
      </c>
      <c r="H269" s="293" t="n">
        <f aca="false">IF(OR($A269="",$A269="—"),"",CHOOSE(MATCH($I$1,{"Low","Mid","High"},0),D269,E269,F269))</f>
        <v>30</v>
      </c>
    </row>
    <row r="270" customFormat="false" ht="15" hidden="false" customHeight="true" outlineLevel="0" collapsed="false">
      <c r="A270" s="290" t="s">
        <v>476</v>
      </c>
      <c r="B270" s="291" t="s">
        <v>477</v>
      </c>
      <c r="C270" s="290" t="s">
        <v>300</v>
      </c>
      <c r="D270" s="292" t="n">
        <v>70000</v>
      </c>
      <c r="E270" s="292" t="n">
        <v>95000</v>
      </c>
      <c r="F270" s="292" t="n">
        <v>130000</v>
      </c>
      <c r="G270" s="280" t="s">
        <v>2119</v>
      </c>
      <c r="H270" s="293" t="n">
        <f aca="false">IF(OR($A270="",$A270="—"),"",CHOOSE(MATCH($I$1,{"Low","Mid","High"},0),D270,E270,F270))</f>
        <v>70000</v>
      </c>
    </row>
    <row r="271" customFormat="false" ht="15" hidden="false" customHeight="true" outlineLevel="0" collapsed="false">
      <c r="A271" s="294" t="s">
        <v>556</v>
      </c>
      <c r="B271" s="295" t="s">
        <v>557</v>
      </c>
      <c r="C271" s="294" t="s">
        <v>1923</v>
      </c>
      <c r="D271" s="296" t="n">
        <v>2.5</v>
      </c>
      <c r="E271" s="296" t="n">
        <v>4</v>
      </c>
      <c r="F271" s="296" t="n">
        <v>6</v>
      </c>
      <c r="G271" s="285" t="s">
        <v>2120</v>
      </c>
      <c r="H271" s="293" t="n">
        <f aca="false">IF(OR($A271="",$A271="—"),"",CHOOSE(MATCH($I$1,{"Low","Mid","High"},0),D271,E271,F271))</f>
        <v>2.5</v>
      </c>
    </row>
    <row r="272" customFormat="false" ht="15" hidden="false" customHeight="true" outlineLevel="0" collapsed="false">
      <c r="A272" s="290" t="s">
        <v>558</v>
      </c>
      <c r="B272" s="291" t="s">
        <v>559</v>
      </c>
      <c r="C272" s="290" t="s">
        <v>1923</v>
      </c>
      <c r="D272" s="292" t="n">
        <v>3</v>
      </c>
      <c r="E272" s="292" t="n">
        <v>4.5</v>
      </c>
      <c r="F272" s="292" t="n">
        <v>7</v>
      </c>
      <c r="G272" s="280" t="s">
        <v>2121</v>
      </c>
      <c r="H272" s="293" t="n">
        <f aca="false">IF(OR($A272="",$A272="—"),"",CHOOSE(MATCH($I$1,{"Low","Mid","High"},0),D272,E272,F272))</f>
        <v>3</v>
      </c>
    </row>
    <row r="273" customFormat="false" ht="15" hidden="false" customHeight="true" outlineLevel="0" collapsed="false">
      <c r="A273" s="294" t="s">
        <v>560</v>
      </c>
      <c r="B273" s="295" t="s">
        <v>561</v>
      </c>
      <c r="C273" s="294" t="s">
        <v>1923</v>
      </c>
      <c r="D273" s="296" t="n">
        <v>6</v>
      </c>
      <c r="E273" s="296" t="n">
        <v>9</v>
      </c>
      <c r="F273" s="296" t="n">
        <v>14</v>
      </c>
      <c r="G273" s="285" t="s">
        <v>2122</v>
      </c>
      <c r="H273" s="293" t="n">
        <f aca="false">IF(OR($A273="",$A273="—"),"",CHOOSE(MATCH($I$1,{"Low","Mid","High"},0),D273,E273,F273))</f>
        <v>6</v>
      </c>
    </row>
    <row r="274" customFormat="false" ht="15" hidden="false" customHeight="true" outlineLevel="0" collapsed="false">
      <c r="A274" s="290" t="s">
        <v>562</v>
      </c>
      <c r="B274" s="291" t="s">
        <v>563</v>
      </c>
      <c r="C274" s="290" t="s">
        <v>1923</v>
      </c>
      <c r="D274" s="292" t="n">
        <v>22</v>
      </c>
      <c r="E274" s="292" t="n">
        <v>30</v>
      </c>
      <c r="F274" s="292" t="n">
        <v>42</v>
      </c>
      <c r="G274" s="280" t="s">
        <v>2123</v>
      </c>
      <c r="H274" s="293" t="n">
        <f aca="false">IF(OR($A274="",$A274="—"),"",CHOOSE(MATCH($I$1,{"Low","Mid","High"},0),D274,E274,F274))</f>
        <v>22</v>
      </c>
    </row>
    <row r="275" customFormat="false" ht="15" hidden="false" customHeight="true" outlineLevel="0" collapsed="false">
      <c r="A275" s="294" t="s">
        <v>564</v>
      </c>
      <c r="B275" s="295" t="s">
        <v>565</v>
      </c>
      <c r="C275" s="294" t="s">
        <v>1960</v>
      </c>
      <c r="D275" s="296" t="n">
        <v>180</v>
      </c>
      <c r="E275" s="296" t="n">
        <v>260</v>
      </c>
      <c r="F275" s="296" t="n">
        <v>360</v>
      </c>
      <c r="G275" s="285" t="s">
        <v>2124</v>
      </c>
      <c r="H275" s="293" t="n">
        <f aca="false">IF(OR($A275="",$A275="—"),"",CHOOSE(MATCH($I$1,{"Low","Mid","High"},0),D275,E275,F275))</f>
        <v>180</v>
      </c>
    </row>
    <row r="276" customFormat="false" ht="15" hidden="false" customHeight="true" outlineLevel="0" collapsed="false">
      <c r="A276" s="290" t="s">
        <v>791</v>
      </c>
      <c r="B276" s="291" t="s">
        <v>792</v>
      </c>
      <c r="C276" s="290" t="s">
        <v>1960</v>
      </c>
      <c r="D276" s="292" t="n">
        <v>14000</v>
      </c>
      <c r="E276" s="292" t="n">
        <v>19000</v>
      </c>
      <c r="F276" s="292" t="n">
        <v>26000</v>
      </c>
      <c r="G276" s="280" t="s">
        <v>2125</v>
      </c>
      <c r="H276" s="293" t="n">
        <f aca="false">IF(OR($A276="",$A276="—"),"",CHOOSE(MATCH($I$1,{"Low","Mid","High"},0),D276,E276,F276))</f>
        <v>14000</v>
      </c>
    </row>
    <row r="277" customFormat="false" ht="15" hidden="false" customHeight="true" outlineLevel="0" collapsed="false">
      <c r="A277" s="294" t="s">
        <v>793</v>
      </c>
      <c r="B277" s="295" t="s">
        <v>794</v>
      </c>
      <c r="C277" s="294" t="s">
        <v>1960</v>
      </c>
      <c r="D277" s="296" t="n">
        <v>28000</v>
      </c>
      <c r="E277" s="296" t="n">
        <v>38000</v>
      </c>
      <c r="F277" s="296" t="n">
        <v>52000</v>
      </c>
      <c r="G277" s="285" t="s">
        <v>2126</v>
      </c>
      <c r="H277" s="293" t="n">
        <f aca="false">IF(OR($A277="",$A277="—"),"",CHOOSE(MATCH($I$1,{"Low","Mid","High"},0),D277,E277,F277))</f>
        <v>28000</v>
      </c>
    </row>
    <row r="278" customFormat="false" ht="15" hidden="false" customHeight="true" outlineLevel="0" collapsed="false">
      <c r="A278" s="290" t="s">
        <v>795</v>
      </c>
      <c r="B278" s="291" t="s">
        <v>796</v>
      </c>
      <c r="C278" s="290" t="s">
        <v>300</v>
      </c>
      <c r="D278" s="292" t="n">
        <v>60000</v>
      </c>
      <c r="E278" s="292" t="n">
        <v>85000</v>
      </c>
      <c r="F278" s="292" t="n">
        <v>120000</v>
      </c>
      <c r="G278" s="280" t="s">
        <v>2127</v>
      </c>
      <c r="H278" s="293" t="n">
        <f aca="false">IF(OR($A278="",$A278="—"),"",CHOOSE(MATCH($I$1,{"Low","Mid","High"},0),D278,E278,F278))</f>
        <v>60000</v>
      </c>
    </row>
    <row r="279" customFormat="false" ht="15" hidden="false" customHeight="true" outlineLevel="0" collapsed="false">
      <c r="A279" s="294" t="s">
        <v>797</v>
      </c>
      <c r="B279" s="295" t="s">
        <v>798</v>
      </c>
      <c r="C279" s="294" t="s">
        <v>300</v>
      </c>
      <c r="D279" s="296" t="n">
        <v>180000</v>
      </c>
      <c r="E279" s="296" t="n">
        <v>260000</v>
      </c>
      <c r="F279" s="296" t="n">
        <v>360000</v>
      </c>
      <c r="G279" s="285" t="s">
        <v>2128</v>
      </c>
      <c r="H279" s="293" t="n">
        <f aca="false">IF(OR($A279="",$A279="—"),"",CHOOSE(MATCH($I$1,{"Low","Mid","High"},0),D279,E279,F279))</f>
        <v>180000</v>
      </c>
    </row>
    <row r="280" customFormat="false" ht="15" hidden="false" customHeight="true" outlineLevel="0" collapsed="false">
      <c r="A280" s="290" t="s">
        <v>799</v>
      </c>
      <c r="B280" s="291" t="s">
        <v>800</v>
      </c>
      <c r="C280" s="290" t="s">
        <v>300</v>
      </c>
      <c r="D280" s="292" t="n">
        <v>120000</v>
      </c>
      <c r="E280" s="292" t="n">
        <v>170000</v>
      </c>
      <c r="F280" s="292" t="n">
        <v>240000</v>
      </c>
      <c r="G280" s="280" t="s">
        <v>2129</v>
      </c>
      <c r="H280" s="293" t="n">
        <f aca="false">IF(OR($A280="",$A280="—"),"",CHOOSE(MATCH($I$1,{"Low","Mid","High"},0),D280,E280,F280))</f>
        <v>120000</v>
      </c>
    </row>
    <row r="281" customFormat="false" ht="15" hidden="false" customHeight="true" outlineLevel="0" collapsed="false">
      <c r="A281" s="294" t="s">
        <v>801</v>
      </c>
      <c r="B281" s="295" t="s">
        <v>802</v>
      </c>
      <c r="C281" s="294" t="s">
        <v>300</v>
      </c>
      <c r="D281" s="296" t="n">
        <v>90000</v>
      </c>
      <c r="E281" s="296" t="n">
        <v>130000</v>
      </c>
      <c r="F281" s="296" t="n">
        <v>180000</v>
      </c>
      <c r="G281" s="285" t="s">
        <v>2130</v>
      </c>
      <c r="H281" s="293" t="n">
        <f aca="false">IF(OR($A281="",$A281="—"),"",CHOOSE(MATCH($I$1,{"Low","Mid","High"},0),D281,E281,F281))</f>
        <v>90000</v>
      </c>
    </row>
    <row r="282" customFormat="false" ht="15" hidden="false" customHeight="true" outlineLevel="0" collapsed="false">
      <c r="A282" s="290" t="s">
        <v>803</v>
      </c>
      <c r="B282" s="291" t="s">
        <v>804</v>
      </c>
      <c r="C282" s="290" t="s">
        <v>1960</v>
      </c>
      <c r="D282" s="292" t="n">
        <v>30000</v>
      </c>
      <c r="E282" s="292" t="n">
        <v>42000</v>
      </c>
      <c r="F282" s="292" t="n">
        <v>58000</v>
      </c>
      <c r="G282" s="280" t="s">
        <v>2131</v>
      </c>
      <c r="H282" s="293" t="n">
        <f aca="false">IF(OR($A282="",$A282="—"),"",CHOOSE(MATCH($I$1,{"Low","Mid","High"},0),D282,E282,F282))</f>
        <v>30000</v>
      </c>
    </row>
    <row r="283" customFormat="false" ht="15" hidden="false" customHeight="true" outlineLevel="0" collapsed="false">
      <c r="A283" s="294" t="s">
        <v>813</v>
      </c>
      <c r="B283" s="295" t="s">
        <v>814</v>
      </c>
      <c r="C283" s="294" t="s">
        <v>1923</v>
      </c>
      <c r="D283" s="296" t="n">
        <v>8</v>
      </c>
      <c r="E283" s="296" t="n">
        <v>12</v>
      </c>
      <c r="F283" s="296" t="n">
        <v>18</v>
      </c>
      <c r="G283" s="285" t="s">
        <v>2132</v>
      </c>
      <c r="H283" s="293" t="n">
        <f aca="false">IF(OR($A283="",$A283="—"),"",CHOOSE(MATCH($I$1,{"Low","Mid","High"},0),D283,E283,F283))</f>
        <v>8</v>
      </c>
    </row>
    <row r="284" customFormat="false" ht="15" hidden="false" customHeight="true" outlineLevel="0" collapsed="false">
      <c r="A284" s="290" t="s">
        <v>815</v>
      </c>
      <c r="B284" s="291" t="s">
        <v>816</v>
      </c>
      <c r="C284" s="290" t="s">
        <v>1923</v>
      </c>
      <c r="D284" s="292" t="n">
        <v>18</v>
      </c>
      <c r="E284" s="292" t="n">
        <v>26</v>
      </c>
      <c r="F284" s="292" t="n">
        <v>38</v>
      </c>
      <c r="G284" s="280" t="s">
        <v>2133</v>
      </c>
      <c r="H284" s="293" t="n">
        <f aca="false">IF(OR($A284="",$A284="—"),"",CHOOSE(MATCH($I$1,{"Low","Mid","High"},0),D284,E284,F284))</f>
        <v>18</v>
      </c>
    </row>
    <row r="285" customFormat="false" ht="15" hidden="false" customHeight="true" outlineLevel="0" collapsed="false">
      <c r="A285" s="294" t="s">
        <v>817</v>
      </c>
      <c r="B285" s="295" t="s">
        <v>818</v>
      </c>
      <c r="C285" s="294" t="s">
        <v>1929</v>
      </c>
      <c r="D285" s="296" t="n">
        <v>280</v>
      </c>
      <c r="E285" s="296" t="n">
        <v>380</v>
      </c>
      <c r="F285" s="296" t="n">
        <v>520</v>
      </c>
      <c r="G285" s="285" t="s">
        <v>2134</v>
      </c>
      <c r="H285" s="293" t="n">
        <f aca="false">IF(OR($A285="",$A285="—"),"",CHOOSE(MATCH($I$1,{"Low","Mid","High"},0),D285,E285,F285))</f>
        <v>280</v>
      </c>
    </row>
    <row r="286" customFormat="false" ht="15" hidden="false" customHeight="true" outlineLevel="0" collapsed="false">
      <c r="A286" s="290" t="s">
        <v>819</v>
      </c>
      <c r="B286" s="291" t="s">
        <v>820</v>
      </c>
      <c r="C286" s="290" t="s">
        <v>1960</v>
      </c>
      <c r="D286" s="292" t="n">
        <v>6500</v>
      </c>
      <c r="E286" s="292" t="n">
        <v>9000</v>
      </c>
      <c r="F286" s="292" t="n">
        <v>13000</v>
      </c>
      <c r="G286" s="280" t="s">
        <v>2135</v>
      </c>
      <c r="H286" s="293" t="n">
        <f aca="false">IF(OR($A286="",$A286="—"),"",CHOOSE(MATCH($I$1,{"Low","Mid","High"},0),D286,E286,F286))</f>
        <v>6500</v>
      </c>
    </row>
    <row r="287" customFormat="false" ht="15" hidden="false" customHeight="true" outlineLevel="0" collapsed="false">
      <c r="A287" s="294" t="s">
        <v>821</v>
      </c>
      <c r="B287" s="295" t="s">
        <v>822</v>
      </c>
      <c r="C287" s="294" t="s">
        <v>300</v>
      </c>
      <c r="D287" s="296" t="n">
        <v>220000</v>
      </c>
      <c r="E287" s="296" t="n">
        <v>320000</v>
      </c>
      <c r="F287" s="296" t="n">
        <v>450000</v>
      </c>
      <c r="G287" s="285" t="s">
        <v>2136</v>
      </c>
      <c r="H287" s="293" t="n">
        <f aca="false">IF(OR($A287="",$A287="—"),"",CHOOSE(MATCH($I$1,{"Low","Mid","High"},0),D287,E287,F287))</f>
        <v>220000</v>
      </c>
    </row>
    <row r="288" customFormat="false" ht="15" hidden="false" customHeight="true" outlineLevel="0" collapsed="false">
      <c r="A288" s="290" t="s">
        <v>823</v>
      </c>
      <c r="B288" s="291" t="s">
        <v>824</v>
      </c>
      <c r="C288" s="290" t="s">
        <v>300</v>
      </c>
      <c r="D288" s="292" t="n">
        <v>40000</v>
      </c>
      <c r="E288" s="292" t="n">
        <v>60000</v>
      </c>
      <c r="F288" s="292" t="n">
        <v>85000</v>
      </c>
      <c r="G288" s="280" t="s">
        <v>2137</v>
      </c>
      <c r="H288" s="293" t="n">
        <f aca="false">IF(OR($A288="",$A288="—"),"",CHOOSE(MATCH($I$1,{"Low","Mid","High"},0),D288,E288,F288))</f>
        <v>40000</v>
      </c>
    </row>
    <row r="289" customFormat="false" ht="15" hidden="false" customHeight="true" outlineLevel="0" collapsed="false">
      <c r="A289" s="294" t="s">
        <v>829</v>
      </c>
      <c r="B289" s="295" t="s">
        <v>830</v>
      </c>
      <c r="C289" s="294" t="s">
        <v>1960</v>
      </c>
      <c r="D289" s="296" t="n">
        <v>140000</v>
      </c>
      <c r="E289" s="296" t="n">
        <v>190000</v>
      </c>
      <c r="F289" s="296" t="n">
        <v>260000</v>
      </c>
      <c r="G289" s="285" t="s">
        <v>2138</v>
      </c>
      <c r="H289" s="293" t="n">
        <f aca="false">IF(OR($A289="",$A289="—"),"",CHOOSE(MATCH($I$1,{"Low","Mid","High"},0),D289,E289,F289))</f>
        <v>140000</v>
      </c>
    </row>
    <row r="290" customFormat="false" ht="15" hidden="false" customHeight="true" outlineLevel="0" collapsed="false">
      <c r="A290" s="290" t="s">
        <v>831</v>
      </c>
      <c r="B290" s="291" t="s">
        <v>832</v>
      </c>
      <c r="C290" s="290" t="s">
        <v>1960</v>
      </c>
      <c r="D290" s="292" t="n">
        <v>320000</v>
      </c>
      <c r="E290" s="292" t="n">
        <v>420000</v>
      </c>
      <c r="F290" s="292" t="n">
        <v>560000</v>
      </c>
      <c r="G290" s="280" t="s">
        <v>2139</v>
      </c>
      <c r="H290" s="293" t="n">
        <f aca="false">IF(OR($A290="",$A290="—"),"",CHOOSE(MATCH($I$1,{"Low","Mid","High"},0),D290,E290,F290))</f>
        <v>320000</v>
      </c>
    </row>
    <row r="291" customFormat="false" ht="15" hidden="false" customHeight="true" outlineLevel="0" collapsed="false">
      <c r="A291" s="294" t="s">
        <v>833</v>
      </c>
      <c r="B291" s="295" t="s">
        <v>834</v>
      </c>
      <c r="C291" s="294" t="s">
        <v>1960</v>
      </c>
      <c r="D291" s="296" t="n">
        <v>95000</v>
      </c>
      <c r="E291" s="296" t="n">
        <v>130000</v>
      </c>
      <c r="F291" s="296" t="n">
        <v>175000</v>
      </c>
      <c r="G291" s="285" t="s">
        <v>2140</v>
      </c>
      <c r="H291" s="293" t="n">
        <f aca="false">IF(OR($A291="",$A291="—"),"",CHOOSE(MATCH($I$1,{"Low","Mid","High"},0),D291,E291,F291))</f>
        <v>95000</v>
      </c>
    </row>
    <row r="292" customFormat="false" ht="15" hidden="false" customHeight="true" outlineLevel="0" collapsed="false">
      <c r="A292" s="290" t="s">
        <v>835</v>
      </c>
      <c r="B292" s="291" t="s">
        <v>836</v>
      </c>
      <c r="C292" s="290" t="s">
        <v>1960</v>
      </c>
      <c r="D292" s="292" t="n">
        <v>45000</v>
      </c>
      <c r="E292" s="292" t="n">
        <v>62000</v>
      </c>
      <c r="F292" s="292" t="n">
        <v>85000</v>
      </c>
      <c r="G292" s="280" t="s">
        <v>2141</v>
      </c>
      <c r="H292" s="293" t="n">
        <f aca="false">IF(OR($A292="",$A292="—"),"",CHOOSE(MATCH($I$1,{"Low","Mid","High"},0),D292,E292,F292))</f>
        <v>45000</v>
      </c>
    </row>
    <row r="293" customFormat="false" ht="15" hidden="false" customHeight="true" outlineLevel="0" collapsed="false">
      <c r="A293" s="294" t="s">
        <v>837</v>
      </c>
      <c r="B293" s="295" t="s">
        <v>838</v>
      </c>
      <c r="C293" s="294" t="s">
        <v>1960</v>
      </c>
      <c r="D293" s="296" t="n">
        <v>70000</v>
      </c>
      <c r="E293" s="296" t="n">
        <v>100000</v>
      </c>
      <c r="F293" s="296" t="n">
        <v>140000</v>
      </c>
      <c r="G293" s="285" t="s">
        <v>2142</v>
      </c>
      <c r="H293" s="293" t="n">
        <f aca="false">IF(OR($A293="",$A293="—"),"",CHOOSE(MATCH($I$1,{"Low","Mid","High"},0),D293,E293,F293))</f>
        <v>70000</v>
      </c>
    </row>
    <row r="294" customFormat="false" ht="15" hidden="false" customHeight="true" outlineLevel="0" collapsed="false">
      <c r="A294" s="290" t="s">
        <v>839</v>
      </c>
      <c r="B294" s="291" t="s">
        <v>840</v>
      </c>
      <c r="C294" s="290" t="s">
        <v>300</v>
      </c>
      <c r="D294" s="292" t="n">
        <v>80000</v>
      </c>
      <c r="E294" s="292" t="n">
        <v>120000</v>
      </c>
      <c r="F294" s="292" t="n">
        <v>170000</v>
      </c>
      <c r="G294" s="280" t="s">
        <v>2143</v>
      </c>
      <c r="H294" s="293" t="n">
        <f aca="false">IF(OR($A294="",$A294="—"),"",CHOOSE(MATCH($I$1,{"Low","Mid","High"},0),D294,E294,F294))</f>
        <v>80000</v>
      </c>
    </row>
    <row r="295" customFormat="false" ht="15" hidden="false" customHeight="true" outlineLevel="0" collapsed="false">
      <c r="A295" s="294" t="s">
        <v>1171</v>
      </c>
      <c r="B295" s="295" t="s">
        <v>1172</v>
      </c>
      <c r="C295" s="294" t="s">
        <v>1923</v>
      </c>
      <c r="D295" s="296" t="n">
        <v>0.8</v>
      </c>
      <c r="E295" s="296" t="n">
        <v>1.2</v>
      </c>
      <c r="F295" s="296" t="n">
        <v>1.8</v>
      </c>
      <c r="G295" s="285" t="s">
        <v>2144</v>
      </c>
      <c r="H295" s="293" t="n">
        <f aca="false">IF(OR($A295="",$A295="—"),"",CHOOSE(MATCH($I$1,{"Low","Mid","High"},0),D295,E295,F295))</f>
        <v>0.8</v>
      </c>
    </row>
    <row r="296" customFormat="false" ht="15" hidden="false" customHeight="true" outlineLevel="0" collapsed="false">
      <c r="A296" s="290" t="s">
        <v>1173</v>
      </c>
      <c r="B296" s="291" t="s">
        <v>1174</v>
      </c>
      <c r="C296" s="290" t="s">
        <v>300</v>
      </c>
      <c r="D296" s="292" t="n">
        <v>1500000</v>
      </c>
      <c r="E296" s="292" t="n">
        <v>2100000</v>
      </c>
      <c r="F296" s="292" t="n">
        <v>2900000</v>
      </c>
      <c r="G296" s="280" t="s">
        <v>2145</v>
      </c>
      <c r="H296" s="293" t="n">
        <f aca="false">IF(OR($A296="",$A296="—"),"",CHOOSE(MATCH($I$1,{"Low","Mid","High"},0),D296,E296,F296))</f>
        <v>1500000</v>
      </c>
    </row>
    <row r="297" customFormat="false" ht="15" hidden="false" customHeight="true" outlineLevel="0" collapsed="false">
      <c r="A297" s="294" t="s">
        <v>1175</v>
      </c>
      <c r="B297" s="295" t="s">
        <v>1176</v>
      </c>
      <c r="C297" s="294" t="s">
        <v>1960</v>
      </c>
      <c r="D297" s="296" t="n">
        <v>32000</v>
      </c>
      <c r="E297" s="296" t="n">
        <v>45000</v>
      </c>
      <c r="F297" s="296" t="n">
        <v>62000</v>
      </c>
      <c r="G297" s="285" t="s">
        <v>2146</v>
      </c>
      <c r="H297" s="293" t="n">
        <f aca="false">IF(OR($A297="",$A297="—"),"",CHOOSE(MATCH($I$1,{"Low","Mid","High"},0),D297,E297,F297))</f>
        <v>32000</v>
      </c>
    </row>
    <row r="298" customFormat="false" ht="15" hidden="false" customHeight="true" outlineLevel="0" collapsed="false">
      <c r="A298" s="290" t="s">
        <v>1177</v>
      </c>
      <c r="B298" s="291" t="s">
        <v>1178</v>
      </c>
      <c r="C298" s="290" t="s">
        <v>1960</v>
      </c>
      <c r="D298" s="292" t="n">
        <v>12000</v>
      </c>
      <c r="E298" s="292" t="n">
        <v>17000</v>
      </c>
      <c r="F298" s="292" t="n">
        <v>24000</v>
      </c>
      <c r="G298" s="280" t="s">
        <v>2147</v>
      </c>
      <c r="H298" s="293" t="n">
        <f aca="false">IF(OR($A298="",$A298="—"),"",CHOOSE(MATCH($I$1,{"Low","Mid","High"},0),D298,E298,F298))</f>
        <v>12000</v>
      </c>
    </row>
    <row r="299" customFormat="false" ht="15" hidden="false" customHeight="true" outlineLevel="0" collapsed="false">
      <c r="A299" s="294" t="s">
        <v>1179</v>
      </c>
      <c r="B299" s="295" t="s">
        <v>1180</v>
      </c>
      <c r="C299" s="294" t="s">
        <v>1960</v>
      </c>
      <c r="D299" s="296" t="n">
        <v>8000</v>
      </c>
      <c r="E299" s="296" t="n">
        <v>12000</v>
      </c>
      <c r="F299" s="296" t="n">
        <v>17000</v>
      </c>
      <c r="G299" s="285" t="s">
        <v>2148</v>
      </c>
      <c r="H299" s="293" t="n">
        <f aca="false">IF(OR($A299="",$A299="—"),"",CHOOSE(MATCH($I$1,{"Low","Mid","High"},0),D299,E299,F299))</f>
        <v>8000</v>
      </c>
    </row>
    <row r="300" customFormat="false" ht="15" hidden="false" customHeight="true" outlineLevel="0" collapsed="false">
      <c r="A300" s="290" t="s">
        <v>1181</v>
      </c>
      <c r="B300" s="291" t="s">
        <v>2149</v>
      </c>
      <c r="C300" s="290" t="s">
        <v>280</v>
      </c>
      <c r="D300" s="292" t="n">
        <v>35000</v>
      </c>
      <c r="E300" s="292" t="n">
        <v>50000</v>
      </c>
      <c r="F300" s="292" t="n">
        <v>68000</v>
      </c>
      <c r="G300" s="280" t="s">
        <v>2150</v>
      </c>
      <c r="H300" s="293" t="n">
        <f aca="false">IF(OR($A300="",$A300="—"),"",CHOOSE(MATCH($I$1,{"Low","Mid","High"},0),D300,E300,F300))</f>
        <v>35000</v>
      </c>
    </row>
    <row r="301" customFormat="false" ht="15" hidden="false" customHeight="true" outlineLevel="0" collapsed="false">
      <c r="A301" s="294" t="s">
        <v>1189</v>
      </c>
      <c r="B301" s="295" t="s">
        <v>2151</v>
      </c>
      <c r="C301" s="294" t="s">
        <v>300</v>
      </c>
      <c r="D301" s="296" t="n">
        <v>2000000</v>
      </c>
      <c r="E301" s="296" t="n">
        <v>2800000</v>
      </c>
      <c r="F301" s="296" t="n">
        <v>3800000</v>
      </c>
      <c r="G301" s="285" t="s">
        <v>2152</v>
      </c>
      <c r="H301" s="293" t="n">
        <f aca="false">IF(OR($A301="",$A301="—"),"",CHOOSE(MATCH($I$1,{"Low","Mid","High"},0),D301,E301,F301))</f>
        <v>2000000</v>
      </c>
    </row>
    <row r="302" customFormat="false" ht="15" hidden="false" customHeight="true" outlineLevel="0" collapsed="false">
      <c r="A302" s="290" t="s">
        <v>1197</v>
      </c>
      <c r="B302" s="291" t="s">
        <v>1198</v>
      </c>
      <c r="C302" s="290" t="s">
        <v>300</v>
      </c>
      <c r="D302" s="292" t="n">
        <v>550000</v>
      </c>
      <c r="E302" s="292" t="n">
        <v>780000</v>
      </c>
      <c r="F302" s="292" t="n">
        <v>1100000</v>
      </c>
      <c r="G302" s="280" t="s">
        <v>2153</v>
      </c>
      <c r="H302" s="293" t="n">
        <f aca="false">IF(OR($A302="",$A302="—"),"",CHOOSE(MATCH($I$1,{"Low","Mid","High"},0),D302,E302,F302))</f>
        <v>550000</v>
      </c>
    </row>
    <row r="303" customFormat="false" ht="15" hidden="false" customHeight="true" outlineLevel="0" collapsed="false">
      <c r="A303" s="294" t="s">
        <v>1199</v>
      </c>
      <c r="B303" s="295" t="s">
        <v>2154</v>
      </c>
      <c r="C303" s="294" t="s">
        <v>280</v>
      </c>
      <c r="D303" s="296" t="n">
        <v>22000</v>
      </c>
      <c r="E303" s="296" t="n">
        <v>32000</v>
      </c>
      <c r="F303" s="296" t="n">
        <v>45000</v>
      </c>
      <c r="G303" s="285" t="s">
        <v>2155</v>
      </c>
      <c r="H303" s="293" t="n">
        <f aca="false">IF(OR($A303="",$A303="—"),"",CHOOSE(MATCH($I$1,{"Low","Mid","High"},0),D303,E303,F303))</f>
        <v>22000</v>
      </c>
    </row>
    <row r="304" customFormat="false" ht="15" hidden="false" customHeight="true" outlineLevel="0" collapsed="false">
      <c r="A304" s="290" t="s">
        <v>1207</v>
      </c>
      <c r="B304" s="291" t="s">
        <v>1208</v>
      </c>
      <c r="C304" s="290" t="s">
        <v>300</v>
      </c>
      <c r="D304" s="292" t="n">
        <v>800000</v>
      </c>
      <c r="E304" s="292" t="n">
        <v>1150000</v>
      </c>
      <c r="F304" s="292" t="n">
        <v>1600000</v>
      </c>
      <c r="G304" s="280" t="s">
        <v>2156</v>
      </c>
      <c r="H304" s="293" t="n">
        <f aca="false">IF(OR($A304="",$A304="—"),"",CHOOSE(MATCH($I$1,{"Low","Mid","High"},0),D304,E304,F304))</f>
        <v>800000</v>
      </c>
    </row>
    <row r="305" customFormat="false" ht="15" hidden="false" customHeight="true" outlineLevel="0" collapsed="false">
      <c r="A305" s="294" t="s">
        <v>1683</v>
      </c>
      <c r="B305" s="295" t="s">
        <v>1684</v>
      </c>
      <c r="C305" s="294" t="s">
        <v>300</v>
      </c>
      <c r="D305" s="296" t="n">
        <v>350000</v>
      </c>
      <c r="E305" s="296" t="n">
        <v>550000</v>
      </c>
      <c r="F305" s="296" t="n">
        <v>850000</v>
      </c>
      <c r="G305" s="285" t="s">
        <v>2157</v>
      </c>
      <c r="H305" s="293" t="n">
        <f aca="false">IF($A305="","",CHOOSE(MATCH($I$1,{"Low","Mid","High"},0),D305,E305,F305))</f>
        <v>350000</v>
      </c>
    </row>
    <row r="306" customFormat="false" ht="15" hidden="false" customHeight="true" outlineLevel="0" collapsed="false">
      <c r="A306" s="290" t="s">
        <v>1685</v>
      </c>
      <c r="B306" s="291" t="s">
        <v>1686</v>
      </c>
      <c r="C306" s="290" t="s">
        <v>1925</v>
      </c>
      <c r="D306" s="292" t="n">
        <v>38</v>
      </c>
      <c r="E306" s="292" t="n">
        <v>52</v>
      </c>
      <c r="F306" s="292" t="n">
        <v>72</v>
      </c>
      <c r="G306" s="280" t="s">
        <v>2157</v>
      </c>
      <c r="H306" s="293" t="n">
        <f aca="false">IF($A306="","",CHOOSE(MATCH($I$1,{"Low","Mid","High"},0),D306,E306,F306))</f>
        <v>38</v>
      </c>
    </row>
    <row r="307" customFormat="false" ht="15" hidden="false" customHeight="true" outlineLevel="0" collapsed="false">
      <c r="A307" s="294" t="s">
        <v>1687</v>
      </c>
      <c r="B307" s="295" t="s">
        <v>1688</v>
      </c>
      <c r="C307" s="294" t="s">
        <v>1923</v>
      </c>
      <c r="D307" s="296" t="n">
        <v>0.6</v>
      </c>
      <c r="E307" s="296" t="n">
        <v>0.95</v>
      </c>
      <c r="F307" s="296" t="n">
        <v>1.5</v>
      </c>
      <c r="G307" s="285" t="s">
        <v>2157</v>
      </c>
      <c r="H307" s="293" t="n">
        <f aca="false">IF($A307="","",CHOOSE(MATCH($I$1,{"Low","Mid","High"},0),D307,E307,F307))</f>
        <v>0.6</v>
      </c>
    </row>
    <row r="308" customFormat="false" ht="15" hidden="false" customHeight="true" outlineLevel="0" collapsed="false">
      <c r="A308" s="290" t="s">
        <v>1725</v>
      </c>
      <c r="B308" s="291" t="s">
        <v>1726</v>
      </c>
      <c r="C308" s="290" t="s">
        <v>1923</v>
      </c>
      <c r="D308" s="292" t="n">
        <v>45</v>
      </c>
      <c r="E308" s="292" t="n">
        <v>68</v>
      </c>
      <c r="F308" s="292" t="n">
        <v>98</v>
      </c>
      <c r="G308" s="280" t="s">
        <v>2158</v>
      </c>
      <c r="H308" s="293" t="n">
        <f aca="false">IF($A308="","",CHOOSE(MATCH($I$1,{"Low","Mid","High"},0),D308,E308,F308))</f>
        <v>45</v>
      </c>
    </row>
    <row r="309" customFormat="false" ht="15" hidden="false" customHeight="true" outlineLevel="0" collapsed="false">
      <c r="A309" s="294" t="s">
        <v>1727</v>
      </c>
      <c r="B309" s="295" t="s">
        <v>1728</v>
      </c>
      <c r="C309" s="294" t="s">
        <v>1929</v>
      </c>
      <c r="D309" s="296" t="n">
        <v>55</v>
      </c>
      <c r="E309" s="296" t="n">
        <v>85</v>
      </c>
      <c r="F309" s="296" t="n">
        <v>130</v>
      </c>
      <c r="G309" s="285" t="s">
        <v>2158</v>
      </c>
      <c r="H309" s="293" t="n">
        <f aca="false">IF($A309="","",CHOOSE(MATCH($I$1,{"Low","Mid","High"},0),D309,E309,F309))</f>
        <v>55</v>
      </c>
    </row>
    <row r="310" customFormat="false" ht="15" hidden="false" customHeight="true" outlineLevel="0" collapsed="false">
      <c r="A310" s="290" t="s">
        <v>1807</v>
      </c>
      <c r="B310" s="291" t="s">
        <v>1808</v>
      </c>
      <c r="C310" s="290" t="s">
        <v>1929</v>
      </c>
      <c r="D310" s="292" t="n">
        <v>85</v>
      </c>
      <c r="E310" s="292" t="n">
        <v>130</v>
      </c>
      <c r="F310" s="292" t="n">
        <v>195</v>
      </c>
      <c r="G310" s="280" t="s">
        <v>2159</v>
      </c>
      <c r="H310" s="293" t="n">
        <f aca="false">IF($A310="","",CHOOSE(MATCH($I$1,{"Low","Mid","High"},0),D310,E310,F310))</f>
        <v>85</v>
      </c>
    </row>
    <row r="311" customFormat="false" ht="15" hidden="false" customHeight="true" outlineLevel="0" collapsed="false">
      <c r="A311" s="294" t="s">
        <v>1809</v>
      </c>
      <c r="B311" s="295" t="s">
        <v>1810</v>
      </c>
      <c r="C311" s="294" t="s">
        <v>1929</v>
      </c>
      <c r="D311" s="296" t="n">
        <v>140</v>
      </c>
      <c r="E311" s="296" t="n">
        <v>200</v>
      </c>
      <c r="F311" s="296" t="n">
        <v>300</v>
      </c>
      <c r="G311" s="285" t="s">
        <v>2159</v>
      </c>
      <c r="H311" s="293" t="n">
        <f aca="false">IF($A311="","",CHOOSE(MATCH($I$1,{"Low","Mid","High"},0),D311,E311,F311))</f>
        <v>140</v>
      </c>
    </row>
    <row r="312" customFormat="false" ht="15" hidden="false" customHeight="true" outlineLevel="0" collapsed="false">
      <c r="A312" s="290" t="s">
        <v>436</v>
      </c>
      <c r="B312" s="291" t="s">
        <v>437</v>
      </c>
      <c r="C312" s="290" t="s">
        <v>1923</v>
      </c>
      <c r="D312" s="292" t="n">
        <v>1.1</v>
      </c>
      <c r="E312" s="292" t="n">
        <v>1.7</v>
      </c>
      <c r="F312" s="292" t="n">
        <v>2.6</v>
      </c>
      <c r="G312" s="280" t="s">
        <v>2160</v>
      </c>
      <c r="H312" s="293" t="n">
        <f aca="false">IF($A312="","",CHOOSE(MATCH($I$1,{"Low","Mid","High"},0),D312,E312,F312))</f>
        <v>1.1</v>
      </c>
    </row>
    <row r="313" customFormat="false" ht="15" hidden="false" customHeight="true" outlineLevel="0" collapsed="false">
      <c r="A313" s="294" t="s">
        <v>438</v>
      </c>
      <c r="B313" s="295" t="s">
        <v>439</v>
      </c>
      <c r="C313" s="294" t="s">
        <v>300</v>
      </c>
      <c r="D313" s="296" t="n">
        <v>180000</v>
      </c>
      <c r="E313" s="296" t="n">
        <v>280000</v>
      </c>
      <c r="F313" s="296" t="n">
        <v>420000</v>
      </c>
      <c r="G313" s="285" t="s">
        <v>2160</v>
      </c>
      <c r="H313" s="293" t="n">
        <f aca="false">IF($A313="","",CHOOSE(MATCH($I$1,{"Low","Mid","High"},0),D313,E313,F313))</f>
        <v>180000</v>
      </c>
    </row>
    <row r="314" customFormat="false" ht="15" hidden="false" customHeight="true" outlineLevel="0" collapsed="false">
      <c r="A314" s="290" t="s">
        <v>544</v>
      </c>
      <c r="B314" s="291" t="s">
        <v>545</v>
      </c>
      <c r="C314" s="290" t="s">
        <v>300</v>
      </c>
      <c r="D314" s="292" t="n">
        <v>220000</v>
      </c>
      <c r="E314" s="292" t="n">
        <v>340000</v>
      </c>
      <c r="F314" s="292" t="n">
        <v>520000</v>
      </c>
      <c r="G314" s="280" t="s">
        <v>2161</v>
      </c>
      <c r="H314" s="293" t="n">
        <f aca="false">IF($A314="","",CHOOSE(MATCH($I$1,{"Low","Mid","High"},0),D314,E314,F314))</f>
        <v>220000</v>
      </c>
    </row>
    <row r="315" customFormat="false" ht="15" hidden="false" customHeight="true" outlineLevel="0" collapsed="false">
      <c r="A315" s="294" t="s">
        <v>630</v>
      </c>
      <c r="B315" s="295" t="s">
        <v>631</v>
      </c>
      <c r="C315" s="294" t="s">
        <v>1923</v>
      </c>
      <c r="D315" s="296" t="n">
        <v>2.2</v>
      </c>
      <c r="E315" s="296" t="n">
        <v>3.4</v>
      </c>
      <c r="F315" s="296" t="n">
        <v>5</v>
      </c>
      <c r="G315" s="285" t="s">
        <v>2162</v>
      </c>
      <c r="H315" s="293" t="n">
        <f aca="false">IF($A315="","",CHOOSE(MATCH($I$1,{"Low","Mid","High"},0),D315,E315,F315))</f>
        <v>2.2</v>
      </c>
    </row>
    <row r="316" customFormat="false" ht="15" hidden="false" customHeight="true" outlineLevel="0" collapsed="false">
      <c r="A316" s="290" t="s">
        <v>632</v>
      </c>
      <c r="B316" s="291" t="s">
        <v>633</v>
      </c>
      <c r="C316" s="290" t="s">
        <v>1929</v>
      </c>
      <c r="D316" s="292" t="n">
        <v>65</v>
      </c>
      <c r="E316" s="292" t="n">
        <v>95</v>
      </c>
      <c r="F316" s="292" t="n">
        <v>145</v>
      </c>
      <c r="G316" s="280" t="s">
        <v>2162</v>
      </c>
      <c r="H316" s="293" t="n">
        <f aca="false">IF($A316="","",CHOOSE(MATCH($I$1,{"Low","Mid","High"},0),D316,E316,F316))</f>
        <v>65</v>
      </c>
    </row>
    <row r="317" customFormat="false" ht="15" hidden="false" customHeight="true" outlineLevel="0" collapsed="false">
      <c r="A317" s="294" t="s">
        <v>939</v>
      </c>
      <c r="B317" s="295" t="s">
        <v>940</v>
      </c>
      <c r="C317" s="294" t="s">
        <v>1960</v>
      </c>
      <c r="D317" s="296" t="n">
        <v>9500</v>
      </c>
      <c r="E317" s="296" t="n">
        <v>14000</v>
      </c>
      <c r="F317" s="296" t="n">
        <v>21000</v>
      </c>
      <c r="G317" s="285" t="s">
        <v>2163</v>
      </c>
      <c r="H317" s="293" t="n">
        <f aca="false">IF($A317="","",CHOOSE(MATCH($I$1,{"Low","Mid","High"},0),D317,E317,F317))</f>
        <v>9500</v>
      </c>
    </row>
    <row r="318" customFormat="false" ht="15" hidden="false" customHeight="true" outlineLevel="0" collapsed="false">
      <c r="A318" s="290" t="s">
        <v>678</v>
      </c>
      <c r="B318" s="291" t="s">
        <v>679</v>
      </c>
      <c r="C318" s="290" t="s">
        <v>1923</v>
      </c>
      <c r="D318" s="292" t="n">
        <v>38</v>
      </c>
      <c r="E318" s="292" t="n">
        <v>55</v>
      </c>
      <c r="F318" s="292" t="n">
        <v>82</v>
      </c>
      <c r="G318" s="280" t="s">
        <v>2164</v>
      </c>
      <c r="H318" s="293" t="n">
        <f aca="false">IF($A318="","",CHOOSE(MATCH($I$1,{"Low","Mid","High"},0),D318,E318,F318))</f>
        <v>38</v>
      </c>
    </row>
    <row r="319" customFormat="false" ht="15" hidden="false" customHeight="true" outlineLevel="0" collapsed="false">
      <c r="A319" s="294" t="s">
        <v>738</v>
      </c>
      <c r="B319" s="295" t="s">
        <v>739</v>
      </c>
      <c r="C319" s="294" t="s">
        <v>1923</v>
      </c>
      <c r="D319" s="296" t="n">
        <v>12</v>
      </c>
      <c r="E319" s="296" t="n">
        <v>18</v>
      </c>
      <c r="F319" s="296" t="n">
        <v>26</v>
      </c>
      <c r="G319" s="285" t="s">
        <v>2165</v>
      </c>
      <c r="H319" s="293" t="n">
        <f aca="false">IF($A319="","",CHOOSE(MATCH($I$1,{"Low","Mid","High"},0),D319,E319,F319))</f>
        <v>12</v>
      </c>
    </row>
    <row r="320" customFormat="false" ht="15" hidden="false" customHeight="true" outlineLevel="0" collapsed="false">
      <c r="A320" s="290" t="s">
        <v>776</v>
      </c>
      <c r="B320" s="291" t="s">
        <v>777</v>
      </c>
      <c r="C320" s="290" t="s">
        <v>1960</v>
      </c>
      <c r="D320" s="292" t="n">
        <v>280</v>
      </c>
      <c r="E320" s="292" t="n">
        <v>420</v>
      </c>
      <c r="F320" s="292" t="n">
        <v>620</v>
      </c>
      <c r="G320" s="280" t="s">
        <v>2166</v>
      </c>
      <c r="H320" s="293" t="n">
        <f aca="false">IF($A320="","",CHOOSE(MATCH($I$1,{"Low","Mid","High"},0),D320,E320,F320))</f>
        <v>280</v>
      </c>
    </row>
    <row r="321" customFormat="false" ht="15" hidden="false" customHeight="true" outlineLevel="0" collapsed="false">
      <c r="A321" s="294" t="s">
        <v>1572</v>
      </c>
      <c r="B321" s="295" t="s">
        <v>1573</v>
      </c>
      <c r="C321" s="294" t="s">
        <v>300</v>
      </c>
      <c r="D321" s="296" t="n">
        <v>850000</v>
      </c>
      <c r="E321" s="296" t="n">
        <v>1300000</v>
      </c>
      <c r="F321" s="296" t="n">
        <v>1950000</v>
      </c>
      <c r="G321" s="285" t="s">
        <v>2167</v>
      </c>
      <c r="H321" s="293" t="n">
        <f aca="false">IF($A321="","",CHOOSE(MATCH($I$1,{"Low","Mid","High"},0),D321,E321,F321))</f>
        <v>850000</v>
      </c>
    </row>
    <row r="322" customFormat="false" ht="15" hidden="false" customHeight="true" outlineLevel="0" collapsed="false">
      <c r="A322" s="290" t="s">
        <v>1574</v>
      </c>
      <c r="B322" s="291" t="s">
        <v>1575</v>
      </c>
      <c r="C322" s="290" t="s">
        <v>300</v>
      </c>
      <c r="D322" s="292" t="n">
        <v>280000</v>
      </c>
      <c r="E322" s="292" t="n">
        <v>420000</v>
      </c>
      <c r="F322" s="292" t="n">
        <v>620000</v>
      </c>
      <c r="G322" s="280" t="s">
        <v>2167</v>
      </c>
      <c r="H322" s="293" t="n">
        <f aca="false">IF($A322="","",CHOOSE(MATCH($I$1,{"Low","Mid","High"},0),D322,E322,F322))</f>
        <v>280000</v>
      </c>
    </row>
    <row r="323" customFormat="false" ht="15" hidden="false" customHeight="true" outlineLevel="0" collapsed="false">
      <c r="A323" s="294" t="s">
        <v>805</v>
      </c>
      <c r="B323" s="295" t="s">
        <v>806</v>
      </c>
      <c r="C323" s="294" t="s">
        <v>1960</v>
      </c>
      <c r="D323" s="296" t="n">
        <v>12000</v>
      </c>
      <c r="E323" s="296" t="n">
        <v>18000</v>
      </c>
      <c r="F323" s="296" t="n">
        <v>27000</v>
      </c>
      <c r="G323" s="285" t="s">
        <v>2168</v>
      </c>
      <c r="H323" s="293" t="n">
        <f aca="false">IF($A323="","",CHOOSE(MATCH($I$1,{"Low","Mid","High"},0),D323,E323,F323))</f>
        <v>12000</v>
      </c>
    </row>
    <row r="324" customFormat="false" ht="15" hidden="false" customHeight="true" outlineLevel="0" collapsed="false">
      <c r="A324" s="290" t="s">
        <v>1689</v>
      </c>
      <c r="B324" s="291" t="s">
        <v>1690</v>
      </c>
      <c r="C324" s="290" t="s">
        <v>1925</v>
      </c>
      <c r="D324" s="292" t="n">
        <v>65</v>
      </c>
      <c r="E324" s="292" t="n">
        <v>95</v>
      </c>
      <c r="F324" s="292" t="n">
        <v>140</v>
      </c>
      <c r="G324" s="280" t="s">
        <v>2169</v>
      </c>
      <c r="H324" s="293" t="n">
        <f aca="false">IF($A324="","",CHOOSE(MATCH($I$1,{"Low","Mid","High"},0),D324,E324,F324))</f>
        <v>65</v>
      </c>
    </row>
    <row r="325" customFormat="false" ht="15" hidden="false" customHeight="true" outlineLevel="0" collapsed="false">
      <c r="A325" s="294" t="s">
        <v>1691</v>
      </c>
      <c r="B325" s="295" t="s">
        <v>1692</v>
      </c>
      <c r="C325" s="294" t="s">
        <v>1925</v>
      </c>
      <c r="D325" s="296" t="n">
        <v>14</v>
      </c>
      <c r="E325" s="296" t="n">
        <v>22</v>
      </c>
      <c r="F325" s="296" t="n">
        <v>34</v>
      </c>
      <c r="G325" s="285" t="s">
        <v>2169</v>
      </c>
      <c r="H325" s="293" t="n">
        <f aca="false">IF($A325="","",CHOOSE(MATCH($I$1,{"Low","Mid","High"},0),D325,E325,F325))</f>
        <v>14</v>
      </c>
    </row>
    <row r="326" customFormat="false" ht="15" hidden="false" customHeight="true" outlineLevel="0" collapsed="false">
      <c r="A326" s="290" t="s">
        <v>1693</v>
      </c>
      <c r="B326" s="291" t="s">
        <v>1694</v>
      </c>
      <c r="C326" s="290" t="s">
        <v>300</v>
      </c>
      <c r="D326" s="292" t="n">
        <v>600000</v>
      </c>
      <c r="E326" s="292" t="n">
        <v>950000</v>
      </c>
      <c r="F326" s="292" t="n">
        <v>1450000</v>
      </c>
      <c r="G326" s="280" t="s">
        <v>2169</v>
      </c>
      <c r="H326" s="293" t="n">
        <f aca="false">IF($A326="","",CHOOSE(MATCH($I$1,{"Low","Mid","High"},0),D326,E326,F326))</f>
        <v>600000</v>
      </c>
    </row>
    <row r="327" customFormat="false" ht="15" hidden="false" customHeight="true" outlineLevel="0" collapsed="false">
      <c r="A327" s="294" t="s">
        <v>1729</v>
      </c>
      <c r="B327" s="295" t="s">
        <v>1730</v>
      </c>
      <c r="C327" s="294" t="s">
        <v>1923</v>
      </c>
      <c r="D327" s="296" t="n">
        <v>14</v>
      </c>
      <c r="E327" s="296" t="n">
        <v>20</v>
      </c>
      <c r="F327" s="296" t="n">
        <v>28</v>
      </c>
      <c r="G327" s="285" t="s">
        <v>2169</v>
      </c>
      <c r="H327" s="293" t="n">
        <f aca="false">IF($A327="","",CHOOSE(MATCH($I$1,{"Low","Mid","High"},0),D327,E327,F327))</f>
        <v>14</v>
      </c>
    </row>
    <row r="328" customFormat="false" ht="15" hidden="false" customHeight="true" outlineLevel="0" collapsed="false">
      <c r="A328" s="290" t="s">
        <v>1731</v>
      </c>
      <c r="B328" s="291" t="s">
        <v>1732</v>
      </c>
      <c r="C328" s="290" t="s">
        <v>1923</v>
      </c>
      <c r="D328" s="292" t="n">
        <v>9</v>
      </c>
      <c r="E328" s="292" t="n">
        <v>13</v>
      </c>
      <c r="F328" s="292" t="n">
        <v>19</v>
      </c>
      <c r="G328" s="280" t="s">
        <v>2169</v>
      </c>
      <c r="H328" s="293" t="n">
        <f aca="false">IF($A328="","",CHOOSE(MATCH($I$1,{"Low","Mid","High"},0),D328,E328,F328))</f>
        <v>9</v>
      </c>
    </row>
    <row r="329" customFormat="false" ht="15" hidden="false" customHeight="true" outlineLevel="0" collapsed="false">
      <c r="A329" s="294" t="s">
        <v>1811</v>
      </c>
      <c r="B329" s="295" t="s">
        <v>1812</v>
      </c>
      <c r="C329" s="294" t="s">
        <v>1960</v>
      </c>
      <c r="D329" s="296" t="n">
        <v>180000</v>
      </c>
      <c r="E329" s="296" t="n">
        <v>280000</v>
      </c>
      <c r="F329" s="296" t="n">
        <v>420000</v>
      </c>
      <c r="G329" s="285" t="s">
        <v>2169</v>
      </c>
      <c r="H329" s="293" t="n">
        <f aca="false">IF($A329="","",CHOOSE(MATCH($I$1,{"Low","Mid","High"},0),D329,E329,F329))</f>
        <v>180000</v>
      </c>
    </row>
    <row r="330" customFormat="false" ht="15" hidden="false" customHeight="true" outlineLevel="0" collapsed="false">
      <c r="A330" s="290" t="s">
        <v>1813</v>
      </c>
      <c r="B330" s="291" t="s">
        <v>1814</v>
      </c>
      <c r="C330" s="290" t="s">
        <v>300</v>
      </c>
      <c r="D330" s="292" t="n">
        <v>350000</v>
      </c>
      <c r="E330" s="292" t="n">
        <v>550000</v>
      </c>
      <c r="F330" s="292" t="n">
        <v>850000</v>
      </c>
      <c r="G330" s="280" t="s">
        <v>2169</v>
      </c>
      <c r="H330" s="293" t="n">
        <f aca="false">IF($A330="","",CHOOSE(MATCH($I$1,{"Low","Mid","High"},0),D330,E330,F330))</f>
        <v>350000</v>
      </c>
    </row>
    <row r="331" customFormat="false" ht="15" hidden="false" customHeight="true" outlineLevel="0" collapsed="false">
      <c r="A331" s="294" t="s">
        <v>1815</v>
      </c>
      <c r="B331" s="295" t="s">
        <v>1816</v>
      </c>
      <c r="C331" s="294" t="s">
        <v>300</v>
      </c>
      <c r="D331" s="296" t="n">
        <v>280000</v>
      </c>
      <c r="E331" s="296" t="n">
        <v>440000</v>
      </c>
      <c r="F331" s="296" t="n">
        <v>680000</v>
      </c>
      <c r="G331" s="285" t="s">
        <v>2169</v>
      </c>
      <c r="H331" s="293" t="n">
        <f aca="false">IF($A331="","",CHOOSE(MATCH($I$1,{"Low","Mid","High"},0),D331,E331,F331))</f>
        <v>280000</v>
      </c>
    </row>
    <row r="332" customFormat="false" ht="15" hidden="false" customHeight="true" outlineLevel="0" collapsed="false">
      <c r="A332" s="290" t="s">
        <v>440</v>
      </c>
      <c r="B332" s="291" t="s">
        <v>2170</v>
      </c>
      <c r="C332" s="290" t="s">
        <v>1925</v>
      </c>
      <c r="D332" s="292" t="n">
        <v>320</v>
      </c>
      <c r="E332" s="292" t="n">
        <v>430</v>
      </c>
      <c r="F332" s="292" t="n">
        <v>600</v>
      </c>
      <c r="G332" s="280" t="s">
        <v>2169</v>
      </c>
      <c r="H332" s="293" t="n">
        <f aca="false">IF($A332="","",CHOOSE(MATCH($I$1,{"Low","Mid","High"},0),D332,E332,F332))</f>
        <v>320</v>
      </c>
    </row>
    <row r="333" customFormat="false" ht="15" hidden="false" customHeight="true" outlineLevel="0" collapsed="false">
      <c r="A333" s="294" t="s">
        <v>448</v>
      </c>
      <c r="B333" s="295" t="s">
        <v>449</v>
      </c>
      <c r="C333" s="294" t="s">
        <v>1925</v>
      </c>
      <c r="D333" s="296" t="n">
        <v>380</v>
      </c>
      <c r="E333" s="296" t="n">
        <v>520</v>
      </c>
      <c r="F333" s="296" t="n">
        <v>720</v>
      </c>
      <c r="G333" s="285" t="s">
        <v>2169</v>
      </c>
      <c r="H333" s="293" t="n">
        <f aca="false">IF($A333="","",CHOOSE(MATCH($I$1,{"Low","Mid","High"},0),D333,E333,F333))</f>
        <v>380</v>
      </c>
    </row>
    <row r="334" customFormat="false" ht="15" hidden="false" customHeight="true" outlineLevel="0" collapsed="false">
      <c r="A334" s="290" t="s">
        <v>450</v>
      </c>
      <c r="B334" s="291" t="s">
        <v>451</v>
      </c>
      <c r="C334" s="290" t="s">
        <v>1923</v>
      </c>
      <c r="D334" s="292" t="n">
        <v>1.4</v>
      </c>
      <c r="E334" s="292" t="n">
        <v>2.2</v>
      </c>
      <c r="F334" s="292" t="n">
        <v>3.4</v>
      </c>
      <c r="G334" s="280" t="s">
        <v>2169</v>
      </c>
      <c r="H334" s="293" t="n">
        <f aca="false">IF($A334="","",CHOOSE(MATCH($I$1,{"Low","Mid","High"},0),D334,E334,F334))</f>
        <v>1.4</v>
      </c>
    </row>
    <row r="335" customFormat="false" ht="15" hidden="false" customHeight="true" outlineLevel="0" collapsed="false">
      <c r="A335" s="294" t="s">
        <v>546</v>
      </c>
      <c r="B335" s="295" t="s">
        <v>547</v>
      </c>
      <c r="C335" s="294" t="s">
        <v>2171</v>
      </c>
      <c r="D335" s="296" t="n">
        <v>4.5</v>
      </c>
      <c r="E335" s="296" t="n">
        <v>6.5</v>
      </c>
      <c r="F335" s="296" t="n">
        <v>9.5</v>
      </c>
      <c r="G335" s="285" t="s">
        <v>2169</v>
      </c>
      <c r="H335" s="293" t="n">
        <f aca="false">IF($A335="","",CHOOSE(MATCH($I$1,{"Low","Mid","High"},0),D335,E335,F335))</f>
        <v>4.5</v>
      </c>
    </row>
    <row r="336" customFormat="false" ht="15" hidden="false" customHeight="true" outlineLevel="0" collapsed="false">
      <c r="A336" s="290" t="s">
        <v>548</v>
      </c>
      <c r="B336" s="291" t="s">
        <v>549</v>
      </c>
      <c r="C336" s="290" t="s">
        <v>1923</v>
      </c>
      <c r="D336" s="292" t="n">
        <v>95</v>
      </c>
      <c r="E336" s="292" t="n">
        <v>140</v>
      </c>
      <c r="F336" s="292" t="n">
        <v>210</v>
      </c>
      <c r="G336" s="280" t="s">
        <v>2169</v>
      </c>
      <c r="H336" s="293" t="n">
        <f aca="false">IF($A336="","",CHOOSE(MATCH($I$1,{"Low","Mid","High"},0),D336,E336,F336))</f>
        <v>95</v>
      </c>
    </row>
    <row r="337" customFormat="false" ht="15" hidden="false" customHeight="true" outlineLevel="0" collapsed="false">
      <c r="A337" s="294" t="s">
        <v>634</v>
      </c>
      <c r="B337" s="295" t="s">
        <v>635</v>
      </c>
      <c r="C337" s="294" t="s">
        <v>1923</v>
      </c>
      <c r="D337" s="296" t="n">
        <v>7</v>
      </c>
      <c r="E337" s="296" t="n">
        <v>10</v>
      </c>
      <c r="F337" s="296" t="n">
        <v>15</v>
      </c>
      <c r="G337" s="285" t="s">
        <v>2169</v>
      </c>
      <c r="H337" s="293" t="n">
        <f aca="false">IF($A337="","",CHOOSE(MATCH($I$1,{"Low","Mid","High"},0),D337,E337,F337))</f>
        <v>7</v>
      </c>
    </row>
    <row r="338" customFormat="false" ht="15" hidden="false" customHeight="true" outlineLevel="0" collapsed="false">
      <c r="A338" s="290" t="s">
        <v>636</v>
      </c>
      <c r="B338" s="291" t="s">
        <v>637</v>
      </c>
      <c r="C338" s="290" t="s">
        <v>1923</v>
      </c>
      <c r="D338" s="292" t="n">
        <v>12</v>
      </c>
      <c r="E338" s="292" t="n">
        <v>18</v>
      </c>
      <c r="F338" s="292" t="n">
        <v>27</v>
      </c>
      <c r="G338" s="280" t="s">
        <v>2169</v>
      </c>
      <c r="H338" s="293" t="n">
        <f aca="false">IF($A338="","",CHOOSE(MATCH($I$1,{"Low","Mid","High"},0),D338,E338,F338))</f>
        <v>12</v>
      </c>
    </row>
    <row r="339" customFormat="false" ht="15" hidden="false" customHeight="true" outlineLevel="0" collapsed="false">
      <c r="A339" s="294" t="s">
        <v>941</v>
      </c>
      <c r="B339" s="295" t="s">
        <v>942</v>
      </c>
      <c r="C339" s="294" t="s">
        <v>300</v>
      </c>
      <c r="D339" s="296" t="n">
        <v>1200000</v>
      </c>
      <c r="E339" s="296" t="n">
        <v>1850000</v>
      </c>
      <c r="F339" s="296" t="n">
        <v>2750000</v>
      </c>
      <c r="G339" s="285" t="s">
        <v>2169</v>
      </c>
      <c r="H339" s="293" t="n">
        <f aca="false">IF($A339="","",CHOOSE(MATCH($I$1,{"Low","Mid","High"},0),D339,E339,F339))</f>
        <v>1200000</v>
      </c>
    </row>
    <row r="340" customFormat="false" ht="15" hidden="false" customHeight="true" outlineLevel="0" collapsed="false">
      <c r="A340" s="290" t="s">
        <v>943</v>
      </c>
      <c r="B340" s="291" t="s">
        <v>944</v>
      </c>
      <c r="C340" s="290" t="s">
        <v>1929</v>
      </c>
      <c r="D340" s="292" t="n">
        <v>95</v>
      </c>
      <c r="E340" s="292" t="n">
        <v>140</v>
      </c>
      <c r="F340" s="292" t="n">
        <v>210</v>
      </c>
      <c r="G340" s="280" t="s">
        <v>2169</v>
      </c>
      <c r="H340" s="293" t="n">
        <f aca="false">IF($A340="","",CHOOSE(MATCH($I$1,{"Low","Mid","High"},0),D340,E340,F340))</f>
        <v>95</v>
      </c>
    </row>
    <row r="341" customFormat="false" ht="15" hidden="false" customHeight="true" outlineLevel="0" collapsed="false">
      <c r="A341" s="294" t="s">
        <v>945</v>
      </c>
      <c r="B341" s="295" t="s">
        <v>946</v>
      </c>
      <c r="C341" s="294" t="s">
        <v>1929</v>
      </c>
      <c r="D341" s="296" t="n">
        <v>110</v>
      </c>
      <c r="E341" s="296" t="n">
        <v>165</v>
      </c>
      <c r="F341" s="296" t="n">
        <v>250</v>
      </c>
      <c r="G341" s="285" t="s">
        <v>2169</v>
      </c>
      <c r="H341" s="293" t="n">
        <f aca="false">IF($A341="","",CHOOSE(MATCH($I$1,{"Low","Mid","High"},0),D341,E341,F341))</f>
        <v>110</v>
      </c>
    </row>
    <row r="342" customFormat="false" ht="15" hidden="false" customHeight="true" outlineLevel="0" collapsed="false">
      <c r="A342" s="290" t="s">
        <v>895</v>
      </c>
      <c r="B342" s="291" t="s">
        <v>896</v>
      </c>
      <c r="C342" s="290" t="s">
        <v>300</v>
      </c>
      <c r="D342" s="292" t="n">
        <v>650000</v>
      </c>
      <c r="E342" s="292" t="n">
        <v>980000</v>
      </c>
      <c r="F342" s="292" t="n">
        <v>1450000</v>
      </c>
      <c r="G342" s="280" t="s">
        <v>2169</v>
      </c>
      <c r="H342" s="293" t="n">
        <f aca="false">IF($A342="","",CHOOSE(MATCH($I$1,{"Low","Mid","High"},0),D342,E342,F342))</f>
        <v>650000</v>
      </c>
    </row>
    <row r="343" customFormat="false" ht="15" hidden="false" customHeight="true" outlineLevel="0" collapsed="false">
      <c r="A343" s="294" t="s">
        <v>897</v>
      </c>
      <c r="B343" s="295" t="s">
        <v>898</v>
      </c>
      <c r="C343" s="294" t="s">
        <v>1929</v>
      </c>
      <c r="D343" s="296" t="n">
        <v>110</v>
      </c>
      <c r="E343" s="296" t="n">
        <v>160</v>
      </c>
      <c r="F343" s="296" t="n">
        <v>240</v>
      </c>
      <c r="G343" s="285" t="s">
        <v>2169</v>
      </c>
      <c r="H343" s="293" t="n">
        <f aca="false">IF($A343="","",CHOOSE(MATCH($I$1,{"Low","Mid","High"},0),D343,E343,F343))</f>
        <v>110</v>
      </c>
    </row>
    <row r="344" customFormat="false" ht="15" hidden="false" customHeight="true" outlineLevel="0" collapsed="false">
      <c r="A344" s="290" t="s">
        <v>1119</v>
      </c>
      <c r="B344" s="291" t="s">
        <v>2172</v>
      </c>
      <c r="C344" s="290" t="s">
        <v>1960</v>
      </c>
      <c r="D344" s="292" t="n">
        <v>18000</v>
      </c>
      <c r="E344" s="292" t="n">
        <v>27000</v>
      </c>
      <c r="F344" s="292" t="n">
        <v>40000</v>
      </c>
      <c r="G344" s="280" t="s">
        <v>2169</v>
      </c>
      <c r="H344" s="293" t="n">
        <f aca="false">IF($A344="","",CHOOSE(MATCH($I$1,{"Low","Mid","High"},0),D344,E344,F344))</f>
        <v>18000</v>
      </c>
    </row>
    <row r="345" customFormat="false" ht="15" hidden="false" customHeight="true" outlineLevel="0" collapsed="false">
      <c r="A345" s="294" t="s">
        <v>1127</v>
      </c>
      <c r="B345" s="295" t="s">
        <v>2173</v>
      </c>
      <c r="C345" s="294" t="s">
        <v>1960</v>
      </c>
      <c r="D345" s="296" t="n">
        <v>22000</v>
      </c>
      <c r="E345" s="296" t="n">
        <v>33000</v>
      </c>
      <c r="F345" s="296" t="n">
        <v>49000</v>
      </c>
      <c r="G345" s="285" t="s">
        <v>2169</v>
      </c>
      <c r="H345" s="293" t="n">
        <f aca="false">IF($A345="","",CHOOSE(MATCH($I$1,{"Low","Mid","High"},0),D345,E345,F345))</f>
        <v>22000</v>
      </c>
    </row>
    <row r="346" customFormat="false" ht="15" hidden="false" customHeight="true" outlineLevel="0" collapsed="false">
      <c r="A346" s="290" t="s">
        <v>1135</v>
      </c>
      <c r="B346" s="291" t="s">
        <v>1136</v>
      </c>
      <c r="C346" s="290" t="s">
        <v>300</v>
      </c>
      <c r="D346" s="292" t="n">
        <v>480000</v>
      </c>
      <c r="E346" s="292" t="n">
        <v>740000</v>
      </c>
      <c r="F346" s="292" t="n">
        <v>1100000</v>
      </c>
      <c r="G346" s="280" t="s">
        <v>2169</v>
      </c>
      <c r="H346" s="293" t="n">
        <f aca="false">IF($A346="","",CHOOSE(MATCH($I$1,{"Low","Mid","High"},0),D346,E346,F346))</f>
        <v>480000</v>
      </c>
    </row>
    <row r="347" customFormat="false" ht="15" hidden="false" customHeight="true" outlineLevel="0" collapsed="false">
      <c r="A347" s="294" t="s">
        <v>1449</v>
      </c>
      <c r="B347" s="295" t="s">
        <v>2174</v>
      </c>
      <c r="C347" s="294" t="s">
        <v>1960</v>
      </c>
      <c r="D347" s="296" t="n">
        <v>85000</v>
      </c>
      <c r="E347" s="296" t="n">
        <v>125000</v>
      </c>
      <c r="F347" s="296" t="n">
        <v>185000</v>
      </c>
      <c r="G347" s="285" t="s">
        <v>2169</v>
      </c>
      <c r="H347" s="293" t="n">
        <f aca="false">IF($A347="","",CHOOSE(MATCH($I$1,{"Low","Mid","High"},0),D347,E347,F347))</f>
        <v>85000</v>
      </c>
    </row>
    <row r="348" customFormat="false" ht="15" hidden="false" customHeight="true" outlineLevel="0" collapsed="false">
      <c r="A348" s="290" t="s">
        <v>1457</v>
      </c>
      <c r="B348" s="291" t="s">
        <v>2175</v>
      </c>
      <c r="C348" s="290" t="s">
        <v>1929</v>
      </c>
      <c r="D348" s="292" t="n">
        <v>85</v>
      </c>
      <c r="E348" s="292" t="n">
        <v>125</v>
      </c>
      <c r="F348" s="292" t="n">
        <v>185</v>
      </c>
      <c r="G348" s="280" t="s">
        <v>2169</v>
      </c>
      <c r="H348" s="293" t="n">
        <f aca="false">IF($A348="","",CHOOSE(MATCH($I$1,{"Low","Mid","High"},0),D348,E348,F348))</f>
        <v>85</v>
      </c>
    </row>
    <row r="349" customFormat="false" ht="15" hidden="false" customHeight="true" outlineLevel="0" collapsed="false">
      <c r="A349" s="294" t="s">
        <v>1465</v>
      </c>
      <c r="B349" s="295" t="s">
        <v>2176</v>
      </c>
      <c r="C349" s="294" t="s">
        <v>300</v>
      </c>
      <c r="D349" s="296" t="n">
        <v>2800000</v>
      </c>
      <c r="E349" s="296" t="n">
        <v>4200000</v>
      </c>
      <c r="F349" s="296" t="n">
        <v>6300000</v>
      </c>
      <c r="G349" s="285" t="s">
        <v>2169</v>
      </c>
      <c r="H349" s="293" t="n">
        <f aca="false">IF($A349="","",CHOOSE(MATCH($I$1,{"Low","Mid","High"},0),D349,E349,F349))</f>
        <v>2800000</v>
      </c>
    </row>
    <row r="350" customFormat="false" ht="15" hidden="false" customHeight="true" outlineLevel="0" collapsed="false">
      <c r="A350" s="290" t="s">
        <v>680</v>
      </c>
      <c r="B350" s="291" t="s">
        <v>681</v>
      </c>
      <c r="C350" s="290" t="s">
        <v>1960</v>
      </c>
      <c r="D350" s="292" t="n">
        <v>2400</v>
      </c>
      <c r="E350" s="292" t="n">
        <v>3500</v>
      </c>
      <c r="F350" s="292" t="n">
        <v>5200</v>
      </c>
      <c r="G350" s="280" t="s">
        <v>2169</v>
      </c>
      <c r="H350" s="293" t="n">
        <f aca="false">IF($A350="","",CHOOSE(MATCH($I$1,{"Low","Mid","High"},0),D350,E350,F350))</f>
        <v>2400</v>
      </c>
    </row>
    <row r="351" customFormat="false" ht="15" hidden="false" customHeight="true" outlineLevel="0" collapsed="false">
      <c r="A351" s="294" t="s">
        <v>682</v>
      </c>
      <c r="B351" s="295" t="s">
        <v>683</v>
      </c>
      <c r="C351" s="294" t="s">
        <v>1960</v>
      </c>
      <c r="D351" s="296" t="n">
        <v>6500</v>
      </c>
      <c r="E351" s="296" t="n">
        <v>9800</v>
      </c>
      <c r="F351" s="296" t="n">
        <v>14500</v>
      </c>
      <c r="G351" s="285" t="s">
        <v>2169</v>
      </c>
      <c r="H351" s="293" t="n">
        <f aca="false">IF($A351="","",CHOOSE(MATCH($I$1,{"Low","Mid","High"},0),D351,E351,F351))</f>
        <v>6500</v>
      </c>
    </row>
    <row r="352" customFormat="false" ht="15" hidden="false" customHeight="true" outlineLevel="0" collapsed="false">
      <c r="A352" s="290" t="s">
        <v>740</v>
      </c>
      <c r="B352" s="291" t="s">
        <v>741</v>
      </c>
      <c r="C352" s="290" t="s">
        <v>1923</v>
      </c>
      <c r="D352" s="292" t="n">
        <v>14</v>
      </c>
      <c r="E352" s="292" t="n">
        <v>21</v>
      </c>
      <c r="F352" s="292" t="n">
        <v>31</v>
      </c>
      <c r="G352" s="280" t="s">
        <v>2169</v>
      </c>
      <c r="H352" s="293" t="n">
        <f aca="false">IF($A352="","",CHOOSE(MATCH($I$1,{"Low","Mid","High"},0),D352,E352,F352))</f>
        <v>14</v>
      </c>
    </row>
    <row r="353" customFormat="false" ht="15" hidden="false" customHeight="true" outlineLevel="0" collapsed="false">
      <c r="A353" s="294" t="s">
        <v>742</v>
      </c>
      <c r="B353" s="295" t="s">
        <v>743</v>
      </c>
      <c r="C353" s="294" t="s">
        <v>1923</v>
      </c>
      <c r="D353" s="296" t="n">
        <v>9</v>
      </c>
      <c r="E353" s="296" t="n">
        <v>13</v>
      </c>
      <c r="F353" s="296" t="n">
        <v>19</v>
      </c>
      <c r="G353" s="285" t="s">
        <v>2169</v>
      </c>
      <c r="H353" s="293" t="n">
        <f aca="false">IF($A353="","",CHOOSE(MATCH($I$1,{"Low","Mid","High"},0),D353,E353,F353))</f>
        <v>9</v>
      </c>
    </row>
    <row r="354" customFormat="false" ht="15" hidden="false" customHeight="true" outlineLevel="0" collapsed="false">
      <c r="A354" s="290" t="s">
        <v>778</v>
      </c>
      <c r="B354" s="291" t="s">
        <v>779</v>
      </c>
      <c r="C354" s="290" t="s">
        <v>1929</v>
      </c>
      <c r="D354" s="292" t="n">
        <v>28</v>
      </c>
      <c r="E354" s="292" t="n">
        <v>42</v>
      </c>
      <c r="F354" s="292" t="n">
        <v>62</v>
      </c>
      <c r="G354" s="280" t="s">
        <v>2169</v>
      </c>
      <c r="H354" s="293" t="n">
        <f aca="false">IF($A354="","",CHOOSE(MATCH($I$1,{"Low","Mid","High"},0),D354,E354,F354))</f>
        <v>28</v>
      </c>
    </row>
    <row r="355" customFormat="false" ht="15" hidden="false" customHeight="true" outlineLevel="0" collapsed="false">
      <c r="A355" s="294" t="s">
        <v>780</v>
      </c>
      <c r="B355" s="295" t="s">
        <v>781</v>
      </c>
      <c r="C355" s="294" t="s">
        <v>1923</v>
      </c>
      <c r="D355" s="296" t="n">
        <v>65</v>
      </c>
      <c r="E355" s="296" t="n">
        <v>95</v>
      </c>
      <c r="F355" s="296" t="n">
        <v>140</v>
      </c>
      <c r="G355" s="285" t="s">
        <v>2169</v>
      </c>
      <c r="H355" s="293" t="n">
        <f aca="false">IF($A355="","",CHOOSE(MATCH($I$1,{"Low","Mid","High"},0),D355,E355,F355))</f>
        <v>65</v>
      </c>
    </row>
    <row r="356" customFormat="false" ht="15" hidden="false" customHeight="true" outlineLevel="0" collapsed="false">
      <c r="A356" s="290" t="s">
        <v>1576</v>
      </c>
      <c r="B356" s="291" t="s">
        <v>1577</v>
      </c>
      <c r="C356" s="290" t="s">
        <v>300</v>
      </c>
      <c r="D356" s="292" t="n">
        <v>280000</v>
      </c>
      <c r="E356" s="292" t="n">
        <v>430000</v>
      </c>
      <c r="F356" s="292" t="n">
        <v>650000</v>
      </c>
      <c r="G356" s="280" t="s">
        <v>2169</v>
      </c>
      <c r="H356" s="293" t="n">
        <f aca="false">IF($A356="","",CHOOSE(MATCH($I$1,{"Low","Mid","High"},0),D356,E356,F356))</f>
        <v>280000</v>
      </c>
    </row>
    <row r="357" customFormat="false" ht="15" hidden="false" customHeight="true" outlineLevel="0" collapsed="false">
      <c r="A357" s="294" t="s">
        <v>1578</v>
      </c>
      <c r="B357" s="295" t="s">
        <v>1579</v>
      </c>
      <c r="C357" s="294" t="s">
        <v>300</v>
      </c>
      <c r="D357" s="296" t="n">
        <v>650000</v>
      </c>
      <c r="E357" s="296" t="n">
        <v>980000</v>
      </c>
      <c r="F357" s="296" t="n">
        <v>1450000</v>
      </c>
      <c r="G357" s="285" t="s">
        <v>2169</v>
      </c>
      <c r="H357" s="293" t="n">
        <f aca="false">IF($A357="","",CHOOSE(MATCH($I$1,{"Low","Mid","High"},0),D357,E357,F357))</f>
        <v>650000</v>
      </c>
    </row>
    <row r="358" customFormat="false" ht="15" hidden="false" customHeight="true" outlineLevel="0" collapsed="false">
      <c r="A358" s="290" t="s">
        <v>1634</v>
      </c>
      <c r="B358" s="291" t="s">
        <v>1635</v>
      </c>
      <c r="C358" s="290" t="s">
        <v>1960</v>
      </c>
      <c r="D358" s="292" t="n">
        <v>28000</v>
      </c>
      <c r="E358" s="292" t="n">
        <v>42000</v>
      </c>
      <c r="F358" s="292" t="n">
        <v>62000</v>
      </c>
      <c r="G358" s="280" t="s">
        <v>2169</v>
      </c>
      <c r="H358" s="293" t="n">
        <f aca="false">IF($A358="","",CHOOSE(MATCH($I$1,{"Low","Mid","High"},0),D358,E358,F358))</f>
        <v>28000</v>
      </c>
    </row>
    <row r="359" customFormat="false" ht="15" hidden="false" customHeight="true" outlineLevel="0" collapsed="false">
      <c r="A359" s="294" t="s">
        <v>1636</v>
      </c>
      <c r="B359" s="295" t="s">
        <v>1637</v>
      </c>
      <c r="C359" s="294" t="s">
        <v>300</v>
      </c>
      <c r="D359" s="296" t="n">
        <v>280000</v>
      </c>
      <c r="E359" s="296" t="n">
        <v>430000</v>
      </c>
      <c r="F359" s="296" t="n">
        <v>650000</v>
      </c>
      <c r="G359" s="285" t="s">
        <v>2169</v>
      </c>
      <c r="H359" s="293" t="n">
        <f aca="false">IF($A359="","",CHOOSE(MATCH($I$1,{"Low","Mid","High"},0),D359,E359,F359))</f>
        <v>280000</v>
      </c>
    </row>
    <row r="360" customFormat="false" ht="15" hidden="false" customHeight="true" outlineLevel="0" collapsed="false">
      <c r="A360" s="290" t="s">
        <v>478</v>
      </c>
      <c r="B360" s="291" t="s">
        <v>479</v>
      </c>
      <c r="C360" s="290" t="s">
        <v>1923</v>
      </c>
      <c r="D360" s="292" t="n">
        <v>38</v>
      </c>
      <c r="E360" s="292" t="n">
        <v>55</v>
      </c>
      <c r="F360" s="292" t="n">
        <v>82</v>
      </c>
      <c r="G360" s="280" t="s">
        <v>2169</v>
      </c>
      <c r="H360" s="293" t="n">
        <f aca="false">IF($A360="","",CHOOSE(MATCH($I$1,{"Low","Mid","High"},0),D360,E360,F360))</f>
        <v>38</v>
      </c>
    </row>
    <row r="361" customFormat="false" ht="15" hidden="false" customHeight="true" outlineLevel="0" collapsed="false">
      <c r="A361" s="294" t="s">
        <v>566</v>
      </c>
      <c r="B361" s="295" t="s">
        <v>567</v>
      </c>
      <c r="C361" s="294" t="s">
        <v>300</v>
      </c>
      <c r="D361" s="296" t="n">
        <v>350000</v>
      </c>
      <c r="E361" s="296" t="n">
        <v>550000</v>
      </c>
      <c r="F361" s="296" t="n">
        <v>850000</v>
      </c>
      <c r="G361" s="285" t="s">
        <v>2169</v>
      </c>
      <c r="H361" s="293" t="n">
        <f aca="false">IF($A361="","",CHOOSE(MATCH($I$1,{"Low","Mid","High"},0),D361,E361,F361))</f>
        <v>350000</v>
      </c>
    </row>
    <row r="362" customFormat="false" ht="15" hidden="false" customHeight="true" outlineLevel="0" collapsed="false">
      <c r="A362" s="290" t="s">
        <v>807</v>
      </c>
      <c r="B362" s="291" t="s">
        <v>808</v>
      </c>
      <c r="C362" s="290" t="s">
        <v>300</v>
      </c>
      <c r="D362" s="292" t="n">
        <v>220000</v>
      </c>
      <c r="E362" s="292" t="n">
        <v>340000</v>
      </c>
      <c r="F362" s="292" t="n">
        <v>520000</v>
      </c>
      <c r="G362" s="280" t="s">
        <v>2169</v>
      </c>
      <c r="H362" s="293" t="n">
        <f aca="false">IF($A362="","",CHOOSE(MATCH($I$1,{"Low","Mid","High"},0),D362,E362,F362))</f>
        <v>220000</v>
      </c>
    </row>
    <row r="363" customFormat="false" ht="15" hidden="false" customHeight="true" outlineLevel="0" collapsed="false">
      <c r="A363" s="294" t="s">
        <v>809</v>
      </c>
      <c r="B363" s="295" t="s">
        <v>810</v>
      </c>
      <c r="C363" s="294" t="s">
        <v>1960</v>
      </c>
      <c r="D363" s="296" t="n">
        <v>95000</v>
      </c>
      <c r="E363" s="296" t="n">
        <v>145000</v>
      </c>
      <c r="F363" s="296" t="n">
        <v>220000</v>
      </c>
      <c r="G363" s="285" t="s">
        <v>2169</v>
      </c>
      <c r="H363" s="293" t="n">
        <f aca="false">IF($A363="","",CHOOSE(MATCH($I$1,{"Low","Mid","High"},0),D363,E363,F363))</f>
        <v>95000</v>
      </c>
    </row>
    <row r="364" customFormat="false" ht="15" hidden="false" customHeight="true" outlineLevel="0" collapsed="false">
      <c r="A364" s="290" t="s">
        <v>1695</v>
      </c>
      <c r="B364" s="291" t="s">
        <v>1696</v>
      </c>
      <c r="C364" s="290" t="s">
        <v>1925</v>
      </c>
      <c r="D364" s="292" t="n">
        <v>8</v>
      </c>
      <c r="E364" s="292" t="n">
        <v>12</v>
      </c>
      <c r="F364" s="292" t="n">
        <v>18</v>
      </c>
      <c r="G364" s="280" t="s">
        <v>2169</v>
      </c>
      <c r="H364" s="293" t="n">
        <f aca="false">IF($A364="","",CHOOSE(MATCH($I$1,{"Low","Mid","High"},0),D364,E364,F364))</f>
        <v>8</v>
      </c>
    </row>
    <row r="365" customFormat="false" ht="15" hidden="false" customHeight="true" outlineLevel="0" collapsed="false">
      <c r="A365" s="294" t="s">
        <v>1697</v>
      </c>
      <c r="B365" s="295" t="s">
        <v>1698</v>
      </c>
      <c r="C365" s="294" t="s">
        <v>1923</v>
      </c>
      <c r="D365" s="296" t="n">
        <v>0.4</v>
      </c>
      <c r="E365" s="296" t="n">
        <v>0.65</v>
      </c>
      <c r="F365" s="296" t="n">
        <v>1</v>
      </c>
      <c r="G365" s="285" t="s">
        <v>2169</v>
      </c>
      <c r="H365" s="293" t="n">
        <f aca="false">IF($A365="","",CHOOSE(MATCH($I$1,{"Low","Mid","High"},0),D365,E365,F365))</f>
        <v>0.4</v>
      </c>
    </row>
    <row r="366" customFormat="false" ht="15" hidden="false" customHeight="true" outlineLevel="0" collapsed="false">
      <c r="A366" s="290" t="s">
        <v>1733</v>
      </c>
      <c r="B366" s="291" t="s">
        <v>1734</v>
      </c>
      <c r="C366" s="290" t="s">
        <v>1960</v>
      </c>
      <c r="D366" s="292" t="n">
        <v>65</v>
      </c>
      <c r="E366" s="292" t="n">
        <v>95</v>
      </c>
      <c r="F366" s="292" t="n">
        <v>140</v>
      </c>
      <c r="G366" s="280" t="s">
        <v>2169</v>
      </c>
      <c r="H366" s="293" t="n">
        <f aca="false">IF($A366="","",CHOOSE(MATCH($I$1,{"Low","Mid","High"},0),D366,E366,F366))</f>
        <v>65</v>
      </c>
    </row>
    <row r="367" customFormat="false" ht="15" hidden="false" customHeight="true" outlineLevel="0" collapsed="false">
      <c r="A367" s="294" t="s">
        <v>1735</v>
      </c>
      <c r="B367" s="295" t="s">
        <v>1736</v>
      </c>
      <c r="C367" s="294" t="s">
        <v>1960</v>
      </c>
      <c r="D367" s="296" t="n">
        <v>3200</v>
      </c>
      <c r="E367" s="296" t="n">
        <v>4800</v>
      </c>
      <c r="F367" s="296" t="n">
        <v>7200</v>
      </c>
      <c r="G367" s="285" t="s">
        <v>2169</v>
      </c>
      <c r="H367" s="293" t="n">
        <f aca="false">IF($A367="","",CHOOSE(MATCH($I$1,{"Low","Mid","High"},0),D367,E367,F367))</f>
        <v>3200</v>
      </c>
    </row>
    <row r="368" customFormat="false" ht="15" hidden="false" customHeight="true" outlineLevel="0" collapsed="false">
      <c r="A368" s="290" t="s">
        <v>1817</v>
      </c>
      <c r="B368" s="291" t="s">
        <v>1818</v>
      </c>
      <c r="C368" s="290" t="s">
        <v>1929</v>
      </c>
      <c r="D368" s="292" t="n">
        <v>28</v>
      </c>
      <c r="E368" s="292" t="n">
        <v>42</v>
      </c>
      <c r="F368" s="292" t="n">
        <v>62</v>
      </c>
      <c r="G368" s="280" t="s">
        <v>2169</v>
      </c>
      <c r="H368" s="293" t="n">
        <f aca="false">IF($A368="","",CHOOSE(MATCH($I$1,{"Low","Mid","High"},0),D368,E368,F368))</f>
        <v>28</v>
      </c>
    </row>
    <row r="369" customFormat="false" ht="15" hidden="false" customHeight="true" outlineLevel="0" collapsed="false">
      <c r="A369" s="294" t="s">
        <v>452</v>
      </c>
      <c r="B369" s="295" t="s">
        <v>453</v>
      </c>
      <c r="C369" s="294" t="s">
        <v>1929</v>
      </c>
      <c r="D369" s="296" t="n">
        <v>18</v>
      </c>
      <c r="E369" s="296" t="n">
        <v>27</v>
      </c>
      <c r="F369" s="296" t="n">
        <v>40</v>
      </c>
      <c r="G369" s="285" t="s">
        <v>2169</v>
      </c>
      <c r="H369" s="293" t="n">
        <f aca="false">IF($A369="","",CHOOSE(MATCH($I$1,{"Low","Mid","High"},0),D369,E369,F369))</f>
        <v>18</v>
      </c>
    </row>
    <row r="370" customFormat="false" ht="15" hidden="false" customHeight="true" outlineLevel="0" collapsed="false">
      <c r="A370" s="290" t="s">
        <v>454</v>
      </c>
      <c r="B370" s="291" t="s">
        <v>455</v>
      </c>
      <c r="C370" s="290" t="s">
        <v>2177</v>
      </c>
      <c r="D370" s="292" t="n">
        <v>45</v>
      </c>
      <c r="E370" s="292" t="n">
        <v>68</v>
      </c>
      <c r="F370" s="292" t="n">
        <v>100</v>
      </c>
      <c r="G370" s="280" t="s">
        <v>2169</v>
      </c>
      <c r="H370" s="293" t="n">
        <f aca="false">IF($A370="","",CHOOSE(MATCH($I$1,{"Low","Mid","High"},0),D370,E370,F370))</f>
        <v>45</v>
      </c>
    </row>
    <row r="371" customFormat="false" ht="15" hidden="false" customHeight="true" outlineLevel="0" collapsed="false">
      <c r="A371" s="294" t="s">
        <v>550</v>
      </c>
      <c r="B371" s="295" t="s">
        <v>551</v>
      </c>
      <c r="C371" s="294" t="s">
        <v>2171</v>
      </c>
      <c r="D371" s="296" t="n">
        <v>4</v>
      </c>
      <c r="E371" s="296" t="n">
        <v>6</v>
      </c>
      <c r="F371" s="296" t="n">
        <v>9</v>
      </c>
      <c r="G371" s="285" t="s">
        <v>2169</v>
      </c>
      <c r="H371" s="293" t="n">
        <f aca="false">IF($A371="","",CHOOSE(MATCH($I$1,{"Low","Mid","High"},0),D371,E371,F371))</f>
        <v>4</v>
      </c>
    </row>
    <row r="372" customFormat="false" ht="15" hidden="false" customHeight="true" outlineLevel="0" collapsed="false">
      <c r="A372" s="290" t="s">
        <v>552</v>
      </c>
      <c r="B372" s="291" t="s">
        <v>553</v>
      </c>
      <c r="C372" s="290" t="s">
        <v>1923</v>
      </c>
      <c r="D372" s="292" t="n">
        <v>38</v>
      </c>
      <c r="E372" s="292" t="n">
        <v>55</v>
      </c>
      <c r="F372" s="292" t="n">
        <v>82</v>
      </c>
      <c r="G372" s="280" t="s">
        <v>2169</v>
      </c>
      <c r="H372" s="293" t="n">
        <f aca="false">IF($A372="","",CHOOSE(MATCH($I$1,{"Low","Mid","High"},0),D372,E372,F372))</f>
        <v>38</v>
      </c>
    </row>
    <row r="373" customFormat="false" ht="15" hidden="false" customHeight="true" outlineLevel="0" collapsed="false">
      <c r="A373" s="294" t="s">
        <v>638</v>
      </c>
      <c r="B373" s="295" t="s">
        <v>639</v>
      </c>
      <c r="C373" s="294" t="s">
        <v>1929</v>
      </c>
      <c r="D373" s="296" t="n">
        <v>28</v>
      </c>
      <c r="E373" s="296" t="n">
        <v>42</v>
      </c>
      <c r="F373" s="296" t="n">
        <v>62</v>
      </c>
      <c r="G373" s="285" t="s">
        <v>2169</v>
      </c>
      <c r="H373" s="293" t="n">
        <f aca="false">IF($A373="","",CHOOSE(MATCH($I$1,{"Low","Mid","High"},0),D373,E373,F373))</f>
        <v>28</v>
      </c>
    </row>
    <row r="374" customFormat="false" ht="15" hidden="false" customHeight="true" outlineLevel="0" collapsed="false">
      <c r="A374" s="290" t="s">
        <v>640</v>
      </c>
      <c r="B374" s="291" t="s">
        <v>641</v>
      </c>
      <c r="C374" s="290" t="s">
        <v>1923</v>
      </c>
      <c r="D374" s="292" t="n">
        <v>9</v>
      </c>
      <c r="E374" s="292" t="n">
        <v>13</v>
      </c>
      <c r="F374" s="292" t="n">
        <v>19</v>
      </c>
      <c r="G374" s="280" t="s">
        <v>2169</v>
      </c>
      <c r="H374" s="293" t="n">
        <f aca="false">IF($A374="","",CHOOSE(MATCH($I$1,{"Low","Mid","High"},0),D374,E374,F374))</f>
        <v>9</v>
      </c>
    </row>
    <row r="375" customFormat="false" ht="15" hidden="false" customHeight="true" outlineLevel="0" collapsed="false">
      <c r="A375" s="294" t="s">
        <v>947</v>
      </c>
      <c r="B375" s="295" t="s">
        <v>948</v>
      </c>
      <c r="C375" s="294" t="s">
        <v>1960</v>
      </c>
      <c r="D375" s="296" t="n">
        <v>650</v>
      </c>
      <c r="E375" s="296" t="n">
        <v>980</v>
      </c>
      <c r="F375" s="296" t="n">
        <v>1450</v>
      </c>
      <c r="G375" s="285" t="s">
        <v>2169</v>
      </c>
      <c r="H375" s="293" t="n">
        <f aca="false">IF($A375="","",CHOOSE(MATCH($I$1,{"Low","Mid","High"},0),D375,E375,F375))</f>
        <v>650</v>
      </c>
    </row>
    <row r="376" customFormat="false" ht="15" hidden="false" customHeight="true" outlineLevel="0" collapsed="false">
      <c r="A376" s="290" t="s">
        <v>949</v>
      </c>
      <c r="B376" s="291" t="s">
        <v>950</v>
      </c>
      <c r="C376" s="290" t="s">
        <v>1929</v>
      </c>
      <c r="D376" s="292" t="n">
        <v>9</v>
      </c>
      <c r="E376" s="292" t="n">
        <v>13</v>
      </c>
      <c r="F376" s="292" t="n">
        <v>19</v>
      </c>
      <c r="G376" s="280" t="s">
        <v>2169</v>
      </c>
      <c r="H376" s="293" t="n">
        <f aca="false">IF($A376="","",CHOOSE(MATCH($I$1,{"Low","Mid","High"},0),D376,E376,F376))</f>
        <v>9</v>
      </c>
    </row>
    <row r="377" customFormat="false" ht="15" hidden="false" customHeight="true" outlineLevel="0" collapsed="false">
      <c r="A377" s="294" t="s">
        <v>899</v>
      </c>
      <c r="B377" s="295" t="s">
        <v>900</v>
      </c>
      <c r="C377" s="294" t="s">
        <v>300</v>
      </c>
      <c r="D377" s="296" t="n">
        <v>180000</v>
      </c>
      <c r="E377" s="296" t="n">
        <v>280000</v>
      </c>
      <c r="F377" s="296" t="n">
        <v>420000</v>
      </c>
      <c r="G377" s="285" t="s">
        <v>2169</v>
      </c>
      <c r="H377" s="293" t="n">
        <f aca="false">IF($A377="","",CHOOSE(MATCH($I$1,{"Low","Mid","High"},0),D377,E377,F377))</f>
        <v>180000</v>
      </c>
    </row>
    <row r="378" customFormat="false" ht="15" hidden="false" customHeight="true" outlineLevel="0" collapsed="false">
      <c r="A378" s="290" t="s">
        <v>901</v>
      </c>
      <c r="B378" s="291" t="s">
        <v>902</v>
      </c>
      <c r="C378" s="290" t="s">
        <v>1960</v>
      </c>
      <c r="D378" s="292" t="n">
        <v>3500</v>
      </c>
      <c r="E378" s="292" t="n">
        <v>5200</v>
      </c>
      <c r="F378" s="292" t="n">
        <v>7800</v>
      </c>
      <c r="G378" s="280" t="s">
        <v>2169</v>
      </c>
      <c r="H378" s="293" t="n">
        <f aca="false">IF($A378="","",CHOOSE(MATCH($I$1,{"Low","Mid","High"},0),D378,E378,F378))</f>
        <v>3500</v>
      </c>
    </row>
    <row r="379" customFormat="false" ht="15" hidden="false" customHeight="true" outlineLevel="0" collapsed="false">
      <c r="A379" s="294" t="s">
        <v>1137</v>
      </c>
      <c r="B379" s="295" t="s">
        <v>1138</v>
      </c>
      <c r="C379" s="294" t="s">
        <v>1960</v>
      </c>
      <c r="D379" s="296" t="n">
        <v>1800</v>
      </c>
      <c r="E379" s="296" t="n">
        <v>2700</v>
      </c>
      <c r="F379" s="296" t="n">
        <v>4000</v>
      </c>
      <c r="G379" s="285" t="s">
        <v>2169</v>
      </c>
      <c r="H379" s="293" t="n">
        <f aca="false">IF($A379="","",CHOOSE(MATCH($I$1,{"Low","Mid","High"},0),D379,E379,F379))</f>
        <v>1800</v>
      </c>
    </row>
    <row r="380" customFormat="false" ht="15" hidden="false" customHeight="true" outlineLevel="0" collapsed="false">
      <c r="A380" s="290" t="s">
        <v>1139</v>
      </c>
      <c r="B380" s="291" t="s">
        <v>1140</v>
      </c>
      <c r="C380" s="290" t="s">
        <v>1960</v>
      </c>
      <c r="D380" s="292" t="n">
        <v>220</v>
      </c>
      <c r="E380" s="292" t="n">
        <v>330</v>
      </c>
      <c r="F380" s="292" t="n">
        <v>490</v>
      </c>
      <c r="G380" s="280" t="s">
        <v>2169</v>
      </c>
      <c r="H380" s="293" t="n">
        <f aca="false">IF($A380="","",CHOOSE(MATCH($I$1,{"Low","Mid","High"},0),D380,E380,F380))</f>
        <v>220</v>
      </c>
    </row>
    <row r="381" customFormat="false" ht="15" hidden="false" customHeight="true" outlineLevel="0" collapsed="false">
      <c r="A381" s="294" t="s">
        <v>1141</v>
      </c>
      <c r="B381" s="295" t="s">
        <v>1142</v>
      </c>
      <c r="C381" s="294" t="s">
        <v>1960</v>
      </c>
      <c r="D381" s="296" t="n">
        <v>850</v>
      </c>
      <c r="E381" s="296" t="n">
        <v>1300</v>
      </c>
      <c r="F381" s="296" t="n">
        <v>1950</v>
      </c>
      <c r="G381" s="285" t="s">
        <v>2169</v>
      </c>
      <c r="H381" s="293" t="n">
        <f aca="false">IF($A381="","",CHOOSE(MATCH($I$1,{"Low","Mid","High"},0),D381,E381,F381))</f>
        <v>850</v>
      </c>
    </row>
    <row r="382" customFormat="false" ht="15" hidden="false" customHeight="true" outlineLevel="0" collapsed="false">
      <c r="A382" s="290" t="s">
        <v>1143</v>
      </c>
      <c r="B382" s="291" t="s">
        <v>1144</v>
      </c>
      <c r="C382" s="290" t="s">
        <v>300</v>
      </c>
      <c r="D382" s="292" t="n">
        <v>850000</v>
      </c>
      <c r="E382" s="292" t="n">
        <v>1300000</v>
      </c>
      <c r="F382" s="292" t="n">
        <v>1950000</v>
      </c>
      <c r="G382" s="280" t="s">
        <v>2169</v>
      </c>
      <c r="H382" s="293" t="n">
        <f aca="false">IF($A382="","",CHOOSE(MATCH($I$1,{"Low","Mid","High"},0),D382,E382,F382))</f>
        <v>850000</v>
      </c>
    </row>
    <row r="383" customFormat="false" ht="15" hidden="false" customHeight="true" outlineLevel="0" collapsed="false">
      <c r="A383" s="294" t="s">
        <v>1473</v>
      </c>
      <c r="B383" s="295" t="s">
        <v>1474</v>
      </c>
      <c r="C383" s="294" t="s">
        <v>1929</v>
      </c>
      <c r="D383" s="296" t="n">
        <v>65</v>
      </c>
      <c r="E383" s="296" t="n">
        <v>95</v>
      </c>
      <c r="F383" s="296" t="n">
        <v>140</v>
      </c>
      <c r="G383" s="285" t="s">
        <v>2169</v>
      </c>
      <c r="H383" s="293" t="n">
        <f aca="false">IF($A383="","",CHOOSE(MATCH($I$1,{"Low","Mid","High"},0),D383,E383,F383))</f>
        <v>65</v>
      </c>
    </row>
    <row r="384" customFormat="false" ht="15" hidden="false" customHeight="true" outlineLevel="0" collapsed="false">
      <c r="A384" s="290" t="s">
        <v>1475</v>
      </c>
      <c r="B384" s="291" t="s">
        <v>1476</v>
      </c>
      <c r="C384" s="290" t="s">
        <v>1960</v>
      </c>
      <c r="D384" s="292" t="n">
        <v>95</v>
      </c>
      <c r="E384" s="292" t="n">
        <v>140</v>
      </c>
      <c r="F384" s="292" t="n">
        <v>210</v>
      </c>
      <c r="G384" s="280" t="s">
        <v>2169</v>
      </c>
      <c r="H384" s="293" t="n">
        <f aca="false">IF($A384="","",CHOOSE(MATCH($I$1,{"Low","Mid","High"},0),D384,E384,F384))</f>
        <v>95</v>
      </c>
    </row>
    <row r="385" customFormat="false" ht="15" hidden="false" customHeight="true" outlineLevel="0" collapsed="false">
      <c r="A385" s="294" t="s">
        <v>684</v>
      </c>
      <c r="B385" s="295" t="s">
        <v>685</v>
      </c>
      <c r="C385" s="294" t="s">
        <v>1960</v>
      </c>
      <c r="D385" s="296" t="n">
        <v>6500</v>
      </c>
      <c r="E385" s="296" t="n">
        <v>9800</v>
      </c>
      <c r="F385" s="296" t="n">
        <v>14500</v>
      </c>
      <c r="G385" s="285" t="s">
        <v>2169</v>
      </c>
      <c r="H385" s="293" t="n">
        <f aca="false">IF($A385="","",CHOOSE(MATCH($I$1,{"Low","Mid","High"},0),D385,E385,F385))</f>
        <v>6500</v>
      </c>
    </row>
    <row r="386" customFormat="false" ht="15" hidden="false" customHeight="true" outlineLevel="0" collapsed="false">
      <c r="A386" s="290" t="s">
        <v>686</v>
      </c>
      <c r="B386" s="291" t="s">
        <v>687</v>
      </c>
      <c r="C386" s="290" t="s">
        <v>1960</v>
      </c>
      <c r="D386" s="292" t="n">
        <v>850</v>
      </c>
      <c r="E386" s="292" t="n">
        <v>1300</v>
      </c>
      <c r="F386" s="292" t="n">
        <v>1950</v>
      </c>
      <c r="G386" s="280" t="s">
        <v>2169</v>
      </c>
      <c r="H386" s="293" t="n">
        <f aca="false">IF($A386="","",CHOOSE(MATCH($I$1,{"Low","Mid","High"},0),D386,E386,F386))</f>
        <v>850</v>
      </c>
    </row>
    <row r="387" customFormat="false" ht="15" hidden="false" customHeight="true" outlineLevel="0" collapsed="false">
      <c r="A387" s="294" t="s">
        <v>744</v>
      </c>
      <c r="B387" s="295" t="s">
        <v>745</v>
      </c>
      <c r="C387" s="294" t="s">
        <v>1923</v>
      </c>
      <c r="D387" s="296" t="n">
        <v>9</v>
      </c>
      <c r="E387" s="296" t="n">
        <v>13</v>
      </c>
      <c r="F387" s="296" t="n">
        <v>19</v>
      </c>
      <c r="G387" s="285" t="s">
        <v>2169</v>
      </c>
      <c r="H387" s="293" t="n">
        <f aca="false">IF($A387="","",CHOOSE(MATCH($I$1,{"Low","Mid","High"},0),D387,E387,F387))</f>
        <v>9</v>
      </c>
    </row>
    <row r="388" customFormat="false" ht="15" hidden="false" customHeight="true" outlineLevel="0" collapsed="false">
      <c r="A388" s="290" t="s">
        <v>746</v>
      </c>
      <c r="B388" s="291" t="s">
        <v>747</v>
      </c>
      <c r="C388" s="290" t="s">
        <v>1929</v>
      </c>
      <c r="D388" s="292" t="n">
        <v>6</v>
      </c>
      <c r="E388" s="292" t="n">
        <v>9</v>
      </c>
      <c r="F388" s="292" t="n">
        <v>14</v>
      </c>
      <c r="G388" s="280" t="s">
        <v>2169</v>
      </c>
      <c r="H388" s="293" t="n">
        <f aca="false">IF($A388="","",CHOOSE(MATCH($I$1,{"Low","Mid","High"},0),D388,E388,F388))</f>
        <v>6</v>
      </c>
    </row>
    <row r="389" customFormat="false" ht="15" hidden="false" customHeight="true" outlineLevel="0" collapsed="false">
      <c r="A389" s="294" t="s">
        <v>782</v>
      </c>
      <c r="B389" s="295" t="s">
        <v>783</v>
      </c>
      <c r="C389" s="294" t="s">
        <v>1960</v>
      </c>
      <c r="D389" s="296" t="n">
        <v>480</v>
      </c>
      <c r="E389" s="296" t="n">
        <v>720</v>
      </c>
      <c r="F389" s="296" t="n">
        <v>1080</v>
      </c>
      <c r="G389" s="285" t="s">
        <v>2169</v>
      </c>
      <c r="H389" s="293" t="n">
        <f aca="false">IF($A389="","",CHOOSE(MATCH($I$1,{"Low","Mid","High"},0),D389,E389,F389))</f>
        <v>480</v>
      </c>
    </row>
    <row r="390" customFormat="false" ht="15" hidden="false" customHeight="true" outlineLevel="0" collapsed="false">
      <c r="A390" s="290" t="s">
        <v>784</v>
      </c>
      <c r="B390" s="291" t="s">
        <v>785</v>
      </c>
      <c r="C390" s="290" t="s">
        <v>1923</v>
      </c>
      <c r="D390" s="292" t="n">
        <v>65</v>
      </c>
      <c r="E390" s="292" t="n">
        <v>95</v>
      </c>
      <c r="F390" s="292" t="n">
        <v>140</v>
      </c>
      <c r="G390" s="280" t="s">
        <v>2169</v>
      </c>
      <c r="H390" s="293" t="n">
        <f aca="false">IF($A390="","",CHOOSE(MATCH($I$1,{"Low","Mid","High"},0),D390,E390,F390))</f>
        <v>65</v>
      </c>
    </row>
    <row r="391" customFormat="false" ht="15" hidden="false" customHeight="true" outlineLevel="0" collapsed="false">
      <c r="A391" s="294" t="s">
        <v>1580</v>
      </c>
      <c r="B391" s="295" t="s">
        <v>1581</v>
      </c>
      <c r="C391" s="294" t="s">
        <v>300</v>
      </c>
      <c r="D391" s="296" t="n">
        <v>220000</v>
      </c>
      <c r="E391" s="296" t="n">
        <v>340000</v>
      </c>
      <c r="F391" s="296" t="n">
        <v>520000</v>
      </c>
      <c r="G391" s="285" t="s">
        <v>2169</v>
      </c>
      <c r="H391" s="293" t="n">
        <f aca="false">IF($A391="","",CHOOSE(MATCH($I$1,{"Low","Mid","High"},0),D391,E391,F391))</f>
        <v>220000</v>
      </c>
    </row>
    <row r="392" customFormat="false" ht="15" hidden="false" customHeight="true" outlineLevel="0" collapsed="false">
      <c r="A392" s="290" t="s">
        <v>1582</v>
      </c>
      <c r="B392" s="291" t="s">
        <v>1583</v>
      </c>
      <c r="C392" s="290" t="s">
        <v>300</v>
      </c>
      <c r="D392" s="292" t="n">
        <v>480000</v>
      </c>
      <c r="E392" s="292" t="n">
        <v>740000</v>
      </c>
      <c r="F392" s="292" t="n">
        <v>1100000</v>
      </c>
      <c r="G392" s="280" t="s">
        <v>2169</v>
      </c>
      <c r="H392" s="293" t="n">
        <f aca="false">IF($A392="","",CHOOSE(MATCH($I$1,{"Low","Mid","High"},0),D392,E392,F392))</f>
        <v>480000</v>
      </c>
    </row>
    <row r="393" customFormat="false" ht="15" hidden="false" customHeight="true" outlineLevel="0" collapsed="false">
      <c r="A393" s="294" t="s">
        <v>1638</v>
      </c>
      <c r="B393" s="295" t="s">
        <v>1639</v>
      </c>
      <c r="C393" s="294" t="s">
        <v>300</v>
      </c>
      <c r="D393" s="296" t="n">
        <v>280000</v>
      </c>
      <c r="E393" s="296" t="n">
        <v>430000</v>
      </c>
      <c r="F393" s="296" t="n">
        <v>650000</v>
      </c>
      <c r="G393" s="285" t="s">
        <v>2169</v>
      </c>
      <c r="H393" s="293" t="n">
        <f aca="false">IF($A393="","",CHOOSE(MATCH($I$1,{"Low","Mid","High"},0),D393,E393,F393))</f>
        <v>280000</v>
      </c>
    </row>
    <row r="394" customFormat="false" ht="15" hidden="false" customHeight="true" outlineLevel="0" collapsed="false">
      <c r="A394" s="290" t="s">
        <v>1640</v>
      </c>
      <c r="B394" s="291" t="s">
        <v>1641</v>
      </c>
      <c r="C394" s="290" t="s">
        <v>1960</v>
      </c>
      <c r="D394" s="292" t="n">
        <v>45000</v>
      </c>
      <c r="E394" s="292" t="n">
        <v>68000</v>
      </c>
      <c r="F394" s="292" t="n">
        <v>100000</v>
      </c>
      <c r="G394" s="280" t="s">
        <v>2169</v>
      </c>
      <c r="H394" s="293" t="n">
        <f aca="false">IF($A394="","",CHOOSE(MATCH($I$1,{"Low","Mid","High"},0),D394,E394,F394))</f>
        <v>45000</v>
      </c>
    </row>
    <row r="395" customFormat="false" ht="15" hidden="false" customHeight="true" outlineLevel="0" collapsed="false">
      <c r="A395" s="294" t="s">
        <v>480</v>
      </c>
      <c r="B395" s="295" t="s">
        <v>481</v>
      </c>
      <c r="C395" s="294" t="s">
        <v>1923</v>
      </c>
      <c r="D395" s="296" t="n">
        <v>32</v>
      </c>
      <c r="E395" s="296" t="n">
        <v>48</v>
      </c>
      <c r="F395" s="296" t="n">
        <v>72</v>
      </c>
      <c r="G395" s="285" t="s">
        <v>2169</v>
      </c>
      <c r="H395" s="293" t="n">
        <f aca="false">IF($A395="","",CHOOSE(MATCH($I$1,{"Low","Mid","High"},0),D395,E395,F395))</f>
        <v>32</v>
      </c>
    </row>
    <row r="396" customFormat="false" ht="15" hidden="false" customHeight="true" outlineLevel="0" collapsed="false">
      <c r="A396" s="290" t="s">
        <v>568</v>
      </c>
      <c r="B396" s="291" t="s">
        <v>569</v>
      </c>
      <c r="C396" s="290" t="s">
        <v>300</v>
      </c>
      <c r="D396" s="292" t="n">
        <v>180000</v>
      </c>
      <c r="E396" s="292" t="n">
        <v>280000</v>
      </c>
      <c r="F396" s="292" t="n">
        <v>420000</v>
      </c>
      <c r="G396" s="280" t="s">
        <v>2169</v>
      </c>
      <c r="H396" s="293" t="n">
        <f aca="false">IF($A396="","",CHOOSE(MATCH($I$1,{"Low","Mid","High"},0),D396,E396,F396))</f>
        <v>180000</v>
      </c>
    </row>
    <row r="397" customFormat="false" ht="15" hidden="false" customHeight="true" outlineLevel="0" collapsed="false">
      <c r="A397" s="294" t="s">
        <v>825</v>
      </c>
      <c r="B397" s="295" t="s">
        <v>826</v>
      </c>
      <c r="C397" s="294" t="s">
        <v>300</v>
      </c>
      <c r="D397" s="296" t="n">
        <v>220000</v>
      </c>
      <c r="E397" s="296" t="n">
        <v>340000</v>
      </c>
      <c r="F397" s="296" t="n">
        <v>520000</v>
      </c>
      <c r="G397" s="285" t="s">
        <v>2169</v>
      </c>
      <c r="H397" s="293" t="n">
        <f aca="false">IF($A397="","",CHOOSE(MATCH($I$1,{"Low","Mid","High"},0),D397,E397,F397))</f>
        <v>220000</v>
      </c>
    </row>
    <row r="398" customFormat="false" ht="15" hidden="false" customHeight="true" outlineLevel="0" collapsed="false">
      <c r="A398" s="290" t="s">
        <v>1699</v>
      </c>
      <c r="B398" s="291" t="s">
        <v>1700</v>
      </c>
      <c r="C398" s="290" t="s">
        <v>300</v>
      </c>
      <c r="D398" s="292" t="n">
        <v>180000</v>
      </c>
      <c r="E398" s="292" t="n">
        <v>280000</v>
      </c>
      <c r="F398" s="292" t="n">
        <v>420000</v>
      </c>
      <c r="G398" s="280" t="s">
        <v>2169</v>
      </c>
      <c r="H398" s="293" t="n">
        <f aca="false">IF($A398="","",CHOOSE(MATCH($I$1,{"Low","Mid","High"},0),D398,E398,F398))</f>
        <v>180000</v>
      </c>
    </row>
    <row r="399" customFormat="false" ht="15" hidden="false" customHeight="true" outlineLevel="0" collapsed="false">
      <c r="A399" s="294" t="s">
        <v>456</v>
      </c>
      <c r="B399" s="295" t="s">
        <v>457</v>
      </c>
      <c r="C399" s="294" t="s">
        <v>1923</v>
      </c>
      <c r="D399" s="296" t="n">
        <v>9</v>
      </c>
      <c r="E399" s="296" t="n">
        <v>13</v>
      </c>
      <c r="F399" s="296" t="n">
        <v>19</v>
      </c>
      <c r="G399" s="285" t="s">
        <v>2169</v>
      </c>
      <c r="H399" s="293" t="n">
        <f aca="false">IF($A399="","",CHOOSE(MATCH($I$1,{"Low","Mid","High"},0),D399,E399,F399))</f>
        <v>9</v>
      </c>
    </row>
    <row r="400" customFormat="false" ht="15" hidden="false" customHeight="true" outlineLevel="0" collapsed="false">
      <c r="A400" s="290" t="s">
        <v>951</v>
      </c>
      <c r="B400" s="291" t="s">
        <v>952</v>
      </c>
      <c r="C400" s="290" t="s">
        <v>1960</v>
      </c>
      <c r="D400" s="292" t="n">
        <v>12000</v>
      </c>
      <c r="E400" s="292" t="n">
        <v>18000</v>
      </c>
      <c r="F400" s="292" t="n">
        <v>27000</v>
      </c>
      <c r="G400" s="280" t="s">
        <v>2169</v>
      </c>
      <c r="H400" s="293" t="n">
        <f aca="false">IF($A400="","",CHOOSE(MATCH($I$1,{"Low","Mid","High"},0),D400,E400,F400))</f>
        <v>12000</v>
      </c>
    </row>
    <row r="401" customFormat="false" ht="15" hidden="false" customHeight="true" outlineLevel="0" collapsed="false">
      <c r="A401" s="294" t="s">
        <v>953</v>
      </c>
      <c r="B401" s="295" t="s">
        <v>954</v>
      </c>
      <c r="C401" s="294" t="s">
        <v>1960</v>
      </c>
      <c r="D401" s="296" t="n">
        <v>450</v>
      </c>
      <c r="E401" s="296" t="n">
        <v>680</v>
      </c>
      <c r="F401" s="296" t="n">
        <v>1000</v>
      </c>
      <c r="G401" s="285" t="s">
        <v>2169</v>
      </c>
      <c r="H401" s="293" t="n">
        <f aca="false">IF($A401="","",CHOOSE(MATCH($I$1,{"Low","Mid","High"},0),D401,E401,F401))</f>
        <v>450</v>
      </c>
    </row>
    <row r="402" customFormat="false" ht="15" hidden="false" customHeight="true" outlineLevel="0" collapsed="false">
      <c r="A402" s="290" t="s">
        <v>903</v>
      </c>
      <c r="B402" s="291" t="s">
        <v>904</v>
      </c>
      <c r="C402" s="290" t="s">
        <v>1923</v>
      </c>
      <c r="D402" s="292" t="n">
        <v>4</v>
      </c>
      <c r="E402" s="292" t="n">
        <v>6</v>
      </c>
      <c r="F402" s="292" t="n">
        <v>9</v>
      </c>
      <c r="G402" s="280" t="s">
        <v>2169</v>
      </c>
      <c r="H402" s="293" t="n">
        <f aca="false">IF($A402="","",CHOOSE(MATCH($I$1,{"Low","Mid","High"},0),D402,E402,F402))</f>
        <v>4</v>
      </c>
    </row>
    <row r="403" customFormat="false" ht="15" hidden="false" customHeight="true" outlineLevel="0" collapsed="false">
      <c r="A403" s="294" t="s">
        <v>1145</v>
      </c>
      <c r="B403" s="295" t="s">
        <v>2178</v>
      </c>
      <c r="C403" s="294" t="s">
        <v>2171</v>
      </c>
      <c r="D403" s="296" t="n">
        <v>9</v>
      </c>
      <c r="E403" s="296" t="n">
        <v>13</v>
      </c>
      <c r="F403" s="296" t="n">
        <v>19</v>
      </c>
      <c r="G403" s="285" t="s">
        <v>2169</v>
      </c>
      <c r="H403" s="293" t="n">
        <f aca="false">IF($A403="","",CHOOSE(MATCH($I$1,{"Low","Mid","High"},0),D403,E403,F403))</f>
        <v>9</v>
      </c>
    </row>
    <row r="404" customFormat="false" ht="15" hidden="false" customHeight="true" outlineLevel="0" collapsed="false">
      <c r="A404" s="290" t="s">
        <v>1153</v>
      </c>
      <c r="B404" s="291" t="s">
        <v>1154</v>
      </c>
      <c r="C404" s="290" t="s">
        <v>1923</v>
      </c>
      <c r="D404" s="292" t="n">
        <v>4</v>
      </c>
      <c r="E404" s="292" t="n">
        <v>6</v>
      </c>
      <c r="F404" s="292" t="n">
        <v>9</v>
      </c>
      <c r="G404" s="280" t="s">
        <v>2169</v>
      </c>
      <c r="H404" s="293" t="n">
        <f aca="false">IF($A404="","",CHOOSE(MATCH($I$1,{"Low","Mid","High"},0),D404,E404,F404))</f>
        <v>4</v>
      </c>
    </row>
    <row r="405" customFormat="false" ht="15" hidden="false" customHeight="true" outlineLevel="0" collapsed="false">
      <c r="A405" s="294" t="s">
        <v>1155</v>
      </c>
      <c r="B405" s="295" t="s">
        <v>1156</v>
      </c>
      <c r="C405" s="294" t="s">
        <v>300</v>
      </c>
      <c r="D405" s="296" t="n">
        <v>650000</v>
      </c>
      <c r="E405" s="296" t="n">
        <v>980000</v>
      </c>
      <c r="F405" s="296" t="n">
        <v>1450000</v>
      </c>
      <c r="G405" s="285" t="s">
        <v>2169</v>
      </c>
      <c r="H405" s="293" t="n">
        <f aca="false">IF($A405="","",CHOOSE(MATCH($I$1,{"Low","Mid","High"},0),D405,E405,F405))</f>
        <v>650000</v>
      </c>
    </row>
    <row r="406" customFormat="false" ht="15" hidden="false" customHeight="true" outlineLevel="0" collapsed="false">
      <c r="A406" s="290" t="s">
        <v>1157</v>
      </c>
      <c r="B406" s="291" t="s">
        <v>1158</v>
      </c>
      <c r="C406" s="290" t="s">
        <v>300</v>
      </c>
      <c r="D406" s="292" t="n">
        <v>480000</v>
      </c>
      <c r="E406" s="292" t="n">
        <v>740000</v>
      </c>
      <c r="F406" s="292" t="n">
        <v>1100000</v>
      </c>
      <c r="G406" s="280" t="s">
        <v>2169</v>
      </c>
      <c r="H406" s="293" t="n">
        <f aca="false">IF($A406="","",CHOOSE(MATCH($I$1,{"Low","Mid","High"},0),D406,E406,F406))</f>
        <v>480000</v>
      </c>
    </row>
    <row r="407" customFormat="false" ht="15" hidden="false" customHeight="true" outlineLevel="0" collapsed="false">
      <c r="A407" s="294" t="s">
        <v>1477</v>
      </c>
      <c r="B407" s="295" t="s">
        <v>1478</v>
      </c>
      <c r="C407" s="294" t="s">
        <v>300</v>
      </c>
      <c r="D407" s="296" t="n">
        <v>850000</v>
      </c>
      <c r="E407" s="296" t="n">
        <v>1300000</v>
      </c>
      <c r="F407" s="296" t="n">
        <v>1950000</v>
      </c>
      <c r="G407" s="285" t="s">
        <v>2169</v>
      </c>
      <c r="H407" s="293" t="n">
        <f aca="false">IF($A407="","",CHOOSE(MATCH($I$1,{"Low","Mid","High"},0),D407,E407,F407))</f>
        <v>850000</v>
      </c>
    </row>
    <row r="408" customFormat="false" ht="15" hidden="false" customHeight="true" outlineLevel="0" collapsed="false">
      <c r="A408" s="290" t="s">
        <v>1479</v>
      </c>
      <c r="B408" s="291" t="s">
        <v>1222</v>
      </c>
      <c r="C408" s="290" t="s">
        <v>300</v>
      </c>
      <c r="D408" s="292" t="n">
        <v>350000</v>
      </c>
      <c r="E408" s="292" t="n">
        <v>550000</v>
      </c>
      <c r="F408" s="292" t="n">
        <v>850000</v>
      </c>
      <c r="G408" s="280" t="s">
        <v>2169</v>
      </c>
      <c r="H408" s="293" t="n">
        <f aca="false">IF($A408="","",CHOOSE(MATCH($I$1,{"Low","Mid","High"},0),D408,E408,F408))</f>
        <v>350000</v>
      </c>
    </row>
    <row r="409" customFormat="false" ht="15" hidden="false" customHeight="true" outlineLevel="0" collapsed="false">
      <c r="A409" s="294" t="s">
        <v>1480</v>
      </c>
      <c r="B409" s="295" t="s">
        <v>1481</v>
      </c>
      <c r="C409" s="294" t="s">
        <v>300</v>
      </c>
      <c r="D409" s="296" t="n">
        <v>180000</v>
      </c>
      <c r="E409" s="296" t="n">
        <v>280000</v>
      </c>
      <c r="F409" s="296" t="n">
        <v>420000</v>
      </c>
      <c r="G409" s="285" t="s">
        <v>2169</v>
      </c>
      <c r="H409" s="293" t="n">
        <f aca="false">IF($A409="","",CHOOSE(MATCH($I$1,{"Low","Mid","High"},0),D409,E409,F409))</f>
        <v>180000</v>
      </c>
    </row>
    <row r="410" customFormat="false" ht="15" hidden="false" customHeight="true" outlineLevel="0" collapsed="false">
      <c r="A410" s="290" t="s">
        <v>1482</v>
      </c>
      <c r="B410" s="291" t="s">
        <v>1483</v>
      </c>
      <c r="C410" s="290" t="s">
        <v>1960</v>
      </c>
      <c r="D410" s="292" t="n">
        <v>280</v>
      </c>
      <c r="E410" s="292" t="n">
        <v>420</v>
      </c>
      <c r="F410" s="292" t="n">
        <v>620</v>
      </c>
      <c r="G410" s="280" t="s">
        <v>2169</v>
      </c>
      <c r="H410" s="293" t="n">
        <f aca="false">IF($A410="","",CHOOSE(MATCH($I$1,{"Low","Mid","High"},0),D410,E410,F410))</f>
        <v>280</v>
      </c>
    </row>
    <row r="411" customFormat="false" ht="15" hidden="false" customHeight="true" outlineLevel="0" collapsed="false">
      <c r="A411" s="294" t="s">
        <v>688</v>
      </c>
      <c r="B411" s="295" t="s">
        <v>689</v>
      </c>
      <c r="C411" s="294" t="s">
        <v>1960</v>
      </c>
      <c r="D411" s="296" t="n">
        <v>6500</v>
      </c>
      <c r="E411" s="296" t="n">
        <v>9800</v>
      </c>
      <c r="F411" s="296" t="n">
        <v>14500</v>
      </c>
      <c r="G411" s="285" t="s">
        <v>2169</v>
      </c>
      <c r="H411" s="293" t="n">
        <f aca="false">IF($A411="","",CHOOSE(MATCH($I$1,{"Low","Mid","High"},0),D411,E411,F411))</f>
        <v>6500</v>
      </c>
    </row>
    <row r="412" customFormat="false" ht="15" hidden="false" customHeight="true" outlineLevel="0" collapsed="false">
      <c r="A412" s="290" t="s">
        <v>690</v>
      </c>
      <c r="B412" s="291" t="s">
        <v>691</v>
      </c>
      <c r="C412" s="290" t="s">
        <v>1960</v>
      </c>
      <c r="D412" s="292" t="n">
        <v>850</v>
      </c>
      <c r="E412" s="292" t="n">
        <v>1300</v>
      </c>
      <c r="F412" s="292" t="n">
        <v>1950</v>
      </c>
      <c r="G412" s="280" t="s">
        <v>2169</v>
      </c>
      <c r="H412" s="293" t="n">
        <f aca="false">IF($A412="","",CHOOSE(MATCH($I$1,{"Low","Mid","High"},0),D412,E412,F412))</f>
        <v>850</v>
      </c>
    </row>
    <row r="413" customFormat="false" ht="15" hidden="false" customHeight="true" outlineLevel="0" collapsed="false">
      <c r="A413" s="294" t="s">
        <v>748</v>
      </c>
      <c r="B413" s="295" t="s">
        <v>749</v>
      </c>
      <c r="C413" s="294" t="s">
        <v>1923</v>
      </c>
      <c r="D413" s="296" t="n">
        <v>6</v>
      </c>
      <c r="E413" s="296" t="n">
        <v>9</v>
      </c>
      <c r="F413" s="296" t="n">
        <v>13</v>
      </c>
      <c r="G413" s="285" t="s">
        <v>2169</v>
      </c>
      <c r="H413" s="293" t="n">
        <f aca="false">IF($A413="","",CHOOSE(MATCH($I$1,{"Low","Mid","High"},0),D413,E413,F413))</f>
        <v>6</v>
      </c>
    </row>
    <row r="414" customFormat="false" ht="15" hidden="false" customHeight="true" outlineLevel="0" collapsed="false">
      <c r="A414" s="290" t="s">
        <v>750</v>
      </c>
      <c r="B414" s="291" t="s">
        <v>751</v>
      </c>
      <c r="C414" s="290" t="s">
        <v>1923</v>
      </c>
      <c r="D414" s="292" t="n">
        <v>4</v>
      </c>
      <c r="E414" s="292" t="n">
        <v>6</v>
      </c>
      <c r="F414" s="292" t="n">
        <v>9</v>
      </c>
      <c r="G414" s="280" t="s">
        <v>2169</v>
      </c>
      <c r="H414" s="293" t="n">
        <f aca="false">IF($A414="","",CHOOSE(MATCH($I$1,{"Low","Mid","High"},0),D414,E414,F414))</f>
        <v>4</v>
      </c>
    </row>
    <row r="415" customFormat="false" ht="15" hidden="false" customHeight="true" outlineLevel="0" collapsed="false">
      <c r="A415" s="294" t="s">
        <v>786</v>
      </c>
      <c r="B415" s="295" t="s">
        <v>767</v>
      </c>
      <c r="C415" s="294" t="s">
        <v>1960</v>
      </c>
      <c r="D415" s="296" t="n">
        <v>220</v>
      </c>
      <c r="E415" s="296" t="n">
        <v>330</v>
      </c>
      <c r="F415" s="296" t="n">
        <v>490</v>
      </c>
      <c r="G415" s="285" t="s">
        <v>2169</v>
      </c>
      <c r="H415" s="293" t="n">
        <f aca="false">IF($A415="","",CHOOSE(MATCH($I$1,{"Low","Mid","High"},0),D415,E415,F415))</f>
        <v>220</v>
      </c>
    </row>
    <row r="416" customFormat="false" ht="15" hidden="false" customHeight="true" outlineLevel="0" collapsed="false">
      <c r="A416" s="290" t="s">
        <v>787</v>
      </c>
      <c r="B416" s="291" t="s">
        <v>788</v>
      </c>
      <c r="C416" s="290" t="s">
        <v>1960</v>
      </c>
      <c r="D416" s="292" t="n">
        <v>850</v>
      </c>
      <c r="E416" s="292" t="n">
        <v>1300</v>
      </c>
      <c r="F416" s="292" t="n">
        <v>1950</v>
      </c>
      <c r="G416" s="280" t="s">
        <v>2169</v>
      </c>
      <c r="H416" s="293" t="n">
        <f aca="false">IF($A416="","",CHOOSE(MATCH($I$1,{"Low","Mid","High"},0),D416,E416,F416))</f>
        <v>850</v>
      </c>
    </row>
    <row r="417" customFormat="false" ht="15" hidden="false" customHeight="true" outlineLevel="0" collapsed="false">
      <c r="A417" s="294" t="s">
        <v>1584</v>
      </c>
      <c r="B417" s="295" t="s">
        <v>1585</v>
      </c>
      <c r="C417" s="294" t="s">
        <v>1929</v>
      </c>
      <c r="D417" s="296" t="n">
        <v>12</v>
      </c>
      <c r="E417" s="296" t="n">
        <v>18</v>
      </c>
      <c r="F417" s="296" t="n">
        <v>27</v>
      </c>
      <c r="G417" s="285" t="s">
        <v>2169</v>
      </c>
      <c r="H417" s="293" t="n">
        <f aca="false">IF($A417="","",CHOOSE(MATCH($I$1,{"Low","Mid","High"},0),D417,E417,F417))</f>
        <v>12</v>
      </c>
    </row>
    <row r="418" customFormat="false" ht="15" hidden="false" customHeight="true" outlineLevel="0" collapsed="false">
      <c r="A418" s="290" t="s">
        <v>1035</v>
      </c>
      <c r="B418" s="291" t="s">
        <v>2179</v>
      </c>
      <c r="C418" s="290" t="s">
        <v>300</v>
      </c>
      <c r="D418" s="292" t="n">
        <v>63525000</v>
      </c>
      <c r="E418" s="292" t="n">
        <v>90750000</v>
      </c>
      <c r="F418" s="292" t="n">
        <v>127050000</v>
      </c>
      <c r="G418" s="280" t="s">
        <v>2180</v>
      </c>
      <c r="H418" s="293" t="n">
        <f aca="false">IF($A418="","",CHOOSE(MATCH($I$1,{"Low","Mid","High"},0),D418,E418,F418))</f>
        <v>63525000</v>
      </c>
    </row>
    <row r="419" customFormat="false" ht="15" hidden="false" customHeight="true" outlineLevel="0" collapsed="false">
      <c r="A419" s="294" t="s">
        <v>1037</v>
      </c>
      <c r="B419" s="295" t="s">
        <v>2181</v>
      </c>
      <c r="C419" s="294" t="s">
        <v>300</v>
      </c>
      <c r="D419" s="296" t="n">
        <v>20790000</v>
      </c>
      <c r="E419" s="296" t="n">
        <v>29700000</v>
      </c>
      <c r="F419" s="296" t="n">
        <v>41580000</v>
      </c>
      <c r="G419" s="285" t="s">
        <v>2180</v>
      </c>
      <c r="H419" s="293" t="n">
        <f aca="false">IF($A419="","",CHOOSE(MATCH($I$1,{"Low","Mid","High"},0),D419,E419,F419))</f>
        <v>20790000</v>
      </c>
    </row>
    <row r="420" customFormat="false" ht="15" hidden="false" customHeight="true" outlineLevel="0" collapsed="false">
      <c r="A420" s="290" t="s">
        <v>1039</v>
      </c>
      <c r="B420" s="291" t="s">
        <v>2182</v>
      </c>
      <c r="C420" s="290" t="s">
        <v>300</v>
      </c>
      <c r="D420" s="292" t="n">
        <v>13860000</v>
      </c>
      <c r="E420" s="292" t="n">
        <v>19800000</v>
      </c>
      <c r="F420" s="292" t="n">
        <v>27720000</v>
      </c>
      <c r="G420" s="280" t="s">
        <v>2180</v>
      </c>
      <c r="H420" s="293" t="n">
        <f aca="false">IF($A420="","",CHOOSE(MATCH($I$1,{"Low","Mid","High"},0),D420,E420,F420))</f>
        <v>13860000</v>
      </c>
    </row>
    <row r="421" customFormat="false" ht="15" hidden="false" customHeight="true" outlineLevel="0" collapsed="false">
      <c r="A421" s="294" t="s">
        <v>1041</v>
      </c>
      <c r="B421" s="295" t="s">
        <v>2183</v>
      </c>
      <c r="C421" s="294" t="s">
        <v>300</v>
      </c>
      <c r="D421" s="296" t="n">
        <v>11550000</v>
      </c>
      <c r="E421" s="296" t="n">
        <v>16500000</v>
      </c>
      <c r="F421" s="296" t="n">
        <v>23100000</v>
      </c>
      <c r="G421" s="285" t="s">
        <v>2180</v>
      </c>
      <c r="H421" s="293" t="n">
        <f aca="false">IF($A421="","",CHOOSE(MATCH($I$1,{"Low","Mid","High"},0),D421,E421,F421))</f>
        <v>11550000</v>
      </c>
    </row>
    <row r="422" customFormat="false" ht="15" hidden="false" customHeight="true" outlineLevel="0" collapsed="false">
      <c r="A422" s="290" t="s">
        <v>1043</v>
      </c>
      <c r="B422" s="291" t="s">
        <v>2184</v>
      </c>
      <c r="C422" s="290" t="s">
        <v>300</v>
      </c>
      <c r="D422" s="292" t="n">
        <v>5775000</v>
      </c>
      <c r="E422" s="292" t="n">
        <v>8250000</v>
      </c>
      <c r="F422" s="292" t="n">
        <v>11550000</v>
      </c>
      <c r="G422" s="280" t="s">
        <v>2180</v>
      </c>
      <c r="H422" s="293" t="n">
        <f aca="false">IF($A422="","",CHOOSE(MATCH($I$1,{"Low","Mid","High"},0),D422,E422,F422))</f>
        <v>5775000</v>
      </c>
    </row>
    <row r="423" customFormat="false" ht="15" hidden="false" customHeight="true" outlineLevel="0" collapsed="false">
      <c r="A423" s="294" t="s">
        <v>1373</v>
      </c>
      <c r="B423" s="295" t="s">
        <v>2185</v>
      </c>
      <c r="C423" s="294" t="s">
        <v>300</v>
      </c>
      <c r="D423" s="296" t="n">
        <v>15624000</v>
      </c>
      <c r="E423" s="296" t="n">
        <v>29016000</v>
      </c>
      <c r="F423" s="296" t="n">
        <v>49104000</v>
      </c>
      <c r="G423" s="285" t="s">
        <v>2186</v>
      </c>
      <c r="H423" s="293" t="n">
        <f aca="false">IF($A423="","",CHOOSE(MATCH($I$1,{"Low","Mid","High"},0),D423,E423,F423))</f>
        <v>15624000</v>
      </c>
    </row>
    <row r="424" customFormat="false" ht="15" hidden="false" customHeight="true" outlineLevel="0" collapsed="false">
      <c r="A424" s="290" t="s">
        <v>1375</v>
      </c>
      <c r="B424" s="291" t="s">
        <v>2187</v>
      </c>
      <c r="C424" s="290" t="s">
        <v>300</v>
      </c>
      <c r="D424" s="292" t="n">
        <v>4536000</v>
      </c>
      <c r="E424" s="292" t="n">
        <v>8424000</v>
      </c>
      <c r="F424" s="292" t="n">
        <v>14256000</v>
      </c>
      <c r="G424" s="280" t="s">
        <v>2186</v>
      </c>
      <c r="H424" s="293" t="n">
        <f aca="false">IF($A424="","",CHOOSE(MATCH($I$1,{"Low","Mid","High"},0),D424,E424,F424))</f>
        <v>4536000</v>
      </c>
    </row>
    <row r="425" customFormat="false" ht="15" hidden="false" customHeight="true" outlineLevel="0" collapsed="false">
      <c r="A425" s="294" t="s">
        <v>1377</v>
      </c>
      <c r="B425" s="295" t="s">
        <v>2188</v>
      </c>
      <c r="C425" s="294" t="s">
        <v>300</v>
      </c>
      <c r="D425" s="296" t="n">
        <v>2520000</v>
      </c>
      <c r="E425" s="296" t="n">
        <v>4680000</v>
      </c>
      <c r="F425" s="296" t="n">
        <v>7920000</v>
      </c>
      <c r="G425" s="285" t="s">
        <v>2186</v>
      </c>
      <c r="H425" s="293" t="n">
        <f aca="false">IF($A425="","",CHOOSE(MATCH($I$1,{"Low","Mid","High"},0),D425,E425,F425))</f>
        <v>2520000</v>
      </c>
    </row>
    <row r="426" customFormat="false" ht="15" hidden="false" customHeight="true" outlineLevel="0" collapsed="false">
      <c r="A426" s="290" t="s">
        <v>1379</v>
      </c>
      <c r="B426" s="291" t="s">
        <v>2189</v>
      </c>
      <c r="C426" s="290" t="s">
        <v>300</v>
      </c>
      <c r="D426" s="292" t="n">
        <v>2520000</v>
      </c>
      <c r="E426" s="292" t="n">
        <v>4680000</v>
      </c>
      <c r="F426" s="292" t="n">
        <v>7920000</v>
      </c>
      <c r="G426" s="280" t="s">
        <v>2186</v>
      </c>
      <c r="H426" s="293" t="n">
        <f aca="false">IF($A426="","",CHOOSE(MATCH($I$1,{"Low","Mid","High"},0),D426,E426,F426))</f>
        <v>2520000</v>
      </c>
    </row>
    <row r="427" customFormat="false" ht="15" hidden="false" customHeight="true" outlineLevel="0" collapsed="false">
      <c r="A427" s="294" t="s">
        <v>1109</v>
      </c>
      <c r="B427" s="295" t="s">
        <v>2190</v>
      </c>
      <c r="C427" s="294" t="s">
        <v>300</v>
      </c>
      <c r="D427" s="296" t="n">
        <v>12600000</v>
      </c>
      <c r="E427" s="296" t="n">
        <v>18000000</v>
      </c>
      <c r="F427" s="296" t="n">
        <v>25200000</v>
      </c>
      <c r="G427" s="285" t="s">
        <v>2191</v>
      </c>
      <c r="H427" s="293" t="n">
        <f aca="false">IF($A427="","",CHOOSE(MATCH($I$1,{"Low","Mid","High"},0),D427,E427,F427))</f>
        <v>12600000</v>
      </c>
    </row>
    <row r="428" customFormat="false" ht="15" hidden="false" customHeight="true" outlineLevel="0" collapsed="false">
      <c r="A428" s="290" t="s">
        <v>1111</v>
      </c>
      <c r="B428" s="291" t="s">
        <v>2192</v>
      </c>
      <c r="C428" s="290" t="s">
        <v>300</v>
      </c>
      <c r="D428" s="292" t="n">
        <v>3780000</v>
      </c>
      <c r="E428" s="292" t="n">
        <v>5400000</v>
      </c>
      <c r="F428" s="292" t="n">
        <v>7560000</v>
      </c>
      <c r="G428" s="280" t="s">
        <v>2191</v>
      </c>
      <c r="H428" s="293" t="n">
        <f aca="false">IF($A428="","",CHOOSE(MATCH($I$1,{"Low","Mid","High"},0),D428,E428,F428))</f>
        <v>3780000</v>
      </c>
    </row>
    <row r="429" customFormat="false" ht="15" hidden="false" customHeight="true" outlineLevel="0" collapsed="false">
      <c r="A429" s="294" t="s">
        <v>1113</v>
      </c>
      <c r="B429" s="295" t="s">
        <v>2193</v>
      </c>
      <c r="C429" s="294" t="s">
        <v>300</v>
      </c>
      <c r="D429" s="296" t="n">
        <v>5040000</v>
      </c>
      <c r="E429" s="296" t="n">
        <v>7200000</v>
      </c>
      <c r="F429" s="296" t="n">
        <v>10080000</v>
      </c>
      <c r="G429" s="285" t="s">
        <v>2191</v>
      </c>
      <c r="H429" s="293" t="n">
        <f aca="false">IF($A429="","",CHOOSE(MATCH($I$1,{"Low","Mid","High"},0),D429,E429,F429))</f>
        <v>5040000</v>
      </c>
    </row>
    <row r="430" customFormat="false" ht="15" hidden="false" customHeight="true" outlineLevel="0" collapsed="false">
      <c r="A430" s="290" t="s">
        <v>1115</v>
      </c>
      <c r="B430" s="291" t="s">
        <v>2194</v>
      </c>
      <c r="C430" s="290" t="s">
        <v>300</v>
      </c>
      <c r="D430" s="292" t="n">
        <v>2520000</v>
      </c>
      <c r="E430" s="292" t="n">
        <v>3600000</v>
      </c>
      <c r="F430" s="292" t="n">
        <v>5040000</v>
      </c>
      <c r="G430" s="280" t="s">
        <v>2191</v>
      </c>
      <c r="H430" s="293" t="n">
        <f aca="false">IF($A430="","",CHOOSE(MATCH($I$1,{"Low","Mid","High"},0),D430,E430,F430))</f>
        <v>2520000</v>
      </c>
    </row>
    <row r="431" customFormat="false" ht="15" hidden="false" customHeight="true" outlineLevel="0" collapsed="false">
      <c r="A431" s="294" t="s">
        <v>1117</v>
      </c>
      <c r="B431" s="295" t="s">
        <v>2195</v>
      </c>
      <c r="C431" s="294" t="s">
        <v>300</v>
      </c>
      <c r="D431" s="296" t="n">
        <v>1260000</v>
      </c>
      <c r="E431" s="296" t="n">
        <v>1800000</v>
      </c>
      <c r="F431" s="296" t="n">
        <v>2520000</v>
      </c>
      <c r="G431" s="285" t="s">
        <v>2191</v>
      </c>
      <c r="H431" s="293" t="n">
        <f aca="false">IF($A431="","",CHOOSE(MATCH($I$1,{"Low","Mid","High"},0),D431,E431,F431))</f>
        <v>1260000</v>
      </c>
    </row>
    <row r="432" customFormat="false" ht="15" hidden="false" customHeight="true" outlineLevel="0" collapsed="false">
      <c r="A432" s="290" t="s">
        <v>1299</v>
      </c>
      <c r="B432" s="291" t="s">
        <v>2196</v>
      </c>
      <c r="C432" s="290" t="s">
        <v>300</v>
      </c>
      <c r="D432" s="292" t="n">
        <v>13500000</v>
      </c>
      <c r="E432" s="292" t="n">
        <v>23625000</v>
      </c>
      <c r="F432" s="292" t="n">
        <v>37125000</v>
      </c>
      <c r="G432" s="280" t="s">
        <v>2197</v>
      </c>
      <c r="H432" s="293" t="n">
        <f aca="false">IF($A432="","",CHOOSE(MATCH($I$1,{"Low","Mid","High"},0),D432,E432,F432))</f>
        <v>13500000</v>
      </c>
    </row>
    <row r="433" customFormat="false" ht="15" hidden="false" customHeight="true" outlineLevel="0" collapsed="false">
      <c r="A433" s="294" t="s">
        <v>1301</v>
      </c>
      <c r="B433" s="295" t="s">
        <v>2198</v>
      </c>
      <c r="C433" s="294" t="s">
        <v>300</v>
      </c>
      <c r="D433" s="296" t="n">
        <v>3375000</v>
      </c>
      <c r="E433" s="296" t="n">
        <v>5906250</v>
      </c>
      <c r="F433" s="296" t="n">
        <v>9281250</v>
      </c>
      <c r="G433" s="285" t="s">
        <v>2197</v>
      </c>
      <c r="H433" s="293" t="n">
        <f aca="false">IF($A433="","",CHOOSE(MATCH($I$1,{"Low","Mid","High"},0),D433,E433,F433))</f>
        <v>3375000</v>
      </c>
    </row>
    <row r="434" customFormat="false" ht="15" hidden="false" customHeight="true" outlineLevel="0" collapsed="false">
      <c r="A434" s="290" t="s">
        <v>1303</v>
      </c>
      <c r="B434" s="291" t="s">
        <v>2199</v>
      </c>
      <c r="C434" s="290" t="s">
        <v>300</v>
      </c>
      <c r="D434" s="292" t="n">
        <v>3375000</v>
      </c>
      <c r="E434" s="292" t="n">
        <v>5906250</v>
      </c>
      <c r="F434" s="292" t="n">
        <v>9281250</v>
      </c>
      <c r="G434" s="280" t="s">
        <v>2197</v>
      </c>
      <c r="H434" s="293" t="n">
        <f aca="false">IF($A434="","",CHOOSE(MATCH($I$1,{"Low","Mid","High"},0),D434,E434,F434))</f>
        <v>3375000</v>
      </c>
    </row>
    <row r="435" customFormat="false" ht="15" hidden="false" customHeight="true" outlineLevel="0" collapsed="false">
      <c r="A435" s="294" t="s">
        <v>1305</v>
      </c>
      <c r="B435" s="295" t="s">
        <v>2200</v>
      </c>
      <c r="C435" s="294" t="s">
        <v>300</v>
      </c>
      <c r="D435" s="296" t="n">
        <v>2250000</v>
      </c>
      <c r="E435" s="296" t="n">
        <v>3937500</v>
      </c>
      <c r="F435" s="296" t="n">
        <v>6187500</v>
      </c>
      <c r="G435" s="285" t="s">
        <v>2197</v>
      </c>
      <c r="H435" s="293" t="n">
        <f aca="false">IF($A435="","",CHOOSE(MATCH($I$1,{"Low","Mid","High"},0),D435,E435,F435))</f>
        <v>2250000</v>
      </c>
    </row>
    <row r="436" customFormat="false" ht="15" hidden="false" customHeight="true" outlineLevel="0" collapsed="false">
      <c r="A436" s="290" t="s">
        <v>1343</v>
      </c>
      <c r="B436" s="291" t="s">
        <v>2201</v>
      </c>
      <c r="C436" s="290" t="s">
        <v>300</v>
      </c>
      <c r="D436" s="292" t="n">
        <v>12375000</v>
      </c>
      <c r="E436" s="292" t="n">
        <v>22275000</v>
      </c>
      <c r="F436" s="292" t="n">
        <v>34650000</v>
      </c>
      <c r="G436" s="280" t="s">
        <v>2202</v>
      </c>
      <c r="H436" s="293" t="n">
        <f aca="false">IF($A436="","",CHOOSE(MATCH($I$1,{"Low","Mid","High"},0),D436,E436,F436))</f>
        <v>12375000</v>
      </c>
    </row>
    <row r="437" customFormat="false" ht="15" hidden="false" customHeight="true" outlineLevel="0" collapsed="false">
      <c r="A437" s="294" t="s">
        <v>1345</v>
      </c>
      <c r="B437" s="295" t="s">
        <v>2203</v>
      </c>
      <c r="C437" s="294" t="s">
        <v>300</v>
      </c>
      <c r="D437" s="296" t="n">
        <v>5625000</v>
      </c>
      <c r="E437" s="296" t="n">
        <v>10125000</v>
      </c>
      <c r="F437" s="296" t="n">
        <v>15750000</v>
      </c>
      <c r="G437" s="285" t="s">
        <v>2202</v>
      </c>
      <c r="H437" s="293" t="n">
        <f aca="false">IF($A437="","",CHOOSE(MATCH($I$1,{"Low","Mid","High"},0),D437,E437,F437))</f>
        <v>5625000</v>
      </c>
    </row>
    <row r="438" customFormat="false" ht="15" hidden="false" customHeight="true" outlineLevel="0" collapsed="false">
      <c r="A438" s="290" t="s">
        <v>1347</v>
      </c>
      <c r="B438" s="291" t="s">
        <v>2204</v>
      </c>
      <c r="C438" s="290" t="s">
        <v>300</v>
      </c>
      <c r="D438" s="292" t="n">
        <v>2700000</v>
      </c>
      <c r="E438" s="292" t="n">
        <v>4860000</v>
      </c>
      <c r="F438" s="292" t="n">
        <v>7560000</v>
      </c>
      <c r="G438" s="280" t="s">
        <v>2202</v>
      </c>
      <c r="H438" s="293" t="n">
        <f aca="false">IF($A438="","",CHOOSE(MATCH($I$1,{"Low","Mid","High"},0),D438,E438,F438))</f>
        <v>2700000</v>
      </c>
    </row>
    <row r="439" customFormat="false" ht="15" hidden="false" customHeight="true" outlineLevel="0" collapsed="false">
      <c r="A439" s="294" t="s">
        <v>1349</v>
      </c>
      <c r="B439" s="295" t="s">
        <v>2205</v>
      </c>
      <c r="C439" s="294" t="s">
        <v>300</v>
      </c>
      <c r="D439" s="296" t="n">
        <v>1800000</v>
      </c>
      <c r="E439" s="296" t="n">
        <v>3240000</v>
      </c>
      <c r="F439" s="296" t="n">
        <v>5040000</v>
      </c>
      <c r="G439" s="285" t="s">
        <v>2202</v>
      </c>
      <c r="H439" s="293" t="n">
        <f aca="false">IF($A439="","",CHOOSE(MATCH($I$1,{"Low","Mid","High"},0),D439,E439,F439))</f>
        <v>1800000</v>
      </c>
    </row>
    <row r="440" customFormat="false" ht="15" hidden="false" customHeight="true" outlineLevel="0" collapsed="false">
      <c r="A440" s="290" t="s">
        <v>989</v>
      </c>
      <c r="B440" s="291" t="s">
        <v>2206</v>
      </c>
      <c r="C440" s="290" t="s">
        <v>300</v>
      </c>
      <c r="D440" s="292" t="n">
        <v>12722400</v>
      </c>
      <c r="E440" s="292" t="n">
        <v>19083600</v>
      </c>
      <c r="F440" s="292" t="n">
        <v>28625400</v>
      </c>
      <c r="G440" s="280" t="s">
        <v>2207</v>
      </c>
      <c r="H440" s="293" t="n">
        <f aca="false">IF($A440="","",CHOOSE(MATCH($I$1,{"Low","Mid","High"},0),D440,E440,F440))</f>
        <v>12722400</v>
      </c>
    </row>
    <row r="441" customFormat="false" ht="15" hidden="false" customHeight="true" outlineLevel="0" collapsed="false">
      <c r="A441" s="294" t="s">
        <v>991</v>
      </c>
      <c r="B441" s="295" t="s">
        <v>2208</v>
      </c>
      <c r="C441" s="294" t="s">
        <v>300</v>
      </c>
      <c r="D441" s="296" t="n">
        <v>2462400</v>
      </c>
      <c r="E441" s="296" t="n">
        <v>3693600</v>
      </c>
      <c r="F441" s="296" t="n">
        <v>5540400</v>
      </c>
      <c r="G441" s="285" t="s">
        <v>2207</v>
      </c>
      <c r="H441" s="293" t="n">
        <f aca="false">IF($A441="","",CHOOSE(MATCH($I$1,{"Low","Mid","High"},0),D441,E441,F441))</f>
        <v>2462400</v>
      </c>
    </row>
    <row r="442" customFormat="false" ht="15" hidden="false" customHeight="true" outlineLevel="0" collapsed="false">
      <c r="A442" s="290" t="s">
        <v>993</v>
      </c>
      <c r="B442" s="291" t="s">
        <v>2209</v>
      </c>
      <c r="C442" s="290" t="s">
        <v>300</v>
      </c>
      <c r="D442" s="292" t="n">
        <v>3283200</v>
      </c>
      <c r="E442" s="292" t="n">
        <v>4924800</v>
      </c>
      <c r="F442" s="292" t="n">
        <v>7387200</v>
      </c>
      <c r="G442" s="280" t="s">
        <v>2207</v>
      </c>
      <c r="H442" s="293" t="n">
        <f aca="false">IF($A442="","",CHOOSE(MATCH($I$1,{"Low","Mid","High"},0),D442,E442,F442))</f>
        <v>3283200</v>
      </c>
    </row>
    <row r="443" customFormat="false" ht="15" hidden="false" customHeight="true" outlineLevel="0" collapsed="false">
      <c r="A443" s="294" t="s">
        <v>995</v>
      </c>
      <c r="B443" s="295" t="s">
        <v>2210</v>
      </c>
      <c r="C443" s="294" t="s">
        <v>300</v>
      </c>
      <c r="D443" s="296" t="n">
        <v>2052000</v>
      </c>
      <c r="E443" s="296" t="n">
        <v>3078000</v>
      </c>
      <c r="F443" s="296" t="n">
        <v>4617000</v>
      </c>
      <c r="G443" s="285" t="s">
        <v>2207</v>
      </c>
      <c r="H443" s="293" t="n">
        <f aca="false">IF($A443="","",CHOOSE(MATCH($I$1,{"Low","Mid","High"},0),D443,E443,F443))</f>
        <v>2052000</v>
      </c>
    </row>
    <row r="444" customFormat="false" ht="15" hidden="false" customHeight="true" outlineLevel="0" collapsed="false">
      <c r="A444" s="290" t="s">
        <v>1785</v>
      </c>
      <c r="B444" s="291" t="s">
        <v>2211</v>
      </c>
      <c r="C444" s="290" t="s">
        <v>300</v>
      </c>
      <c r="D444" s="292" t="n">
        <v>10125000</v>
      </c>
      <c r="E444" s="292" t="n">
        <v>18225000</v>
      </c>
      <c r="F444" s="292" t="n">
        <v>30375000</v>
      </c>
      <c r="G444" s="280" t="s">
        <v>2212</v>
      </c>
      <c r="H444" s="293" t="n">
        <f aca="false">IF($A444="","",CHOOSE(MATCH($I$1,{"Low","Mid","High"},0),D444,E444,F444))</f>
        <v>10125000</v>
      </c>
    </row>
    <row r="445" customFormat="false" ht="15" hidden="false" customHeight="true" outlineLevel="0" collapsed="false">
      <c r="A445" s="294" t="s">
        <v>1787</v>
      </c>
      <c r="B445" s="295" t="s">
        <v>2213</v>
      </c>
      <c r="C445" s="294" t="s">
        <v>300</v>
      </c>
      <c r="D445" s="296" t="n">
        <v>5625000</v>
      </c>
      <c r="E445" s="296" t="n">
        <v>10125000</v>
      </c>
      <c r="F445" s="296" t="n">
        <v>16875000</v>
      </c>
      <c r="G445" s="285" t="s">
        <v>2212</v>
      </c>
      <c r="H445" s="293" t="n">
        <f aca="false">IF($A445="","",CHOOSE(MATCH($I$1,{"Low","Mid","High"},0),D445,E445,F445))</f>
        <v>5625000</v>
      </c>
    </row>
    <row r="446" customFormat="false" ht="15" hidden="false" customHeight="true" outlineLevel="0" collapsed="false">
      <c r="A446" s="290" t="s">
        <v>1789</v>
      </c>
      <c r="B446" s="291" t="s">
        <v>2214</v>
      </c>
      <c r="C446" s="290" t="s">
        <v>300</v>
      </c>
      <c r="D446" s="292" t="n">
        <v>3375000</v>
      </c>
      <c r="E446" s="292" t="n">
        <v>6075000</v>
      </c>
      <c r="F446" s="292" t="n">
        <v>10125000</v>
      </c>
      <c r="G446" s="280" t="s">
        <v>2212</v>
      </c>
      <c r="H446" s="293" t="n">
        <f aca="false">IF($A446="","",CHOOSE(MATCH($I$1,{"Low","Mid","High"},0),D446,E446,F446))</f>
        <v>3375000</v>
      </c>
    </row>
    <row r="447" customFormat="false" ht="15" hidden="false" customHeight="true" outlineLevel="0" collapsed="false">
      <c r="A447" s="294" t="s">
        <v>1791</v>
      </c>
      <c r="B447" s="295" t="s">
        <v>2215</v>
      </c>
      <c r="C447" s="294" t="s">
        <v>300</v>
      </c>
      <c r="D447" s="296" t="n">
        <v>3375000</v>
      </c>
      <c r="E447" s="296" t="n">
        <v>6075000</v>
      </c>
      <c r="F447" s="296" t="n">
        <v>10125000</v>
      </c>
      <c r="G447" s="285" t="s">
        <v>2212</v>
      </c>
      <c r="H447" s="293" t="n">
        <f aca="false">IF($A447="","",CHOOSE(MATCH($I$1,{"Low","Mid","High"},0),D447,E447,F447))</f>
        <v>3375000</v>
      </c>
    </row>
    <row r="448" customFormat="false" ht="15" hidden="false" customHeight="true" outlineLevel="0" collapsed="false">
      <c r="A448" s="290" t="s">
        <v>1391</v>
      </c>
      <c r="B448" s="291" t="s">
        <v>2216</v>
      </c>
      <c r="C448" s="290" t="s">
        <v>300</v>
      </c>
      <c r="D448" s="292" t="n">
        <v>8580000</v>
      </c>
      <c r="E448" s="292" t="n">
        <v>15730000</v>
      </c>
      <c r="F448" s="292" t="n">
        <v>25740000</v>
      </c>
      <c r="G448" s="280" t="s">
        <v>2217</v>
      </c>
      <c r="H448" s="293" t="n">
        <f aca="false">IF($A448="","",CHOOSE(MATCH($I$1,{"Low","Mid","High"},0),D448,E448,F448))</f>
        <v>8580000</v>
      </c>
    </row>
    <row r="449" customFormat="false" ht="15" hidden="false" customHeight="true" outlineLevel="0" collapsed="false">
      <c r="A449" s="294" t="s">
        <v>1393</v>
      </c>
      <c r="B449" s="295" t="s">
        <v>2218</v>
      </c>
      <c r="C449" s="294" t="s">
        <v>300</v>
      </c>
      <c r="D449" s="296" t="n">
        <v>1980000</v>
      </c>
      <c r="E449" s="296" t="n">
        <v>3630000</v>
      </c>
      <c r="F449" s="296" t="n">
        <v>5940000</v>
      </c>
      <c r="G449" s="285" t="s">
        <v>2217</v>
      </c>
      <c r="H449" s="293" t="n">
        <f aca="false">IF($A449="","",CHOOSE(MATCH($I$1,{"Low","Mid","High"},0),D449,E449,F449))</f>
        <v>1980000</v>
      </c>
    </row>
    <row r="450" customFormat="false" ht="15" hidden="false" customHeight="true" outlineLevel="0" collapsed="false">
      <c r="A450" s="290" t="s">
        <v>1395</v>
      </c>
      <c r="B450" s="291" t="s">
        <v>2219</v>
      </c>
      <c r="C450" s="290" t="s">
        <v>300</v>
      </c>
      <c r="D450" s="292" t="n">
        <v>2640000</v>
      </c>
      <c r="E450" s="292" t="n">
        <v>4840000</v>
      </c>
      <c r="F450" s="292" t="n">
        <v>7920000</v>
      </c>
      <c r="G450" s="280" t="s">
        <v>2217</v>
      </c>
      <c r="H450" s="293" t="n">
        <f aca="false">IF($A450="","",CHOOSE(MATCH($I$1,{"Low","Mid","High"},0),D450,E450,F450))</f>
        <v>2640000</v>
      </c>
    </row>
    <row r="451" customFormat="false" ht="15" hidden="false" customHeight="true" outlineLevel="0" collapsed="false">
      <c r="A451" s="294" t="s">
        <v>1538</v>
      </c>
      <c r="B451" s="295" t="s">
        <v>2220</v>
      </c>
      <c r="C451" s="294" t="s">
        <v>300</v>
      </c>
      <c r="D451" s="296" t="n">
        <v>6930000</v>
      </c>
      <c r="E451" s="296" t="n">
        <v>9900000</v>
      </c>
      <c r="F451" s="296" t="n">
        <v>13860000</v>
      </c>
      <c r="G451" s="285" t="s">
        <v>2221</v>
      </c>
      <c r="H451" s="293" t="n">
        <f aca="false">IF($A451="","",CHOOSE(MATCH($I$1,{"Low","Mid","High"},0),D451,E451,F451))</f>
        <v>6930000</v>
      </c>
    </row>
    <row r="452" customFormat="false" ht="15" hidden="false" customHeight="true" outlineLevel="0" collapsed="false">
      <c r="A452" s="290" t="s">
        <v>1540</v>
      </c>
      <c r="B452" s="291" t="s">
        <v>2222</v>
      </c>
      <c r="C452" s="290" t="s">
        <v>300</v>
      </c>
      <c r="D452" s="292" t="n">
        <v>4158000</v>
      </c>
      <c r="E452" s="292" t="n">
        <v>5940000</v>
      </c>
      <c r="F452" s="292" t="n">
        <v>8316000</v>
      </c>
      <c r="G452" s="280" t="s">
        <v>2221</v>
      </c>
      <c r="H452" s="293" t="n">
        <f aca="false">IF($A452="","",CHOOSE(MATCH($I$1,{"Low","Mid","High"},0),D452,E452,F452))</f>
        <v>4158000</v>
      </c>
    </row>
    <row r="453" customFormat="false" ht="15" hidden="false" customHeight="true" outlineLevel="0" collapsed="false">
      <c r="A453" s="294" t="s">
        <v>1542</v>
      </c>
      <c r="B453" s="295" t="s">
        <v>2223</v>
      </c>
      <c r="C453" s="294" t="s">
        <v>300</v>
      </c>
      <c r="D453" s="296" t="n">
        <v>2772000</v>
      </c>
      <c r="E453" s="296" t="n">
        <v>3960000</v>
      </c>
      <c r="F453" s="296" t="n">
        <v>5544000</v>
      </c>
      <c r="G453" s="285" t="s">
        <v>2221</v>
      </c>
      <c r="H453" s="293" t="n">
        <f aca="false">IF($A453="","",CHOOSE(MATCH($I$1,{"Low","Mid","High"},0),D453,E453,F453))</f>
        <v>2772000</v>
      </c>
    </row>
    <row r="454" customFormat="false" ht="15" hidden="false" customHeight="true" outlineLevel="0" collapsed="false">
      <c r="A454" s="290" t="s">
        <v>1757</v>
      </c>
      <c r="B454" s="291" t="s">
        <v>2224</v>
      </c>
      <c r="C454" s="290" t="s">
        <v>300</v>
      </c>
      <c r="D454" s="292" t="n">
        <v>5315625</v>
      </c>
      <c r="E454" s="292" t="n">
        <v>7593750</v>
      </c>
      <c r="F454" s="292" t="n">
        <v>10631250</v>
      </c>
      <c r="G454" s="280" t="s">
        <v>2225</v>
      </c>
      <c r="H454" s="293" t="n">
        <f aca="false">IF($A454="","",CHOOSE(MATCH($I$1,{"Low","Mid","High"},0),D454,E454,F454))</f>
        <v>5315625</v>
      </c>
    </row>
    <row r="455" customFormat="false" ht="15" hidden="false" customHeight="true" outlineLevel="0" collapsed="false">
      <c r="A455" s="294" t="s">
        <v>1759</v>
      </c>
      <c r="B455" s="295" t="s">
        <v>2226</v>
      </c>
      <c r="C455" s="294" t="s">
        <v>300</v>
      </c>
      <c r="D455" s="296" t="n">
        <v>2953125</v>
      </c>
      <c r="E455" s="296" t="n">
        <v>4218750</v>
      </c>
      <c r="F455" s="296" t="n">
        <v>5906250</v>
      </c>
      <c r="G455" s="285" t="s">
        <v>2225</v>
      </c>
      <c r="H455" s="293" t="n">
        <f aca="false">IF($A455="","",CHOOSE(MATCH($I$1,{"Low","Mid","High"},0),D455,E455,F455))</f>
        <v>2953125</v>
      </c>
    </row>
    <row r="456" customFormat="false" ht="15" hidden="false" customHeight="true" outlineLevel="0" collapsed="false">
      <c r="A456" s="290" t="s">
        <v>1761</v>
      </c>
      <c r="B456" s="291" t="s">
        <v>2227</v>
      </c>
      <c r="C456" s="290" t="s">
        <v>300</v>
      </c>
      <c r="D456" s="292" t="n">
        <v>1771875</v>
      </c>
      <c r="E456" s="292" t="n">
        <v>2531250</v>
      </c>
      <c r="F456" s="292" t="n">
        <v>3543750</v>
      </c>
      <c r="G456" s="280" t="s">
        <v>2225</v>
      </c>
      <c r="H456" s="293" t="n">
        <f aca="false">IF($A456="","",CHOOSE(MATCH($I$1,{"Low","Mid","High"},0),D456,E456,F456))</f>
        <v>1771875</v>
      </c>
    </row>
    <row r="457" customFormat="false" ht="15" hidden="false" customHeight="true" outlineLevel="0" collapsed="false">
      <c r="A457" s="294" t="s">
        <v>1763</v>
      </c>
      <c r="B457" s="295" t="s">
        <v>2228</v>
      </c>
      <c r="C457" s="294" t="s">
        <v>300</v>
      </c>
      <c r="D457" s="296" t="n">
        <v>1771875</v>
      </c>
      <c r="E457" s="296" t="n">
        <v>2531250</v>
      </c>
      <c r="F457" s="296" t="n">
        <v>3543750</v>
      </c>
      <c r="G457" s="285" t="s">
        <v>2225</v>
      </c>
      <c r="H457" s="293" t="n">
        <f aca="false">IF($A457="","",CHOOSE(MATCH($I$1,{"Low","Mid","High"},0),D457,E457,F457))</f>
        <v>1771875</v>
      </c>
    </row>
    <row r="458" customFormat="false" ht="15" hidden="false" customHeight="true" outlineLevel="0" collapsed="false">
      <c r="A458" s="290" t="s">
        <v>486</v>
      </c>
      <c r="B458" s="291" t="s">
        <v>2229</v>
      </c>
      <c r="C458" s="290" t="s">
        <v>300</v>
      </c>
      <c r="D458" s="292" t="n">
        <v>6720000</v>
      </c>
      <c r="E458" s="292" t="n">
        <v>9600000</v>
      </c>
      <c r="F458" s="292" t="n">
        <v>14400000</v>
      </c>
      <c r="G458" s="280" t="s">
        <v>2230</v>
      </c>
      <c r="H458" s="293" t="n">
        <f aca="false">IF($A458="","",CHOOSE(MATCH($I$1,{"Low","Mid","High"},0),D458,E458,F458))</f>
        <v>6720000</v>
      </c>
    </row>
    <row r="459" customFormat="false" ht="15" hidden="false" customHeight="true" outlineLevel="0" collapsed="false">
      <c r="A459" s="294" t="s">
        <v>488</v>
      </c>
      <c r="B459" s="295" t="s">
        <v>2231</v>
      </c>
      <c r="C459" s="294" t="s">
        <v>300</v>
      </c>
      <c r="D459" s="296" t="n">
        <v>2800000</v>
      </c>
      <c r="E459" s="296" t="n">
        <v>4000000</v>
      </c>
      <c r="F459" s="296" t="n">
        <v>6000000</v>
      </c>
      <c r="G459" s="285" t="s">
        <v>2230</v>
      </c>
      <c r="H459" s="293" t="n">
        <f aca="false">IF($A459="","",CHOOSE(MATCH($I$1,{"Low","Mid","High"},0),D459,E459,F459))</f>
        <v>2800000</v>
      </c>
    </row>
    <row r="460" customFormat="false" ht="15" hidden="false" customHeight="true" outlineLevel="0" collapsed="false">
      <c r="A460" s="290" t="s">
        <v>490</v>
      </c>
      <c r="B460" s="291" t="s">
        <v>2232</v>
      </c>
      <c r="C460" s="290" t="s">
        <v>300</v>
      </c>
      <c r="D460" s="292" t="n">
        <v>896000</v>
      </c>
      <c r="E460" s="292" t="n">
        <v>1280000</v>
      </c>
      <c r="F460" s="292" t="n">
        <v>1920000</v>
      </c>
      <c r="G460" s="280" t="s">
        <v>2230</v>
      </c>
      <c r="H460" s="293" t="n">
        <f aca="false">IF($A460="","",CHOOSE(MATCH($I$1,{"Low","Mid","High"},0),D460,E460,F460))</f>
        <v>896000</v>
      </c>
    </row>
    <row r="461" customFormat="false" ht="15" hidden="false" customHeight="true" outlineLevel="0" collapsed="false">
      <c r="A461" s="294" t="s">
        <v>492</v>
      </c>
      <c r="B461" s="295" t="s">
        <v>2233</v>
      </c>
      <c r="C461" s="294" t="s">
        <v>300</v>
      </c>
      <c r="D461" s="296" t="n">
        <v>784000</v>
      </c>
      <c r="E461" s="296" t="n">
        <v>1120000</v>
      </c>
      <c r="F461" s="296" t="n">
        <v>1680000</v>
      </c>
      <c r="G461" s="285" t="s">
        <v>2230</v>
      </c>
      <c r="H461" s="293" t="n">
        <f aca="false">IF($A461="","",CHOOSE(MATCH($I$1,{"Low","Mid","High"},0),D461,E461,F461))</f>
        <v>784000</v>
      </c>
    </row>
    <row r="462" customFormat="false" ht="15" hidden="false" customHeight="true" outlineLevel="0" collapsed="false">
      <c r="A462" s="290" t="s">
        <v>1520</v>
      </c>
      <c r="B462" s="291" t="s">
        <v>2234</v>
      </c>
      <c r="C462" s="290" t="s">
        <v>300</v>
      </c>
      <c r="D462" s="292" t="n">
        <v>7150000</v>
      </c>
      <c r="E462" s="292" t="n">
        <v>14300000</v>
      </c>
      <c r="F462" s="292" t="n">
        <v>24310000</v>
      </c>
      <c r="G462" s="280" t="s">
        <v>2235</v>
      </c>
      <c r="H462" s="293" t="n">
        <f aca="false">IF($A462="","",CHOOSE(MATCH($I$1,{"Low","Mid","High"},0),D462,E462,F462))</f>
        <v>7150000</v>
      </c>
    </row>
    <row r="463" customFormat="false" ht="15" hidden="false" customHeight="true" outlineLevel="0" collapsed="false">
      <c r="A463" s="294" t="s">
        <v>1522</v>
      </c>
      <c r="B463" s="295" t="s">
        <v>2236</v>
      </c>
      <c r="C463" s="294" t="s">
        <v>300</v>
      </c>
      <c r="D463" s="296" t="n">
        <v>2200000</v>
      </c>
      <c r="E463" s="296" t="n">
        <v>4400000</v>
      </c>
      <c r="F463" s="296" t="n">
        <v>7480000</v>
      </c>
      <c r="G463" s="285" t="s">
        <v>2235</v>
      </c>
      <c r="H463" s="293" t="n">
        <f aca="false">IF($A463="","",CHOOSE(MATCH($I$1,{"Low","Mid","High"},0),D463,E463,F463))</f>
        <v>2200000</v>
      </c>
    </row>
    <row r="464" customFormat="false" ht="15" hidden="false" customHeight="true" outlineLevel="0" collapsed="false">
      <c r="A464" s="290" t="s">
        <v>1524</v>
      </c>
      <c r="B464" s="291" t="s">
        <v>2237</v>
      </c>
      <c r="C464" s="290" t="s">
        <v>300</v>
      </c>
      <c r="D464" s="292" t="n">
        <v>1650000</v>
      </c>
      <c r="E464" s="292" t="n">
        <v>3300000</v>
      </c>
      <c r="F464" s="292" t="n">
        <v>5610000</v>
      </c>
      <c r="G464" s="280" t="s">
        <v>2235</v>
      </c>
      <c r="H464" s="293" t="n">
        <f aca="false">IF($A464="","",CHOOSE(MATCH($I$1,{"Low","Mid","High"},0),D464,E464,F464))</f>
        <v>1650000</v>
      </c>
    </row>
    <row r="465" customFormat="false" ht="15" hidden="false" customHeight="true" outlineLevel="0" collapsed="false">
      <c r="A465" s="294" t="s">
        <v>917</v>
      </c>
      <c r="B465" s="295" t="s">
        <v>2238</v>
      </c>
      <c r="C465" s="294" t="s">
        <v>300</v>
      </c>
      <c r="D465" s="296" t="n">
        <v>4104000</v>
      </c>
      <c r="E465" s="296" t="n">
        <v>7695000</v>
      </c>
      <c r="F465" s="296" t="n">
        <v>12825000</v>
      </c>
      <c r="G465" s="285" t="s">
        <v>2239</v>
      </c>
      <c r="H465" s="293" t="n">
        <f aca="false">IF($A465="","",CHOOSE(MATCH($I$1,{"Low","Mid","High"},0),D465,E465,F465))</f>
        <v>4104000</v>
      </c>
    </row>
    <row r="466" customFormat="false" ht="15" hidden="false" customHeight="true" outlineLevel="0" collapsed="false">
      <c r="A466" s="290" t="s">
        <v>919</v>
      </c>
      <c r="B466" s="291" t="s">
        <v>2240</v>
      </c>
      <c r="C466" s="290" t="s">
        <v>300</v>
      </c>
      <c r="D466" s="292" t="n">
        <v>3078000</v>
      </c>
      <c r="E466" s="292" t="n">
        <v>5771250</v>
      </c>
      <c r="F466" s="292" t="n">
        <v>9618750</v>
      </c>
      <c r="G466" s="280" t="s">
        <v>2239</v>
      </c>
      <c r="H466" s="293" t="n">
        <f aca="false">IF($A466="","",CHOOSE(MATCH($I$1,{"Low","Mid","High"},0),D466,E466,F466))</f>
        <v>3078000</v>
      </c>
    </row>
    <row r="467" customFormat="false" ht="15" hidden="false" customHeight="true" outlineLevel="0" collapsed="false">
      <c r="A467" s="294" t="s">
        <v>921</v>
      </c>
      <c r="B467" s="295" t="s">
        <v>2241</v>
      </c>
      <c r="C467" s="294" t="s">
        <v>300</v>
      </c>
      <c r="D467" s="296" t="n">
        <v>2052000</v>
      </c>
      <c r="E467" s="296" t="n">
        <v>3847500</v>
      </c>
      <c r="F467" s="296" t="n">
        <v>6412500</v>
      </c>
      <c r="G467" s="285" t="s">
        <v>2239</v>
      </c>
      <c r="H467" s="293" t="n">
        <f aca="false">IF($A467="","",CHOOSE(MATCH($I$1,{"Low","Mid","High"},0),D467,E467,F467))</f>
        <v>2052000</v>
      </c>
    </row>
    <row r="468" customFormat="false" ht="15" hidden="false" customHeight="true" outlineLevel="0" collapsed="false">
      <c r="A468" s="290" t="s">
        <v>923</v>
      </c>
      <c r="B468" s="291" t="s">
        <v>2242</v>
      </c>
      <c r="C468" s="290" t="s">
        <v>300</v>
      </c>
      <c r="D468" s="292" t="n">
        <v>1026000</v>
      </c>
      <c r="E468" s="292" t="n">
        <v>1923750</v>
      </c>
      <c r="F468" s="292" t="n">
        <v>3206250</v>
      </c>
      <c r="G468" s="280" t="s">
        <v>2239</v>
      </c>
      <c r="H468" s="293" t="n">
        <f aca="false">IF($A468="","",CHOOSE(MATCH($I$1,{"Low","Mid","High"},0),D468,E468,F468))</f>
        <v>1026000</v>
      </c>
    </row>
    <row r="469" customFormat="false" ht="15" hidden="false" customHeight="true" outlineLevel="0" collapsed="false">
      <c r="A469" s="294" t="s">
        <v>712</v>
      </c>
      <c r="B469" s="295" t="s">
        <v>2243</v>
      </c>
      <c r="C469" s="294" t="s">
        <v>300</v>
      </c>
      <c r="D469" s="296" t="n">
        <v>6776000</v>
      </c>
      <c r="E469" s="296" t="n">
        <v>10780000</v>
      </c>
      <c r="F469" s="296" t="n">
        <v>16940000</v>
      </c>
      <c r="G469" s="285" t="s">
        <v>2244</v>
      </c>
      <c r="H469" s="293" t="n">
        <f aca="false">IF($A469="","",CHOOSE(MATCH($I$1,{"Low","Mid","High"},0),D469,E469,F469))</f>
        <v>6776000</v>
      </c>
    </row>
    <row r="470" customFormat="false" ht="15" hidden="false" customHeight="true" outlineLevel="0" collapsed="false">
      <c r="A470" s="290" t="s">
        <v>714</v>
      </c>
      <c r="B470" s="291" t="s">
        <v>2245</v>
      </c>
      <c r="C470" s="290" t="s">
        <v>300</v>
      </c>
      <c r="D470" s="292" t="n">
        <v>1161600</v>
      </c>
      <c r="E470" s="292" t="n">
        <v>1848000</v>
      </c>
      <c r="F470" s="292" t="n">
        <v>2904000</v>
      </c>
      <c r="G470" s="280" t="s">
        <v>2244</v>
      </c>
      <c r="H470" s="293" t="n">
        <f aca="false">IF($A470="","",CHOOSE(MATCH($I$1,{"Low","Mid","High"},0),D470,E470,F470))</f>
        <v>1161600</v>
      </c>
    </row>
    <row r="471" customFormat="false" ht="15" hidden="false" customHeight="true" outlineLevel="0" collapsed="false">
      <c r="A471" s="294" t="s">
        <v>716</v>
      </c>
      <c r="B471" s="295" t="s">
        <v>2246</v>
      </c>
      <c r="C471" s="294" t="s">
        <v>300</v>
      </c>
      <c r="D471" s="296" t="n">
        <v>968000</v>
      </c>
      <c r="E471" s="296" t="n">
        <v>1540000</v>
      </c>
      <c r="F471" s="296" t="n">
        <v>2420000</v>
      </c>
      <c r="G471" s="285" t="s">
        <v>2244</v>
      </c>
      <c r="H471" s="293" t="n">
        <f aca="false">IF($A471="","",CHOOSE(MATCH($I$1,{"Low","Mid","High"},0),D471,E471,F471))</f>
        <v>968000</v>
      </c>
    </row>
    <row r="472" customFormat="false" ht="15" hidden="false" customHeight="true" outlineLevel="0" collapsed="false">
      <c r="A472" s="290" t="s">
        <v>718</v>
      </c>
      <c r="B472" s="291" t="s">
        <v>2247</v>
      </c>
      <c r="C472" s="290" t="s">
        <v>300</v>
      </c>
      <c r="D472" s="292" t="n">
        <v>774400</v>
      </c>
      <c r="E472" s="292" t="n">
        <v>1232000</v>
      </c>
      <c r="F472" s="292" t="n">
        <v>1936000</v>
      </c>
      <c r="G472" s="280" t="s">
        <v>2244</v>
      </c>
      <c r="H472" s="293" t="n">
        <f aca="false">IF($A472="","",CHOOSE(MATCH($I$1,{"Low","Mid","High"},0),D472,E472,F472))</f>
        <v>774400</v>
      </c>
    </row>
    <row r="473" customFormat="false" ht="15" hidden="false" customHeight="true" outlineLevel="0" collapsed="false">
      <c r="A473" s="294" t="s">
        <v>1353</v>
      </c>
      <c r="B473" s="295" t="s">
        <v>2248</v>
      </c>
      <c r="C473" s="294" t="s">
        <v>300</v>
      </c>
      <c r="D473" s="296" t="n">
        <v>6300000</v>
      </c>
      <c r="E473" s="296" t="n">
        <v>11025000</v>
      </c>
      <c r="F473" s="296" t="n">
        <v>17325000</v>
      </c>
      <c r="G473" s="285" t="s">
        <v>2249</v>
      </c>
      <c r="H473" s="293" t="n">
        <f aca="false">IF($A473="","",CHOOSE(MATCH($I$1,{"Low","Mid","High"},0),D473,E473,F473))</f>
        <v>6300000</v>
      </c>
    </row>
    <row r="474" customFormat="false" ht="15" hidden="false" customHeight="true" outlineLevel="0" collapsed="false">
      <c r="A474" s="290" t="s">
        <v>1355</v>
      </c>
      <c r="B474" s="291" t="s">
        <v>2250</v>
      </c>
      <c r="C474" s="290" t="s">
        <v>300</v>
      </c>
      <c r="D474" s="292" t="n">
        <v>1350000</v>
      </c>
      <c r="E474" s="292" t="n">
        <v>2362500</v>
      </c>
      <c r="F474" s="292" t="n">
        <v>3712500</v>
      </c>
      <c r="G474" s="280" t="s">
        <v>2249</v>
      </c>
      <c r="H474" s="293" t="n">
        <f aca="false">IF($A474="","",CHOOSE(MATCH($I$1,{"Low","Mid","High"},0),D474,E474,F474))</f>
        <v>1350000</v>
      </c>
    </row>
    <row r="475" customFormat="false" ht="15" hidden="false" customHeight="true" outlineLevel="0" collapsed="false">
      <c r="A475" s="294" t="s">
        <v>1357</v>
      </c>
      <c r="B475" s="295" t="s">
        <v>2251</v>
      </c>
      <c r="C475" s="294" t="s">
        <v>300</v>
      </c>
      <c r="D475" s="296" t="n">
        <v>900000</v>
      </c>
      <c r="E475" s="296" t="n">
        <v>1575000</v>
      </c>
      <c r="F475" s="296" t="n">
        <v>2475000</v>
      </c>
      <c r="G475" s="285" t="s">
        <v>2249</v>
      </c>
      <c r="H475" s="293" t="n">
        <f aca="false">IF($A475="","",CHOOSE(MATCH($I$1,{"Low","Mid","High"},0),D475,E475,F475))</f>
        <v>900000</v>
      </c>
    </row>
    <row r="476" customFormat="false" ht="15" hidden="false" customHeight="true" outlineLevel="0" collapsed="false">
      <c r="A476" s="290" t="s">
        <v>1359</v>
      </c>
      <c r="B476" s="291" t="s">
        <v>2252</v>
      </c>
      <c r="C476" s="290" t="s">
        <v>300</v>
      </c>
      <c r="D476" s="292" t="n">
        <v>450000</v>
      </c>
      <c r="E476" s="292" t="n">
        <v>787500</v>
      </c>
      <c r="F476" s="292" t="n">
        <v>1237500</v>
      </c>
      <c r="G476" s="280" t="s">
        <v>2249</v>
      </c>
      <c r="H476" s="293" t="n">
        <f aca="false">IF($A476="","",CHOOSE(MATCH($I$1,{"Low","Mid","High"},0),D476,E476,F476))</f>
        <v>450000</v>
      </c>
    </row>
    <row r="477" customFormat="false" ht="15" hidden="false" customHeight="true" outlineLevel="0" collapsed="false">
      <c r="A477" s="294" t="s">
        <v>1365</v>
      </c>
      <c r="B477" s="295" t="s">
        <v>2253</v>
      </c>
      <c r="C477" s="294" t="s">
        <v>300</v>
      </c>
      <c r="D477" s="296" t="n">
        <v>6300000</v>
      </c>
      <c r="E477" s="296" t="n">
        <v>12600000</v>
      </c>
      <c r="F477" s="296" t="n">
        <v>21420000</v>
      </c>
      <c r="G477" s="285" t="s">
        <v>2254</v>
      </c>
      <c r="H477" s="293" t="n">
        <f aca="false">IF($A477="","",CHOOSE(MATCH($I$1,{"Low","Mid","High"},0),D477,E477,F477))</f>
        <v>6300000</v>
      </c>
    </row>
    <row r="478" customFormat="false" ht="15" hidden="false" customHeight="true" outlineLevel="0" collapsed="false">
      <c r="A478" s="290" t="s">
        <v>1367</v>
      </c>
      <c r="B478" s="291" t="s">
        <v>2255</v>
      </c>
      <c r="C478" s="290" t="s">
        <v>300</v>
      </c>
      <c r="D478" s="292" t="n">
        <v>1620000</v>
      </c>
      <c r="E478" s="292" t="n">
        <v>3240000</v>
      </c>
      <c r="F478" s="292" t="n">
        <v>5508000</v>
      </c>
      <c r="G478" s="280" t="s">
        <v>2254</v>
      </c>
      <c r="H478" s="293" t="n">
        <f aca="false">IF($A478="","",CHOOSE(MATCH($I$1,{"Low","Mid","High"},0),D478,E478,F478))</f>
        <v>1620000</v>
      </c>
    </row>
    <row r="479" customFormat="false" ht="15" hidden="false" customHeight="true" outlineLevel="0" collapsed="false">
      <c r="A479" s="294" t="s">
        <v>1369</v>
      </c>
      <c r="B479" s="295" t="s">
        <v>2256</v>
      </c>
      <c r="C479" s="294" t="s">
        <v>300</v>
      </c>
      <c r="D479" s="296" t="n">
        <v>1080000</v>
      </c>
      <c r="E479" s="296" t="n">
        <v>2160000</v>
      </c>
      <c r="F479" s="296" t="n">
        <v>3672000</v>
      </c>
      <c r="G479" s="285" t="s">
        <v>2254</v>
      </c>
      <c r="H479" s="293" t="n">
        <f aca="false">IF($A479="","",CHOOSE(MATCH($I$1,{"Low","Mid","High"},0),D479,E479,F479))</f>
        <v>1080000</v>
      </c>
    </row>
    <row r="480" customFormat="false" ht="15" hidden="false" customHeight="true" outlineLevel="0" collapsed="false">
      <c r="A480" s="290" t="s">
        <v>1383</v>
      </c>
      <c r="B480" s="291" t="s">
        <v>2257</v>
      </c>
      <c r="C480" s="290" t="s">
        <v>300</v>
      </c>
      <c r="D480" s="292" t="n">
        <v>5733000</v>
      </c>
      <c r="E480" s="292" t="n">
        <v>8190000</v>
      </c>
      <c r="F480" s="292" t="n">
        <v>11466000</v>
      </c>
      <c r="G480" s="280" t="s">
        <v>2258</v>
      </c>
      <c r="H480" s="293" t="n">
        <f aca="false">IF($A480="","",CHOOSE(MATCH($I$1,{"Low","Mid","High"},0),D480,E480,F480))</f>
        <v>5733000</v>
      </c>
    </row>
    <row r="481" customFormat="false" ht="15" hidden="false" customHeight="true" outlineLevel="0" collapsed="false">
      <c r="A481" s="294" t="s">
        <v>1385</v>
      </c>
      <c r="B481" s="295" t="s">
        <v>2259</v>
      </c>
      <c r="C481" s="294" t="s">
        <v>300</v>
      </c>
      <c r="D481" s="296" t="n">
        <v>1764000</v>
      </c>
      <c r="E481" s="296" t="n">
        <v>2520000</v>
      </c>
      <c r="F481" s="296" t="n">
        <v>3528000</v>
      </c>
      <c r="G481" s="285" t="s">
        <v>2258</v>
      </c>
      <c r="H481" s="293" t="n">
        <f aca="false">IF($A481="","",CHOOSE(MATCH($I$1,{"Low","Mid","High"},0),D481,E481,F481))</f>
        <v>1764000</v>
      </c>
    </row>
    <row r="482" customFormat="false" ht="15" hidden="false" customHeight="true" outlineLevel="0" collapsed="false">
      <c r="A482" s="290" t="s">
        <v>1387</v>
      </c>
      <c r="B482" s="291" t="s">
        <v>2260</v>
      </c>
      <c r="C482" s="290" t="s">
        <v>300</v>
      </c>
      <c r="D482" s="292" t="n">
        <v>1323000</v>
      </c>
      <c r="E482" s="292" t="n">
        <v>1890000</v>
      </c>
      <c r="F482" s="292" t="n">
        <v>2646000</v>
      </c>
      <c r="G482" s="280" t="s">
        <v>2258</v>
      </c>
      <c r="H482" s="293" t="n">
        <f aca="false">IF($A482="","",CHOOSE(MATCH($I$1,{"Low","Mid","High"},0),D482,E482,F482))</f>
        <v>1323000</v>
      </c>
    </row>
    <row r="483" customFormat="false" ht="15" hidden="false" customHeight="true" outlineLevel="0" collapsed="false">
      <c r="A483" s="294" t="s">
        <v>1399</v>
      </c>
      <c r="B483" s="295" t="s">
        <v>2261</v>
      </c>
      <c r="C483" s="294" t="s">
        <v>300</v>
      </c>
      <c r="D483" s="296" t="n">
        <v>6174000</v>
      </c>
      <c r="E483" s="296" t="n">
        <v>8820000</v>
      </c>
      <c r="F483" s="296" t="n">
        <v>12348000</v>
      </c>
      <c r="G483" s="285" t="s">
        <v>2262</v>
      </c>
      <c r="H483" s="293" t="n">
        <f aca="false">IF($A483="","",CHOOSE(MATCH($I$1,{"Low","Mid","High"},0),D483,E483,F483))</f>
        <v>6174000</v>
      </c>
    </row>
    <row r="484" customFormat="false" ht="15" hidden="false" customHeight="true" outlineLevel="0" collapsed="false">
      <c r="A484" s="290" t="s">
        <v>1401</v>
      </c>
      <c r="B484" s="291" t="s">
        <v>2263</v>
      </c>
      <c r="C484" s="290" t="s">
        <v>300</v>
      </c>
      <c r="D484" s="292" t="n">
        <v>1587600</v>
      </c>
      <c r="E484" s="292" t="n">
        <v>2268000</v>
      </c>
      <c r="F484" s="292" t="n">
        <v>3175200</v>
      </c>
      <c r="G484" s="280" t="s">
        <v>2262</v>
      </c>
      <c r="H484" s="293" t="n">
        <f aca="false">IF($A484="","",CHOOSE(MATCH($I$1,{"Low","Mid","High"},0),D484,E484,F484))</f>
        <v>1587600</v>
      </c>
    </row>
    <row r="485" customFormat="false" ht="15" hidden="false" customHeight="true" outlineLevel="0" collapsed="false">
      <c r="A485" s="294" t="s">
        <v>1403</v>
      </c>
      <c r="B485" s="295" t="s">
        <v>2264</v>
      </c>
      <c r="C485" s="294" t="s">
        <v>300</v>
      </c>
      <c r="D485" s="296" t="n">
        <v>1058400</v>
      </c>
      <c r="E485" s="296" t="n">
        <v>1512000</v>
      </c>
      <c r="F485" s="296" t="n">
        <v>2116800</v>
      </c>
      <c r="G485" s="285" t="s">
        <v>2262</v>
      </c>
      <c r="H485" s="293" t="n">
        <f aca="false">IF($A485="","",CHOOSE(MATCH($I$1,{"Low","Mid","High"},0),D485,E485,F485))</f>
        <v>1058400</v>
      </c>
    </row>
    <row r="486" customFormat="false" ht="15" hidden="false" customHeight="true" outlineLevel="0" collapsed="false">
      <c r="A486" s="290" t="s">
        <v>424</v>
      </c>
      <c r="B486" s="291" t="s">
        <v>2265</v>
      </c>
      <c r="C486" s="290" t="s">
        <v>300</v>
      </c>
      <c r="D486" s="292" t="n">
        <v>5184000</v>
      </c>
      <c r="E486" s="292" t="n">
        <v>8064000</v>
      </c>
      <c r="F486" s="292" t="n">
        <v>12096000</v>
      </c>
      <c r="G486" s="280" t="s">
        <v>2266</v>
      </c>
      <c r="H486" s="293" t="n">
        <f aca="false">IF($A486="","",CHOOSE(MATCH($I$1,{"Low","Mid","High"},0),D486,E486,F486))</f>
        <v>5184000</v>
      </c>
    </row>
    <row r="487" customFormat="false" ht="15" hidden="false" customHeight="true" outlineLevel="0" collapsed="false">
      <c r="A487" s="294" t="s">
        <v>426</v>
      </c>
      <c r="B487" s="295" t="s">
        <v>2267</v>
      </c>
      <c r="C487" s="294" t="s">
        <v>300</v>
      </c>
      <c r="D487" s="296" t="n">
        <v>2160000</v>
      </c>
      <c r="E487" s="296" t="n">
        <v>3360000</v>
      </c>
      <c r="F487" s="296" t="n">
        <v>5040000</v>
      </c>
      <c r="G487" s="285" t="s">
        <v>2266</v>
      </c>
      <c r="H487" s="293" t="n">
        <f aca="false">IF($A487="","",CHOOSE(MATCH($I$1,{"Low","Mid","High"},0),D487,E487,F487))</f>
        <v>2160000</v>
      </c>
    </row>
    <row r="488" customFormat="false" ht="15" hidden="false" customHeight="true" outlineLevel="0" collapsed="false">
      <c r="A488" s="290" t="s">
        <v>428</v>
      </c>
      <c r="B488" s="291" t="s">
        <v>2268</v>
      </c>
      <c r="C488" s="290" t="s">
        <v>300</v>
      </c>
      <c r="D488" s="292" t="n">
        <v>864000</v>
      </c>
      <c r="E488" s="292" t="n">
        <v>1344000</v>
      </c>
      <c r="F488" s="292" t="n">
        <v>2016000</v>
      </c>
      <c r="G488" s="280" t="s">
        <v>2266</v>
      </c>
      <c r="H488" s="293" t="n">
        <f aca="false">IF($A488="","",CHOOSE(MATCH($I$1,{"Low","Mid","High"},0),D488,E488,F488))</f>
        <v>864000</v>
      </c>
    </row>
    <row r="489" customFormat="false" ht="15" hidden="false" customHeight="true" outlineLevel="0" collapsed="false">
      <c r="A489" s="294" t="s">
        <v>430</v>
      </c>
      <c r="B489" s="295" t="s">
        <v>2269</v>
      </c>
      <c r="C489" s="294" t="s">
        <v>300</v>
      </c>
      <c r="D489" s="296" t="n">
        <v>432000</v>
      </c>
      <c r="E489" s="296" t="n">
        <v>672000</v>
      </c>
      <c r="F489" s="296" t="n">
        <v>1008000</v>
      </c>
      <c r="G489" s="285" t="s">
        <v>2266</v>
      </c>
      <c r="H489" s="293" t="n">
        <f aca="false">IF($A489="","",CHOOSE(MATCH($I$1,{"Low","Mid","High"},0),D489,E489,F489))</f>
        <v>432000</v>
      </c>
    </row>
    <row r="490" customFormat="false" ht="15" hidden="false" customHeight="true" outlineLevel="0" collapsed="false">
      <c r="A490" s="290" t="s">
        <v>594</v>
      </c>
      <c r="B490" s="291" t="s">
        <v>2270</v>
      </c>
      <c r="C490" s="290" t="s">
        <v>300</v>
      </c>
      <c r="D490" s="292" t="n">
        <v>5616000</v>
      </c>
      <c r="E490" s="292" t="n">
        <v>8736000</v>
      </c>
      <c r="F490" s="292" t="n">
        <v>13104000</v>
      </c>
      <c r="G490" s="280" t="s">
        <v>2271</v>
      </c>
      <c r="H490" s="293" t="n">
        <f aca="false">IF($A490="","",CHOOSE(MATCH($I$1,{"Low","Mid","High"},0),D490,E490,F490))</f>
        <v>5616000</v>
      </c>
    </row>
    <row r="491" customFormat="false" ht="15" hidden="false" customHeight="true" outlineLevel="0" collapsed="false">
      <c r="A491" s="294" t="s">
        <v>596</v>
      </c>
      <c r="B491" s="295" t="s">
        <v>2272</v>
      </c>
      <c r="C491" s="294" t="s">
        <v>300</v>
      </c>
      <c r="D491" s="296" t="n">
        <v>1728000</v>
      </c>
      <c r="E491" s="296" t="n">
        <v>2688000</v>
      </c>
      <c r="F491" s="296" t="n">
        <v>4032000</v>
      </c>
      <c r="G491" s="285" t="s">
        <v>2271</v>
      </c>
      <c r="H491" s="293" t="n">
        <f aca="false">IF($A491="","",CHOOSE(MATCH($I$1,{"Low","Mid","High"},0),D491,E491,F491))</f>
        <v>1728000</v>
      </c>
    </row>
    <row r="492" customFormat="false" ht="15" hidden="false" customHeight="true" outlineLevel="0" collapsed="false">
      <c r="A492" s="290" t="s">
        <v>598</v>
      </c>
      <c r="B492" s="291" t="s">
        <v>2273</v>
      </c>
      <c r="C492" s="290" t="s">
        <v>300</v>
      </c>
      <c r="D492" s="292" t="n">
        <v>1296000</v>
      </c>
      <c r="E492" s="292" t="n">
        <v>2016000</v>
      </c>
      <c r="F492" s="292" t="n">
        <v>3024000</v>
      </c>
      <c r="G492" s="280" t="s">
        <v>2271</v>
      </c>
      <c r="H492" s="293" t="n">
        <f aca="false">IF($A492="","",CHOOSE(MATCH($I$1,{"Low","Mid","High"},0),D492,E492,F492))</f>
        <v>1296000</v>
      </c>
    </row>
    <row r="493" customFormat="false" ht="15" hidden="false" customHeight="true" outlineLevel="0" collapsed="false">
      <c r="A493" s="294" t="s">
        <v>1665</v>
      </c>
      <c r="B493" s="295" t="s">
        <v>2274</v>
      </c>
      <c r="C493" s="294" t="s">
        <v>300</v>
      </c>
      <c r="D493" s="296" t="n">
        <v>4200000</v>
      </c>
      <c r="E493" s="296" t="n">
        <v>6600000</v>
      </c>
      <c r="F493" s="296" t="n">
        <v>10200000</v>
      </c>
      <c r="G493" s="285" t="s">
        <v>2275</v>
      </c>
      <c r="H493" s="293" t="n">
        <f aca="false">IF($A493="","",CHOOSE(MATCH($I$1,{"Low","Mid","High"},0),D493,E493,F493))</f>
        <v>4200000</v>
      </c>
    </row>
    <row r="494" customFormat="false" ht="15" hidden="false" customHeight="true" outlineLevel="0" collapsed="false">
      <c r="A494" s="290" t="s">
        <v>1667</v>
      </c>
      <c r="B494" s="291" t="s">
        <v>2276</v>
      </c>
      <c r="C494" s="290" t="s">
        <v>300</v>
      </c>
      <c r="D494" s="292" t="n">
        <v>2940000</v>
      </c>
      <c r="E494" s="292" t="n">
        <v>4620000</v>
      </c>
      <c r="F494" s="292" t="n">
        <v>7140000</v>
      </c>
      <c r="G494" s="280" t="s">
        <v>2275</v>
      </c>
      <c r="H494" s="293" t="n">
        <f aca="false">IF($A494="","",CHOOSE(MATCH($I$1,{"Low","Mid","High"},0),D494,E494,F494))</f>
        <v>2940000</v>
      </c>
    </row>
    <row r="495" customFormat="false" ht="15" hidden="false" customHeight="true" outlineLevel="0" collapsed="false">
      <c r="A495" s="294" t="s">
        <v>1669</v>
      </c>
      <c r="B495" s="295" t="s">
        <v>2277</v>
      </c>
      <c r="C495" s="294" t="s">
        <v>300</v>
      </c>
      <c r="D495" s="296" t="n">
        <v>840000</v>
      </c>
      <c r="E495" s="296" t="n">
        <v>1320000</v>
      </c>
      <c r="F495" s="296" t="n">
        <v>2040000</v>
      </c>
      <c r="G495" s="285" t="s">
        <v>2275</v>
      </c>
      <c r="H495" s="293" t="n">
        <f aca="false">IF($A495="","",CHOOSE(MATCH($I$1,{"Low","Mid","High"},0),D495,E495,F495))</f>
        <v>840000</v>
      </c>
    </row>
    <row r="496" customFormat="false" ht="15" hidden="false" customHeight="true" outlineLevel="0" collapsed="false">
      <c r="A496" s="290" t="s">
        <v>1671</v>
      </c>
      <c r="B496" s="291" t="s">
        <v>2278</v>
      </c>
      <c r="C496" s="290" t="s">
        <v>300</v>
      </c>
      <c r="D496" s="292" t="n">
        <v>420000</v>
      </c>
      <c r="E496" s="292" t="n">
        <v>660000</v>
      </c>
      <c r="F496" s="292" t="n">
        <v>1020000</v>
      </c>
      <c r="G496" s="280" t="s">
        <v>2275</v>
      </c>
      <c r="H496" s="293" t="n">
        <f aca="false">IF($A496="","",CHOOSE(MATCH($I$1,{"Low","Mid","High"},0),D496,E496,F496))</f>
        <v>420000</v>
      </c>
    </row>
    <row r="497" customFormat="false" ht="15" hidden="false" customHeight="true" outlineLevel="0" collapsed="false">
      <c r="A497" s="294" t="s">
        <v>1309</v>
      </c>
      <c r="B497" s="295" t="s">
        <v>2279</v>
      </c>
      <c r="C497" s="294" t="s">
        <v>300</v>
      </c>
      <c r="D497" s="296" t="n">
        <v>4882500</v>
      </c>
      <c r="E497" s="296" t="n">
        <v>6975000</v>
      </c>
      <c r="F497" s="296" t="n">
        <v>9765000</v>
      </c>
      <c r="G497" s="285" t="s">
        <v>2280</v>
      </c>
      <c r="H497" s="293" t="n">
        <f aca="false">IF($A497="","",CHOOSE(MATCH($I$1,{"Low","Mid","High"},0),D497,E497,F497))</f>
        <v>4882500</v>
      </c>
    </row>
    <row r="498" customFormat="false" ht="15" hidden="false" customHeight="true" outlineLevel="0" collapsed="false">
      <c r="A498" s="290" t="s">
        <v>1311</v>
      </c>
      <c r="B498" s="291" t="s">
        <v>2281</v>
      </c>
      <c r="C498" s="290" t="s">
        <v>300</v>
      </c>
      <c r="D498" s="292" t="n">
        <v>1575000</v>
      </c>
      <c r="E498" s="292" t="n">
        <v>2250000</v>
      </c>
      <c r="F498" s="292" t="n">
        <v>3150000</v>
      </c>
      <c r="G498" s="280" t="s">
        <v>2280</v>
      </c>
      <c r="H498" s="293" t="n">
        <f aca="false">IF($A498="","",CHOOSE(MATCH($I$1,{"Low","Mid","High"},0),D498,E498,F498))</f>
        <v>1575000</v>
      </c>
    </row>
    <row r="499" customFormat="false" ht="15" hidden="false" customHeight="true" outlineLevel="0" collapsed="false">
      <c r="A499" s="294" t="s">
        <v>1313</v>
      </c>
      <c r="B499" s="295" t="s">
        <v>2282</v>
      </c>
      <c r="C499" s="294" t="s">
        <v>300</v>
      </c>
      <c r="D499" s="296" t="n">
        <v>1417500</v>
      </c>
      <c r="E499" s="296" t="n">
        <v>2025000</v>
      </c>
      <c r="F499" s="296" t="n">
        <v>2835000</v>
      </c>
      <c r="G499" s="285" t="s">
        <v>2280</v>
      </c>
      <c r="H499" s="293" t="n">
        <f aca="false">IF($A499="","",CHOOSE(MATCH($I$1,{"Low","Mid","High"},0),D499,E499,F499))</f>
        <v>1417500</v>
      </c>
    </row>
    <row r="500" customFormat="false" ht="15" hidden="false" customHeight="true" outlineLevel="0" collapsed="false">
      <c r="A500" s="290" t="s">
        <v>1775</v>
      </c>
      <c r="B500" s="291" t="s">
        <v>2283</v>
      </c>
      <c r="C500" s="290" t="s">
        <v>300</v>
      </c>
      <c r="D500" s="292" t="n">
        <v>4331250</v>
      </c>
      <c r="E500" s="292" t="n">
        <v>6187500</v>
      </c>
      <c r="F500" s="292" t="n">
        <v>8662500</v>
      </c>
      <c r="G500" s="280" t="s">
        <v>2284</v>
      </c>
      <c r="H500" s="293" t="n">
        <f aca="false">IF($A500="","",CHOOSE(MATCH($I$1,{"Low","Mid","High"},0),D500,E500,F500))</f>
        <v>4331250</v>
      </c>
    </row>
    <row r="501" customFormat="false" ht="15" hidden="false" customHeight="true" outlineLevel="0" collapsed="false">
      <c r="A501" s="294" t="s">
        <v>1777</v>
      </c>
      <c r="B501" s="295" t="s">
        <v>2285</v>
      </c>
      <c r="C501" s="294" t="s">
        <v>300</v>
      </c>
      <c r="D501" s="296" t="n">
        <v>1968750</v>
      </c>
      <c r="E501" s="296" t="n">
        <v>2812500</v>
      </c>
      <c r="F501" s="296" t="n">
        <v>3937500</v>
      </c>
      <c r="G501" s="285" t="s">
        <v>2284</v>
      </c>
      <c r="H501" s="293" t="n">
        <f aca="false">IF($A501="","",CHOOSE(MATCH($I$1,{"Low","Mid","High"},0),D501,E501,F501))</f>
        <v>1968750</v>
      </c>
    </row>
    <row r="502" customFormat="false" ht="15" hidden="false" customHeight="true" outlineLevel="0" collapsed="false">
      <c r="A502" s="290" t="s">
        <v>1779</v>
      </c>
      <c r="B502" s="291" t="s">
        <v>2286</v>
      </c>
      <c r="C502" s="290" t="s">
        <v>300</v>
      </c>
      <c r="D502" s="292" t="n">
        <v>945000</v>
      </c>
      <c r="E502" s="292" t="n">
        <v>1350000</v>
      </c>
      <c r="F502" s="292" t="n">
        <v>1890000</v>
      </c>
      <c r="G502" s="280" t="s">
        <v>2284</v>
      </c>
      <c r="H502" s="293" t="n">
        <f aca="false">IF($A502="","",CHOOSE(MATCH($I$1,{"Low","Mid","High"},0),D502,E502,F502))</f>
        <v>945000</v>
      </c>
    </row>
    <row r="503" customFormat="false" ht="15" hidden="false" customHeight="true" outlineLevel="0" collapsed="false">
      <c r="A503" s="294" t="s">
        <v>1781</v>
      </c>
      <c r="B503" s="295" t="s">
        <v>2287</v>
      </c>
      <c r="C503" s="294" t="s">
        <v>300</v>
      </c>
      <c r="D503" s="296" t="n">
        <v>630000</v>
      </c>
      <c r="E503" s="296" t="n">
        <v>900000</v>
      </c>
      <c r="F503" s="296" t="n">
        <v>1260000</v>
      </c>
      <c r="G503" s="285" t="s">
        <v>2284</v>
      </c>
      <c r="H503" s="293" t="n">
        <f aca="false">IF($A503="","",CHOOSE(MATCH($I$1,{"Low","Mid","High"},0),D503,E503,F503))</f>
        <v>630000</v>
      </c>
    </row>
    <row r="504" customFormat="false" ht="15" hidden="false" customHeight="true" outlineLevel="0" collapsed="false">
      <c r="A504" s="290" t="s">
        <v>620</v>
      </c>
      <c r="B504" s="291" t="s">
        <v>2288</v>
      </c>
      <c r="C504" s="290" t="s">
        <v>300</v>
      </c>
      <c r="D504" s="292" t="n">
        <v>5880000</v>
      </c>
      <c r="E504" s="292" t="n">
        <v>8400000</v>
      </c>
      <c r="F504" s="292" t="n">
        <v>11760000</v>
      </c>
      <c r="G504" s="280" t="s">
        <v>2289</v>
      </c>
      <c r="H504" s="293" t="n">
        <f aca="false">IF($A504="","",CHOOSE(MATCH($I$1,{"Low","Mid","High"},0),D504,E504,F504))</f>
        <v>5880000</v>
      </c>
    </row>
    <row r="505" customFormat="false" ht="15" hidden="false" customHeight="true" outlineLevel="0" collapsed="false">
      <c r="A505" s="294" t="s">
        <v>622</v>
      </c>
      <c r="B505" s="295" t="s">
        <v>2290</v>
      </c>
      <c r="C505" s="294" t="s">
        <v>300</v>
      </c>
      <c r="D505" s="296" t="n">
        <v>1176000</v>
      </c>
      <c r="E505" s="296" t="n">
        <v>1680000</v>
      </c>
      <c r="F505" s="296" t="n">
        <v>2352000</v>
      </c>
      <c r="G505" s="285" t="s">
        <v>2289</v>
      </c>
      <c r="H505" s="293" t="n">
        <f aca="false">IF($A505="","",CHOOSE(MATCH($I$1,{"Low","Mid","High"},0),D505,E505,F505))</f>
        <v>1176000</v>
      </c>
    </row>
    <row r="506" customFormat="false" ht="15" hidden="false" customHeight="true" outlineLevel="0" collapsed="false">
      <c r="A506" s="290" t="s">
        <v>624</v>
      </c>
      <c r="B506" s="291" t="s">
        <v>2291</v>
      </c>
      <c r="C506" s="290" t="s">
        <v>300</v>
      </c>
      <c r="D506" s="292" t="n">
        <v>784000</v>
      </c>
      <c r="E506" s="292" t="n">
        <v>1120000</v>
      </c>
      <c r="F506" s="292" t="n">
        <v>1568000</v>
      </c>
      <c r="G506" s="280" t="s">
        <v>2289</v>
      </c>
      <c r="H506" s="293" t="n">
        <f aca="false">IF($A506="","",CHOOSE(MATCH($I$1,{"Low","Mid","High"},0),D506,E506,F506))</f>
        <v>784000</v>
      </c>
    </row>
    <row r="507" customFormat="false" ht="15" hidden="false" customHeight="true" outlineLevel="0" collapsed="false">
      <c r="A507" s="294" t="s">
        <v>1267</v>
      </c>
      <c r="B507" s="295" t="s">
        <v>2292</v>
      </c>
      <c r="C507" s="294" t="s">
        <v>300</v>
      </c>
      <c r="D507" s="296" t="n">
        <v>4998000</v>
      </c>
      <c r="E507" s="296" t="n">
        <v>7140000</v>
      </c>
      <c r="F507" s="296" t="n">
        <v>9996000</v>
      </c>
      <c r="G507" s="285" t="s">
        <v>2293</v>
      </c>
      <c r="H507" s="293" t="n">
        <f aca="false">IF($A507="","",CHOOSE(MATCH($I$1,{"Low","Mid","High"},0),D507,E507,F507))</f>
        <v>4998000</v>
      </c>
    </row>
    <row r="508" customFormat="false" ht="15" hidden="false" customHeight="true" outlineLevel="0" collapsed="false">
      <c r="A508" s="290" t="s">
        <v>1269</v>
      </c>
      <c r="B508" s="291" t="s">
        <v>2294</v>
      </c>
      <c r="C508" s="290" t="s">
        <v>300</v>
      </c>
      <c r="D508" s="292" t="n">
        <v>1470000</v>
      </c>
      <c r="E508" s="292" t="n">
        <v>2100000</v>
      </c>
      <c r="F508" s="292" t="n">
        <v>2940000</v>
      </c>
      <c r="G508" s="280" t="s">
        <v>2293</v>
      </c>
      <c r="H508" s="293" t="n">
        <f aca="false">IF($A508="","",CHOOSE(MATCH($I$1,{"Low","Mid","High"},0),D508,E508,F508))</f>
        <v>1470000</v>
      </c>
    </row>
    <row r="509" customFormat="false" ht="15" hidden="false" customHeight="true" outlineLevel="0" collapsed="false">
      <c r="A509" s="294" t="s">
        <v>1271</v>
      </c>
      <c r="B509" s="295" t="s">
        <v>2295</v>
      </c>
      <c r="C509" s="294" t="s">
        <v>300</v>
      </c>
      <c r="D509" s="296" t="n">
        <v>882000</v>
      </c>
      <c r="E509" s="296" t="n">
        <v>1260000</v>
      </c>
      <c r="F509" s="296" t="n">
        <v>1764000</v>
      </c>
      <c r="G509" s="285" t="s">
        <v>2293</v>
      </c>
      <c r="H509" s="293" t="n">
        <f aca="false">IF($A509="","",CHOOSE(MATCH($I$1,{"Low","Mid","High"},0),D509,E509,F509))</f>
        <v>882000</v>
      </c>
    </row>
    <row r="510" customFormat="false" ht="15" hidden="false" customHeight="true" outlineLevel="0" collapsed="false">
      <c r="A510" s="290" t="s">
        <v>1283</v>
      </c>
      <c r="B510" s="291" t="s">
        <v>2296</v>
      </c>
      <c r="C510" s="290" t="s">
        <v>300</v>
      </c>
      <c r="D510" s="292" t="n">
        <v>3906000</v>
      </c>
      <c r="E510" s="292" t="n">
        <v>5580000</v>
      </c>
      <c r="F510" s="292" t="n">
        <v>7812000</v>
      </c>
      <c r="G510" s="280" t="s">
        <v>2297</v>
      </c>
      <c r="H510" s="293" t="n">
        <f aca="false">IF($A510="","",CHOOSE(MATCH($I$1,{"Low","Mid","High"},0),D510,E510,F510))</f>
        <v>3906000</v>
      </c>
    </row>
    <row r="511" customFormat="false" ht="15" hidden="false" customHeight="true" outlineLevel="0" collapsed="false">
      <c r="A511" s="294" t="s">
        <v>1285</v>
      </c>
      <c r="B511" s="295" t="s">
        <v>2298</v>
      </c>
      <c r="C511" s="294" t="s">
        <v>300</v>
      </c>
      <c r="D511" s="296" t="n">
        <v>1386000</v>
      </c>
      <c r="E511" s="296" t="n">
        <v>1980000</v>
      </c>
      <c r="F511" s="296" t="n">
        <v>2772000</v>
      </c>
      <c r="G511" s="285" t="s">
        <v>2297</v>
      </c>
      <c r="H511" s="293" t="n">
        <f aca="false">IF($A511="","",CHOOSE(MATCH($I$1,{"Low","Mid","High"},0),D511,E511,F511))</f>
        <v>1386000</v>
      </c>
    </row>
    <row r="512" customFormat="false" ht="15" hidden="false" customHeight="true" outlineLevel="0" collapsed="false">
      <c r="A512" s="290" t="s">
        <v>1287</v>
      </c>
      <c r="B512" s="291" t="s">
        <v>2299</v>
      </c>
      <c r="C512" s="290" t="s">
        <v>300</v>
      </c>
      <c r="D512" s="292" t="n">
        <v>1008000</v>
      </c>
      <c r="E512" s="292" t="n">
        <v>1440000</v>
      </c>
      <c r="F512" s="292" t="n">
        <v>2016000</v>
      </c>
      <c r="G512" s="280" t="s">
        <v>2297</v>
      </c>
      <c r="H512" s="293" t="n">
        <f aca="false">IF($A512="","",CHOOSE(MATCH($I$1,{"Low","Mid","High"},0),D512,E512,F512))</f>
        <v>1008000</v>
      </c>
    </row>
    <row r="513" customFormat="false" ht="15" hidden="false" customHeight="true" outlineLevel="0" collapsed="false">
      <c r="A513" s="294" t="s">
        <v>1025</v>
      </c>
      <c r="B513" s="295" t="s">
        <v>2300</v>
      </c>
      <c r="C513" s="294" t="s">
        <v>300</v>
      </c>
      <c r="D513" s="296" t="n">
        <v>3816720</v>
      </c>
      <c r="E513" s="296" t="n">
        <v>6043140</v>
      </c>
      <c r="F513" s="296" t="n">
        <v>8905680</v>
      </c>
      <c r="G513" s="285" t="s">
        <v>2301</v>
      </c>
      <c r="H513" s="293" t="n">
        <f aca="false">IF($A513="","",CHOOSE(MATCH($I$1,{"Low","Mid","High"},0),D513,E513,F513))</f>
        <v>3816720</v>
      </c>
    </row>
    <row r="514" customFormat="false" ht="15" hidden="false" customHeight="true" outlineLevel="0" collapsed="false">
      <c r="A514" s="290" t="s">
        <v>1027</v>
      </c>
      <c r="B514" s="291" t="s">
        <v>2302</v>
      </c>
      <c r="C514" s="290" t="s">
        <v>300</v>
      </c>
      <c r="D514" s="292" t="n">
        <v>1108080</v>
      </c>
      <c r="E514" s="292" t="n">
        <v>1754460</v>
      </c>
      <c r="F514" s="292" t="n">
        <v>2585520</v>
      </c>
      <c r="G514" s="280" t="s">
        <v>2301</v>
      </c>
      <c r="H514" s="293" t="n">
        <f aca="false">IF($A514="","",CHOOSE(MATCH($I$1,{"Low","Mid","High"},0),D514,E514,F514))</f>
        <v>1108080</v>
      </c>
    </row>
    <row r="515" customFormat="false" ht="15" hidden="false" customHeight="true" outlineLevel="0" collapsed="false">
      <c r="A515" s="294" t="s">
        <v>1029</v>
      </c>
      <c r="B515" s="295" t="s">
        <v>2303</v>
      </c>
      <c r="C515" s="294" t="s">
        <v>300</v>
      </c>
      <c r="D515" s="296" t="n">
        <v>738720</v>
      </c>
      <c r="E515" s="296" t="n">
        <v>1169640</v>
      </c>
      <c r="F515" s="296" t="n">
        <v>1723680</v>
      </c>
      <c r="G515" s="285" t="s">
        <v>2301</v>
      </c>
      <c r="H515" s="293" t="n">
        <f aca="false">IF($A515="","",CHOOSE(MATCH($I$1,{"Low","Mid","High"},0),D515,E515,F515))</f>
        <v>738720</v>
      </c>
    </row>
    <row r="516" customFormat="false" ht="15" hidden="false" customHeight="true" outlineLevel="0" collapsed="false">
      <c r="A516" s="290" t="s">
        <v>1031</v>
      </c>
      <c r="B516" s="291" t="s">
        <v>2304</v>
      </c>
      <c r="C516" s="290" t="s">
        <v>300</v>
      </c>
      <c r="D516" s="292" t="n">
        <v>492480</v>
      </c>
      <c r="E516" s="292" t="n">
        <v>779760</v>
      </c>
      <c r="F516" s="292" t="n">
        <v>1149120</v>
      </c>
      <c r="G516" s="280" t="s">
        <v>2301</v>
      </c>
      <c r="H516" s="293" t="n">
        <f aca="false">IF($A516="","",CHOOSE(MATCH($I$1,{"Low","Mid","High"},0),D516,E516,F516))</f>
        <v>492480</v>
      </c>
    </row>
    <row r="517" customFormat="false" ht="15" hidden="false" customHeight="true" outlineLevel="0" collapsed="false">
      <c r="A517" s="294" t="s">
        <v>536</v>
      </c>
      <c r="B517" s="295" t="s">
        <v>2305</v>
      </c>
      <c r="C517" s="294" t="s">
        <v>300</v>
      </c>
      <c r="D517" s="296" t="n">
        <v>3780000</v>
      </c>
      <c r="E517" s="296" t="n">
        <v>5400000</v>
      </c>
      <c r="F517" s="296" t="n">
        <v>7560000</v>
      </c>
      <c r="G517" s="285" t="s">
        <v>2306</v>
      </c>
      <c r="H517" s="293" t="n">
        <f aca="false">IF($A517="","",CHOOSE(MATCH($I$1,{"Low","Mid","High"},0),D517,E517,F517))</f>
        <v>3780000</v>
      </c>
    </row>
    <row r="518" customFormat="false" ht="15" hidden="false" customHeight="true" outlineLevel="0" collapsed="false">
      <c r="A518" s="290" t="s">
        <v>538</v>
      </c>
      <c r="B518" s="291" t="s">
        <v>2307</v>
      </c>
      <c r="C518" s="290" t="s">
        <v>300</v>
      </c>
      <c r="D518" s="292" t="n">
        <v>1575000</v>
      </c>
      <c r="E518" s="292" t="n">
        <v>2250000</v>
      </c>
      <c r="F518" s="292" t="n">
        <v>3150000</v>
      </c>
      <c r="G518" s="280" t="s">
        <v>2306</v>
      </c>
      <c r="H518" s="293" t="n">
        <f aca="false">IF($A518="","",CHOOSE(MATCH($I$1,{"Low","Mid","High"},0),D518,E518,F518))</f>
        <v>1575000</v>
      </c>
    </row>
    <row r="519" customFormat="false" ht="15" hidden="false" customHeight="true" outlineLevel="0" collapsed="false">
      <c r="A519" s="294" t="s">
        <v>540</v>
      </c>
      <c r="B519" s="295" t="s">
        <v>2308</v>
      </c>
      <c r="C519" s="294" t="s">
        <v>300</v>
      </c>
      <c r="D519" s="296" t="n">
        <v>945000</v>
      </c>
      <c r="E519" s="296" t="n">
        <v>1350000</v>
      </c>
      <c r="F519" s="296" t="n">
        <v>1890000</v>
      </c>
      <c r="G519" s="285" t="s">
        <v>2306</v>
      </c>
      <c r="H519" s="293" t="n">
        <f aca="false">IF($A519="","",CHOOSE(MATCH($I$1,{"Low","Mid","High"},0),D519,E519,F519))</f>
        <v>945000</v>
      </c>
    </row>
    <row r="520" customFormat="false" ht="15" hidden="false" customHeight="true" outlineLevel="0" collapsed="false">
      <c r="A520" s="290" t="s">
        <v>1291</v>
      </c>
      <c r="B520" s="291" t="s">
        <v>2309</v>
      </c>
      <c r="C520" s="290" t="s">
        <v>300</v>
      </c>
      <c r="D520" s="292" t="n">
        <v>3628800</v>
      </c>
      <c r="E520" s="292" t="n">
        <v>5184000</v>
      </c>
      <c r="F520" s="292" t="n">
        <v>7257600</v>
      </c>
      <c r="G520" s="280" t="s">
        <v>2310</v>
      </c>
      <c r="H520" s="293" t="n">
        <f aca="false">IF($A520="","",CHOOSE(MATCH($I$1,{"Low","Mid","High"},0),D520,E520,F520))</f>
        <v>3628800</v>
      </c>
    </row>
    <row r="521" customFormat="false" ht="15" hidden="false" customHeight="true" outlineLevel="0" collapsed="false">
      <c r="A521" s="294" t="s">
        <v>1293</v>
      </c>
      <c r="B521" s="295" t="s">
        <v>2311</v>
      </c>
      <c r="C521" s="294" t="s">
        <v>300</v>
      </c>
      <c r="D521" s="296" t="n">
        <v>1330560</v>
      </c>
      <c r="E521" s="296" t="n">
        <v>1900800</v>
      </c>
      <c r="F521" s="296" t="n">
        <v>2661120</v>
      </c>
      <c r="G521" s="285" t="s">
        <v>2310</v>
      </c>
      <c r="H521" s="293" t="n">
        <f aca="false">IF($A521="","",CHOOSE(MATCH($I$1,{"Low","Mid","High"},0),D521,E521,F521))</f>
        <v>1330560</v>
      </c>
    </row>
    <row r="522" customFormat="false" ht="15" hidden="false" customHeight="true" outlineLevel="0" collapsed="false">
      <c r="A522" s="290" t="s">
        <v>1295</v>
      </c>
      <c r="B522" s="291" t="s">
        <v>2312</v>
      </c>
      <c r="C522" s="290" t="s">
        <v>300</v>
      </c>
      <c r="D522" s="292" t="n">
        <v>1088640</v>
      </c>
      <c r="E522" s="292" t="n">
        <v>1555200</v>
      </c>
      <c r="F522" s="292" t="n">
        <v>2177280</v>
      </c>
      <c r="G522" s="280" t="s">
        <v>2310</v>
      </c>
      <c r="H522" s="293" t="n">
        <f aca="false">IF($A522="","",CHOOSE(MATCH($I$1,{"Low","Mid","High"},0),D522,E522,F522))</f>
        <v>1088640</v>
      </c>
    </row>
    <row r="523" customFormat="false" ht="15" hidden="false" customHeight="true" outlineLevel="0" collapsed="false">
      <c r="A523" s="294" t="s">
        <v>606</v>
      </c>
      <c r="B523" s="295" t="s">
        <v>2313</v>
      </c>
      <c r="C523" s="294" t="s">
        <v>300</v>
      </c>
      <c r="D523" s="296" t="n">
        <v>3968000</v>
      </c>
      <c r="E523" s="296" t="n">
        <v>6448000</v>
      </c>
      <c r="F523" s="296" t="n">
        <v>9920000</v>
      </c>
      <c r="G523" s="285" t="s">
        <v>2314</v>
      </c>
      <c r="H523" s="293" t="n">
        <f aca="false">IF($A523="","",CHOOSE(MATCH($I$1,{"Low","Mid","High"},0),D523,E523,F523))</f>
        <v>3968000</v>
      </c>
    </row>
    <row r="524" customFormat="false" ht="15" hidden="false" customHeight="true" outlineLevel="0" collapsed="false">
      <c r="A524" s="290" t="s">
        <v>608</v>
      </c>
      <c r="B524" s="291" t="s">
        <v>2315</v>
      </c>
      <c r="C524" s="290" t="s">
        <v>300</v>
      </c>
      <c r="D524" s="292" t="n">
        <v>1152000</v>
      </c>
      <c r="E524" s="292" t="n">
        <v>1872000</v>
      </c>
      <c r="F524" s="292" t="n">
        <v>2880000</v>
      </c>
      <c r="G524" s="280" t="s">
        <v>2314</v>
      </c>
      <c r="H524" s="293" t="n">
        <f aca="false">IF($A524="","",CHOOSE(MATCH($I$1,{"Low","Mid","High"},0),D524,E524,F524))</f>
        <v>1152000</v>
      </c>
    </row>
    <row r="525" customFormat="false" ht="15" hidden="false" customHeight="true" outlineLevel="0" collapsed="false">
      <c r="A525" s="294" t="s">
        <v>610</v>
      </c>
      <c r="B525" s="295" t="s">
        <v>2316</v>
      </c>
      <c r="C525" s="294" t="s">
        <v>300</v>
      </c>
      <c r="D525" s="296" t="n">
        <v>1280000</v>
      </c>
      <c r="E525" s="296" t="n">
        <v>2080000</v>
      </c>
      <c r="F525" s="296" t="n">
        <v>3200000</v>
      </c>
      <c r="G525" s="285" t="s">
        <v>2314</v>
      </c>
      <c r="H525" s="293" t="n">
        <f aca="false">IF($A525="","",CHOOSE(MATCH($I$1,{"Low","Mid","High"},0),D525,E525,F525))</f>
        <v>1280000</v>
      </c>
    </row>
    <row r="526" customFormat="false" ht="15" hidden="false" customHeight="true" outlineLevel="0" collapsed="false">
      <c r="A526" s="290" t="s">
        <v>1602</v>
      </c>
      <c r="B526" s="291" t="s">
        <v>2317</v>
      </c>
      <c r="C526" s="290" t="s">
        <v>300</v>
      </c>
      <c r="D526" s="292" t="n">
        <v>2800000</v>
      </c>
      <c r="E526" s="292" t="n">
        <v>5200000</v>
      </c>
      <c r="F526" s="292" t="n">
        <v>8800000</v>
      </c>
      <c r="G526" s="280" t="s">
        <v>2318</v>
      </c>
      <c r="H526" s="293" t="n">
        <f aca="false">IF($A526="","",CHOOSE(MATCH($I$1,{"Low","Mid","High"},0),D526,E526,F526))</f>
        <v>2800000</v>
      </c>
    </row>
    <row r="527" customFormat="false" ht="15" hidden="false" customHeight="true" outlineLevel="0" collapsed="false">
      <c r="A527" s="294" t="s">
        <v>1604</v>
      </c>
      <c r="B527" s="295" t="s">
        <v>2319</v>
      </c>
      <c r="C527" s="294" t="s">
        <v>300</v>
      </c>
      <c r="D527" s="296" t="n">
        <v>1400000</v>
      </c>
      <c r="E527" s="296" t="n">
        <v>2600000</v>
      </c>
      <c r="F527" s="296" t="n">
        <v>4400000</v>
      </c>
      <c r="G527" s="285" t="s">
        <v>2318</v>
      </c>
      <c r="H527" s="293" t="n">
        <f aca="false">IF($A527="","",CHOOSE(MATCH($I$1,{"Low","Mid","High"},0),D527,E527,F527))</f>
        <v>1400000</v>
      </c>
    </row>
    <row r="528" customFormat="false" ht="15" hidden="false" customHeight="true" outlineLevel="0" collapsed="false">
      <c r="A528" s="290" t="s">
        <v>1606</v>
      </c>
      <c r="B528" s="291" t="s">
        <v>2320</v>
      </c>
      <c r="C528" s="290" t="s">
        <v>300</v>
      </c>
      <c r="D528" s="292" t="n">
        <v>840000</v>
      </c>
      <c r="E528" s="292" t="n">
        <v>1560000</v>
      </c>
      <c r="F528" s="292" t="n">
        <v>2640000</v>
      </c>
      <c r="G528" s="280" t="s">
        <v>2318</v>
      </c>
      <c r="H528" s="293" t="n">
        <f aca="false">IF($A528="","",CHOOSE(MATCH($I$1,{"Low","Mid","High"},0),D528,E528,F528))</f>
        <v>840000</v>
      </c>
    </row>
    <row r="529" customFormat="false" ht="15" hidden="false" customHeight="true" outlineLevel="0" collapsed="false">
      <c r="A529" s="294" t="s">
        <v>1608</v>
      </c>
      <c r="B529" s="295" t="s">
        <v>2321</v>
      </c>
      <c r="C529" s="294" t="s">
        <v>300</v>
      </c>
      <c r="D529" s="296" t="n">
        <v>560000</v>
      </c>
      <c r="E529" s="296" t="n">
        <v>1040000</v>
      </c>
      <c r="F529" s="296" t="n">
        <v>1760000</v>
      </c>
      <c r="G529" s="285" t="s">
        <v>2318</v>
      </c>
      <c r="H529" s="293" t="n">
        <f aca="false">IF($A529="","",CHOOSE(MATCH($I$1,{"Low","Mid","High"},0),D529,E529,F529))</f>
        <v>560000</v>
      </c>
    </row>
    <row r="530" customFormat="false" ht="15" hidden="false" customHeight="true" outlineLevel="0" collapsed="false">
      <c r="A530" s="290" t="s">
        <v>696</v>
      </c>
      <c r="B530" s="291" t="s">
        <v>2322</v>
      </c>
      <c r="C530" s="290" t="s">
        <v>300</v>
      </c>
      <c r="D530" s="292" t="n">
        <v>2304000</v>
      </c>
      <c r="E530" s="292" t="n">
        <v>3840000</v>
      </c>
      <c r="F530" s="292" t="n">
        <v>6144000</v>
      </c>
      <c r="G530" s="280" t="s">
        <v>2323</v>
      </c>
      <c r="H530" s="293" t="n">
        <f aca="false">IF($A530="","",CHOOSE(MATCH($I$1,{"Low","Mid","High"},0),D530,E530,F530))</f>
        <v>2304000</v>
      </c>
    </row>
    <row r="531" customFormat="false" ht="15" hidden="false" customHeight="true" outlineLevel="0" collapsed="false">
      <c r="A531" s="294" t="s">
        <v>698</v>
      </c>
      <c r="B531" s="295" t="s">
        <v>2324</v>
      </c>
      <c r="C531" s="294" t="s">
        <v>300</v>
      </c>
      <c r="D531" s="296" t="n">
        <v>2304000</v>
      </c>
      <c r="E531" s="296" t="n">
        <v>3840000</v>
      </c>
      <c r="F531" s="296" t="n">
        <v>6144000</v>
      </c>
      <c r="G531" s="285" t="s">
        <v>2323</v>
      </c>
      <c r="H531" s="293" t="n">
        <f aca="false">IF($A531="","",CHOOSE(MATCH($I$1,{"Low","Mid","High"},0),D531,E531,F531))</f>
        <v>2304000</v>
      </c>
    </row>
    <row r="532" customFormat="false" ht="15" hidden="false" customHeight="true" outlineLevel="0" collapsed="false">
      <c r="A532" s="290" t="s">
        <v>700</v>
      </c>
      <c r="B532" s="291" t="s">
        <v>2325</v>
      </c>
      <c r="C532" s="290" t="s">
        <v>300</v>
      </c>
      <c r="D532" s="292" t="n">
        <v>1152000</v>
      </c>
      <c r="E532" s="292" t="n">
        <v>1920000</v>
      </c>
      <c r="F532" s="292" t="n">
        <v>3072000</v>
      </c>
      <c r="G532" s="280" t="s">
        <v>2323</v>
      </c>
      <c r="H532" s="293" t="n">
        <f aca="false">IF($A532="","",CHOOSE(MATCH($I$1,{"Low","Mid","High"},0),D532,E532,F532))</f>
        <v>1152000</v>
      </c>
    </row>
    <row r="533" customFormat="false" ht="15" hidden="false" customHeight="true" outlineLevel="0" collapsed="false">
      <c r="A533" s="294" t="s">
        <v>1675</v>
      </c>
      <c r="B533" s="295" t="s">
        <v>2326</v>
      </c>
      <c r="C533" s="294" t="s">
        <v>300</v>
      </c>
      <c r="D533" s="296" t="n">
        <v>2800000</v>
      </c>
      <c r="E533" s="296" t="n">
        <v>4000000</v>
      </c>
      <c r="F533" s="296" t="n">
        <v>5600000</v>
      </c>
      <c r="G533" s="285" t="s">
        <v>2327</v>
      </c>
      <c r="H533" s="293" t="n">
        <f aca="false">IF($A533="","",CHOOSE(MATCH($I$1,{"Low","Mid","High"},0),D533,E533,F533))</f>
        <v>2800000</v>
      </c>
    </row>
    <row r="534" customFormat="false" ht="15" hidden="false" customHeight="true" outlineLevel="0" collapsed="false">
      <c r="A534" s="290" t="s">
        <v>1677</v>
      </c>
      <c r="B534" s="291" t="s">
        <v>2328</v>
      </c>
      <c r="C534" s="290" t="s">
        <v>300</v>
      </c>
      <c r="D534" s="292" t="n">
        <v>1680000</v>
      </c>
      <c r="E534" s="292" t="n">
        <v>2400000</v>
      </c>
      <c r="F534" s="292" t="n">
        <v>3360000</v>
      </c>
      <c r="G534" s="280" t="s">
        <v>2327</v>
      </c>
      <c r="H534" s="293" t="n">
        <f aca="false">IF($A534="","",CHOOSE(MATCH($I$1,{"Low","Mid","High"},0),D534,E534,F534))</f>
        <v>1680000</v>
      </c>
    </row>
    <row r="535" customFormat="false" ht="15" hidden="false" customHeight="true" outlineLevel="0" collapsed="false">
      <c r="A535" s="294" t="s">
        <v>1679</v>
      </c>
      <c r="B535" s="295" t="s">
        <v>2329</v>
      </c>
      <c r="C535" s="294" t="s">
        <v>300</v>
      </c>
      <c r="D535" s="296" t="n">
        <v>672000</v>
      </c>
      <c r="E535" s="296" t="n">
        <v>960000</v>
      </c>
      <c r="F535" s="296" t="n">
        <v>1344000</v>
      </c>
      <c r="G535" s="285" t="s">
        <v>2327</v>
      </c>
      <c r="H535" s="293" t="n">
        <f aca="false">IF($A535="","",CHOOSE(MATCH($I$1,{"Low","Mid","High"},0),D535,E535,F535))</f>
        <v>672000</v>
      </c>
    </row>
    <row r="536" customFormat="false" ht="15" hidden="false" customHeight="true" outlineLevel="0" collapsed="false">
      <c r="A536" s="290" t="s">
        <v>1681</v>
      </c>
      <c r="B536" s="291" t="s">
        <v>2330</v>
      </c>
      <c r="C536" s="290" t="s">
        <v>300</v>
      </c>
      <c r="D536" s="292" t="n">
        <v>448000</v>
      </c>
      <c r="E536" s="292" t="n">
        <v>640000</v>
      </c>
      <c r="F536" s="292" t="n">
        <v>896000</v>
      </c>
      <c r="G536" s="280" t="s">
        <v>2327</v>
      </c>
      <c r="H536" s="293" t="n">
        <f aca="false">IF($A536="","",CHOOSE(MATCH($I$1,{"Low","Mid","High"},0),D536,E536,F536))</f>
        <v>448000</v>
      </c>
    </row>
    <row r="537" customFormat="false" ht="15" hidden="false" customHeight="true" outlineLevel="0" collapsed="false">
      <c r="A537" s="294" t="s">
        <v>861</v>
      </c>
      <c r="B537" s="295" t="s">
        <v>2331</v>
      </c>
      <c r="C537" s="294" t="s">
        <v>300</v>
      </c>
      <c r="D537" s="296" t="n">
        <v>2640000</v>
      </c>
      <c r="E537" s="296" t="n">
        <v>4840000</v>
      </c>
      <c r="F537" s="296" t="n">
        <v>7700000</v>
      </c>
      <c r="G537" s="285" t="s">
        <v>2332</v>
      </c>
      <c r="H537" s="293" t="n">
        <f aca="false">IF($A537="","",CHOOSE(MATCH($I$1,{"Low","Mid","High"},0),D537,E537,F537))</f>
        <v>2640000</v>
      </c>
    </row>
    <row r="538" customFormat="false" ht="15" hidden="false" customHeight="true" outlineLevel="0" collapsed="false">
      <c r="A538" s="290" t="s">
        <v>863</v>
      </c>
      <c r="B538" s="291" t="s">
        <v>2333</v>
      </c>
      <c r="C538" s="290" t="s">
        <v>300</v>
      </c>
      <c r="D538" s="292" t="n">
        <v>1320000</v>
      </c>
      <c r="E538" s="292" t="n">
        <v>2420000</v>
      </c>
      <c r="F538" s="292" t="n">
        <v>3850000</v>
      </c>
      <c r="G538" s="280" t="s">
        <v>2332</v>
      </c>
      <c r="H538" s="293" t="n">
        <f aca="false">IF($A538="","",CHOOSE(MATCH($I$1,{"Low","Mid","High"},0),D538,E538,F538))</f>
        <v>1320000</v>
      </c>
    </row>
    <row r="539" customFormat="false" ht="15" hidden="false" customHeight="true" outlineLevel="0" collapsed="false">
      <c r="A539" s="294" t="s">
        <v>865</v>
      </c>
      <c r="B539" s="295" t="s">
        <v>2334</v>
      </c>
      <c r="C539" s="294" t="s">
        <v>300</v>
      </c>
      <c r="D539" s="296" t="n">
        <v>792000</v>
      </c>
      <c r="E539" s="296" t="n">
        <v>1452000</v>
      </c>
      <c r="F539" s="296" t="n">
        <v>2310000</v>
      </c>
      <c r="G539" s="285" t="s">
        <v>2332</v>
      </c>
      <c r="H539" s="293" t="n">
        <f aca="false">IF($A539="","",CHOOSE(MATCH($I$1,{"Low","Mid","High"},0),D539,E539,F539))</f>
        <v>792000</v>
      </c>
    </row>
    <row r="540" customFormat="false" ht="15" hidden="false" customHeight="true" outlineLevel="0" collapsed="false">
      <c r="A540" s="290" t="s">
        <v>867</v>
      </c>
      <c r="B540" s="291" t="s">
        <v>2335</v>
      </c>
      <c r="C540" s="290" t="s">
        <v>300</v>
      </c>
      <c r="D540" s="292" t="n">
        <v>528000</v>
      </c>
      <c r="E540" s="292" t="n">
        <v>968000</v>
      </c>
      <c r="F540" s="292" t="n">
        <v>1540000</v>
      </c>
      <c r="G540" s="280" t="s">
        <v>2332</v>
      </c>
      <c r="H540" s="293" t="n">
        <f aca="false">IF($A540="","",CHOOSE(MATCH($I$1,{"Low","Mid","High"},0),D540,E540,F540))</f>
        <v>528000</v>
      </c>
    </row>
    <row r="541" customFormat="false" ht="15" hidden="false" customHeight="true" outlineLevel="0" collapsed="false">
      <c r="A541" s="294" t="s">
        <v>1011</v>
      </c>
      <c r="B541" s="295" t="s">
        <v>2336</v>
      </c>
      <c r="C541" s="294" t="s">
        <v>300</v>
      </c>
      <c r="D541" s="296" t="n">
        <v>3180600</v>
      </c>
      <c r="E541" s="296" t="n">
        <v>5566050</v>
      </c>
      <c r="F541" s="296" t="n">
        <v>8746650</v>
      </c>
      <c r="G541" s="285" t="s">
        <v>2337</v>
      </c>
      <c r="H541" s="293" t="n">
        <f aca="false">IF($A541="","",CHOOSE(MATCH($I$1,{"Low","Mid","High"},0),D541,E541,F541))</f>
        <v>3180600</v>
      </c>
    </row>
    <row r="542" customFormat="false" ht="15" hidden="false" customHeight="true" outlineLevel="0" collapsed="false">
      <c r="A542" s="290" t="s">
        <v>1013</v>
      </c>
      <c r="B542" s="291" t="s">
        <v>2338</v>
      </c>
      <c r="C542" s="290" t="s">
        <v>300</v>
      </c>
      <c r="D542" s="292" t="n">
        <v>923400</v>
      </c>
      <c r="E542" s="292" t="n">
        <v>1615950</v>
      </c>
      <c r="F542" s="292" t="n">
        <v>2539350</v>
      </c>
      <c r="G542" s="280" t="s">
        <v>2337</v>
      </c>
      <c r="H542" s="293" t="n">
        <f aca="false">IF($A542="","",CHOOSE(MATCH($I$1,{"Low","Mid","High"},0),D542,E542,F542))</f>
        <v>923400</v>
      </c>
    </row>
    <row r="543" customFormat="false" ht="15" hidden="false" customHeight="true" outlineLevel="0" collapsed="false">
      <c r="A543" s="294" t="s">
        <v>1015</v>
      </c>
      <c r="B543" s="295" t="s">
        <v>2339</v>
      </c>
      <c r="C543" s="294" t="s">
        <v>300</v>
      </c>
      <c r="D543" s="296" t="n">
        <v>615600</v>
      </c>
      <c r="E543" s="296" t="n">
        <v>1077300</v>
      </c>
      <c r="F543" s="296" t="n">
        <v>1692900</v>
      </c>
      <c r="G543" s="285" t="s">
        <v>2337</v>
      </c>
      <c r="H543" s="293" t="n">
        <f aca="false">IF($A543="","",CHOOSE(MATCH($I$1,{"Low","Mid","High"},0),D543,E543,F543))</f>
        <v>615600</v>
      </c>
    </row>
    <row r="544" customFormat="false" ht="15" hidden="false" customHeight="true" outlineLevel="0" collapsed="false">
      <c r="A544" s="290" t="s">
        <v>1017</v>
      </c>
      <c r="B544" s="291" t="s">
        <v>2340</v>
      </c>
      <c r="C544" s="290" t="s">
        <v>300</v>
      </c>
      <c r="D544" s="292" t="n">
        <v>410400</v>
      </c>
      <c r="E544" s="292" t="n">
        <v>718200</v>
      </c>
      <c r="F544" s="292" t="n">
        <v>1128600</v>
      </c>
      <c r="G544" s="280" t="s">
        <v>2337</v>
      </c>
      <c r="H544" s="293" t="n">
        <f aca="false">IF($A544="","",CHOOSE(MATCH($I$1,{"Low","Mid","High"},0),D544,E544,F544))</f>
        <v>410400</v>
      </c>
    </row>
    <row r="545" customFormat="false" ht="15" hidden="false" customHeight="true" outlineLevel="0" collapsed="false">
      <c r="A545" s="294" t="s">
        <v>1333</v>
      </c>
      <c r="B545" s="295" t="s">
        <v>2341</v>
      </c>
      <c r="C545" s="294" t="s">
        <v>300</v>
      </c>
      <c r="D545" s="296" t="n">
        <v>3051562.5</v>
      </c>
      <c r="E545" s="296" t="n">
        <v>4359375</v>
      </c>
      <c r="F545" s="296" t="n">
        <v>6103125</v>
      </c>
      <c r="G545" s="285" t="s">
        <v>2342</v>
      </c>
      <c r="H545" s="293" t="n">
        <f aca="false">IF($A545="","",CHOOSE(MATCH($I$1,{"Low","Mid","High"},0),D545,E545,F545))</f>
        <v>3051562.5</v>
      </c>
    </row>
    <row r="546" customFormat="false" ht="15" hidden="false" customHeight="true" outlineLevel="0" collapsed="false">
      <c r="A546" s="290" t="s">
        <v>1335</v>
      </c>
      <c r="B546" s="291" t="s">
        <v>2343</v>
      </c>
      <c r="C546" s="290" t="s">
        <v>300</v>
      </c>
      <c r="D546" s="292" t="n">
        <v>1230468.75</v>
      </c>
      <c r="E546" s="292" t="n">
        <v>1757812.5</v>
      </c>
      <c r="F546" s="292" t="n">
        <v>2460937.5</v>
      </c>
      <c r="G546" s="280" t="s">
        <v>2342</v>
      </c>
      <c r="H546" s="293" t="n">
        <f aca="false">IF($A546="","",CHOOSE(MATCH($I$1,{"Low","Mid","High"},0),D546,E546,F546))</f>
        <v>1230468.75</v>
      </c>
    </row>
    <row r="547" customFormat="false" ht="15" hidden="false" customHeight="true" outlineLevel="0" collapsed="false">
      <c r="A547" s="294" t="s">
        <v>1337</v>
      </c>
      <c r="B547" s="295" t="s">
        <v>2344</v>
      </c>
      <c r="C547" s="294" t="s">
        <v>300</v>
      </c>
      <c r="D547" s="296" t="n">
        <v>639843.75</v>
      </c>
      <c r="E547" s="296" t="n">
        <v>914062.5</v>
      </c>
      <c r="F547" s="296" t="n">
        <v>1279687.5</v>
      </c>
      <c r="G547" s="285" t="s">
        <v>2342</v>
      </c>
      <c r="H547" s="293" t="n">
        <f aca="false">IF($A547="","",CHOOSE(MATCH($I$1,{"Low","Mid","High"},0),D547,E547,F547))</f>
        <v>639843.75</v>
      </c>
    </row>
    <row r="548" customFormat="false" ht="15" hidden="false" customHeight="true" outlineLevel="0" collapsed="false">
      <c r="A548" s="290" t="s">
        <v>1213</v>
      </c>
      <c r="B548" s="291" t="s">
        <v>2345</v>
      </c>
      <c r="C548" s="290" t="s">
        <v>300</v>
      </c>
      <c r="D548" s="292" t="n">
        <v>2464000</v>
      </c>
      <c r="E548" s="292" t="n">
        <v>3520000</v>
      </c>
      <c r="F548" s="292" t="n">
        <v>4928000</v>
      </c>
      <c r="G548" s="280" t="s">
        <v>2346</v>
      </c>
      <c r="H548" s="293" t="n">
        <f aca="false">IF($A548="","",CHOOSE(MATCH($I$1,{"Low","Mid","High"},0),D548,E548,F548))</f>
        <v>2464000</v>
      </c>
    </row>
    <row r="549" customFormat="false" ht="15" hidden="false" customHeight="true" outlineLevel="0" collapsed="false">
      <c r="A549" s="294" t="s">
        <v>1215</v>
      </c>
      <c r="B549" s="295" t="s">
        <v>2347</v>
      </c>
      <c r="C549" s="294" t="s">
        <v>300</v>
      </c>
      <c r="D549" s="296" t="n">
        <v>1344000</v>
      </c>
      <c r="E549" s="296" t="n">
        <v>1920000</v>
      </c>
      <c r="F549" s="296" t="n">
        <v>2688000</v>
      </c>
      <c r="G549" s="285" t="s">
        <v>2346</v>
      </c>
      <c r="H549" s="293" t="n">
        <f aca="false">IF($A549="","",CHOOSE(MATCH($I$1,{"Low","Mid","High"},0),D549,E549,F549))</f>
        <v>1344000</v>
      </c>
    </row>
    <row r="550" customFormat="false" ht="15" hidden="false" customHeight="true" outlineLevel="0" collapsed="false">
      <c r="A550" s="290" t="s">
        <v>1217</v>
      </c>
      <c r="B550" s="291" t="s">
        <v>2348</v>
      </c>
      <c r="C550" s="290" t="s">
        <v>300</v>
      </c>
      <c r="D550" s="292" t="n">
        <v>672000</v>
      </c>
      <c r="E550" s="292" t="n">
        <v>960000</v>
      </c>
      <c r="F550" s="292" t="n">
        <v>1344000</v>
      </c>
      <c r="G550" s="280" t="s">
        <v>2346</v>
      </c>
      <c r="H550" s="293" t="n">
        <f aca="false">IF($A550="","",CHOOSE(MATCH($I$1,{"Low","Mid","High"},0),D550,E550,F550))</f>
        <v>672000</v>
      </c>
    </row>
    <row r="551" customFormat="false" ht="15" hidden="false" customHeight="true" outlineLevel="0" collapsed="false">
      <c r="A551" s="294" t="s">
        <v>1546</v>
      </c>
      <c r="B551" s="295" t="s">
        <v>2349</v>
      </c>
      <c r="C551" s="294" t="s">
        <v>300</v>
      </c>
      <c r="D551" s="296" t="n">
        <v>2541000</v>
      </c>
      <c r="E551" s="296" t="n">
        <v>3630000</v>
      </c>
      <c r="F551" s="296" t="n">
        <v>5082000</v>
      </c>
      <c r="G551" s="285" t="s">
        <v>2350</v>
      </c>
      <c r="H551" s="293" t="n">
        <f aca="false">IF($A551="","",CHOOSE(MATCH($I$1,{"Low","Mid","High"},0),D551,E551,F551))</f>
        <v>2541000</v>
      </c>
    </row>
    <row r="552" customFormat="false" ht="15" hidden="false" customHeight="true" outlineLevel="0" collapsed="false">
      <c r="A552" s="290" t="s">
        <v>1548</v>
      </c>
      <c r="B552" s="291" t="s">
        <v>2351</v>
      </c>
      <c r="C552" s="290" t="s">
        <v>300</v>
      </c>
      <c r="D552" s="292" t="n">
        <v>1386000</v>
      </c>
      <c r="E552" s="292" t="n">
        <v>1980000</v>
      </c>
      <c r="F552" s="292" t="n">
        <v>2772000</v>
      </c>
      <c r="G552" s="280" t="s">
        <v>2350</v>
      </c>
      <c r="H552" s="293" t="n">
        <f aca="false">IF($A552="","",CHOOSE(MATCH($I$1,{"Low","Mid","High"},0),D552,E552,F552))</f>
        <v>1386000</v>
      </c>
    </row>
    <row r="553" customFormat="false" ht="15" hidden="false" customHeight="true" outlineLevel="0" collapsed="false">
      <c r="A553" s="294" t="s">
        <v>1550</v>
      </c>
      <c r="B553" s="295" t="s">
        <v>2352</v>
      </c>
      <c r="C553" s="294" t="s">
        <v>300</v>
      </c>
      <c r="D553" s="296" t="n">
        <v>693000</v>
      </c>
      <c r="E553" s="296" t="n">
        <v>990000</v>
      </c>
      <c r="F553" s="296" t="n">
        <v>1386000</v>
      </c>
      <c r="G553" s="285" t="s">
        <v>2350</v>
      </c>
      <c r="H553" s="293" t="n">
        <f aca="false">IF($A553="","",CHOOSE(MATCH($I$1,{"Low","Mid","High"},0),D553,E553,F553))</f>
        <v>693000</v>
      </c>
    </row>
    <row r="554" customFormat="false" ht="15" hidden="false" customHeight="true" outlineLevel="0" collapsed="false">
      <c r="A554" s="290" t="s">
        <v>1459</v>
      </c>
      <c r="B554" s="291" t="s">
        <v>2353</v>
      </c>
      <c r="C554" s="290" t="s">
        <v>300</v>
      </c>
      <c r="D554" s="292" t="n">
        <v>3088296.2518318</v>
      </c>
      <c r="E554" s="292" t="n">
        <v>4541612.13501737</v>
      </c>
      <c r="F554" s="292" t="n">
        <v>6721585.95984569</v>
      </c>
      <c r="G554" s="280" t="s">
        <v>2354</v>
      </c>
      <c r="H554" s="293" t="n">
        <f aca="false">IF($A554="","",CHOOSE(MATCH($I$1,{"Low","Mid","High"},0),D554,E554,F554))</f>
        <v>3088296.2518318</v>
      </c>
    </row>
    <row r="555" customFormat="false" ht="15" hidden="false" customHeight="true" outlineLevel="0" collapsed="false">
      <c r="A555" s="294" t="s">
        <v>1461</v>
      </c>
      <c r="B555" s="295" t="s">
        <v>2355</v>
      </c>
      <c r="C555" s="294" t="s">
        <v>300</v>
      </c>
      <c r="D555" s="296" t="n">
        <v>1286790.10493824</v>
      </c>
      <c r="E555" s="296" t="n">
        <v>1892338.38957391</v>
      </c>
      <c r="F555" s="296" t="n">
        <v>2800660.81657738</v>
      </c>
      <c r="G555" s="285" t="s">
        <v>2354</v>
      </c>
      <c r="H555" s="293" t="n">
        <f aca="false">IF($A555="","",CHOOSE(MATCH($I$1,{"Low","Mid","High"},0),D555,E555,F555))</f>
        <v>1286790.10493824</v>
      </c>
    </row>
    <row r="556" customFormat="false" ht="15" hidden="false" customHeight="true" outlineLevel="0" collapsed="false">
      <c r="A556" s="290" t="s">
        <v>1463</v>
      </c>
      <c r="B556" s="291" t="s">
        <v>2356</v>
      </c>
      <c r="C556" s="290" t="s">
        <v>300</v>
      </c>
      <c r="D556" s="292" t="n">
        <v>772074.062982935</v>
      </c>
      <c r="E556" s="292" t="n">
        <v>1135403.03370437</v>
      </c>
      <c r="F556" s="292" t="n">
        <v>1680396.48998641</v>
      </c>
      <c r="G556" s="280" t="s">
        <v>2354</v>
      </c>
      <c r="H556" s="293" t="n">
        <f aca="false">IF($A556="","",CHOOSE(MATCH($I$1,{"Low","Mid","High"},0),D556,E556,F556))</f>
        <v>772074.062982935</v>
      </c>
    </row>
    <row r="557" customFormat="false" ht="15" hidden="false" customHeight="true" outlineLevel="0" collapsed="false">
      <c r="A557" s="294" t="s">
        <v>1528</v>
      </c>
      <c r="B557" s="295" t="s">
        <v>2357</v>
      </c>
      <c r="C557" s="294" t="s">
        <v>300</v>
      </c>
      <c r="D557" s="296" t="n">
        <v>1865088.71674982</v>
      </c>
      <c r="E557" s="296" t="n">
        <v>2664412.45255685</v>
      </c>
      <c r="F557" s="296" t="n">
        <v>3730177.43359957</v>
      </c>
      <c r="G557" s="285" t="s">
        <v>2358</v>
      </c>
      <c r="H557" s="293" t="n">
        <f aca="false">IF($A557="","",CHOOSE(MATCH($I$1,{"Low","Mid","High"},0),D557,E557,F557))</f>
        <v>1865088.71674982</v>
      </c>
    </row>
    <row r="558" customFormat="false" ht="15" hidden="false" customHeight="true" outlineLevel="0" collapsed="false">
      <c r="A558" s="290" t="s">
        <v>1530</v>
      </c>
      <c r="B558" s="291" t="s">
        <v>2359</v>
      </c>
      <c r="C558" s="290" t="s">
        <v>300</v>
      </c>
      <c r="D558" s="292" t="n">
        <v>1631952.6271436</v>
      </c>
      <c r="E558" s="292" t="n">
        <v>2331360.89596226</v>
      </c>
      <c r="F558" s="292" t="n">
        <v>3263905.25438713</v>
      </c>
      <c r="G558" s="280" t="s">
        <v>2358</v>
      </c>
      <c r="H558" s="293" t="n">
        <f aca="false">IF($A558="","",CHOOSE(MATCH($I$1,{"Low","Mid","High"},0),D558,E558,F558))</f>
        <v>1631952.6271436</v>
      </c>
    </row>
    <row r="559" customFormat="false" ht="15" hidden="false" customHeight="true" outlineLevel="0" collapsed="false">
      <c r="A559" s="294" t="s">
        <v>1532</v>
      </c>
      <c r="B559" s="295" t="s">
        <v>2360</v>
      </c>
      <c r="C559" s="294" t="s">
        <v>300</v>
      </c>
      <c r="D559" s="296" t="n">
        <v>1165680.4480311</v>
      </c>
      <c r="E559" s="296" t="n">
        <v>1665257.78287301</v>
      </c>
      <c r="F559" s="296" t="n">
        <v>2331360.89596226</v>
      </c>
      <c r="G559" s="285" t="s">
        <v>2358</v>
      </c>
      <c r="H559" s="293" t="n">
        <f aca="false">IF($A559="","",CHOOSE(MATCH($I$1,{"Low","Mid","High"},0),D559,E559,F559))</f>
        <v>1165680.4480311</v>
      </c>
    </row>
    <row r="560" customFormat="false" ht="15" hidden="false" customHeight="true" outlineLevel="0" collapsed="false">
      <c r="A560" s="290" t="s">
        <v>1147</v>
      </c>
      <c r="B560" s="291" t="s">
        <v>2361</v>
      </c>
      <c r="C560" s="290" t="s">
        <v>300</v>
      </c>
      <c r="D560" s="292" t="n">
        <v>2615968.58981398</v>
      </c>
      <c r="E560" s="292" t="n">
        <v>3778621.29634244</v>
      </c>
      <c r="F560" s="292" t="n">
        <v>5522600.35618511</v>
      </c>
      <c r="G560" s="280" t="s">
        <v>2362</v>
      </c>
      <c r="H560" s="293" t="n">
        <f aca="false">IF($A560="","",CHOOSE(MATCH($I$1,{"Low","Mid","High"},0),D560,E560,F560))</f>
        <v>2615968.58981398</v>
      </c>
    </row>
    <row r="561" customFormat="false" ht="15" hidden="false" customHeight="true" outlineLevel="0" collapsed="false">
      <c r="A561" s="294" t="s">
        <v>1149</v>
      </c>
      <c r="B561" s="295" t="s">
        <v>2363</v>
      </c>
      <c r="C561" s="294" t="s">
        <v>300</v>
      </c>
      <c r="D561" s="296" t="n">
        <v>1089986.91236419</v>
      </c>
      <c r="E561" s="296" t="n">
        <v>1574425.54009271</v>
      </c>
      <c r="F561" s="296" t="n">
        <v>2301083.48173547</v>
      </c>
      <c r="G561" s="285" t="s">
        <v>2362</v>
      </c>
      <c r="H561" s="293" t="n">
        <f aca="false">IF($A561="","",CHOOSE(MATCH($I$1,{"Low","Mid","High"},0),D561,E561,F561))</f>
        <v>1089986.91236419</v>
      </c>
    </row>
    <row r="562" customFormat="false" ht="15" hidden="false" customHeight="true" outlineLevel="0" collapsed="false">
      <c r="A562" s="290" t="s">
        <v>1151</v>
      </c>
      <c r="B562" s="291" t="s">
        <v>2364</v>
      </c>
      <c r="C562" s="290" t="s">
        <v>300</v>
      </c>
      <c r="D562" s="292" t="n">
        <v>653992.14747848</v>
      </c>
      <c r="E562" s="292" t="n">
        <v>944655.32403564</v>
      </c>
      <c r="F562" s="292" t="n">
        <v>1380650.08902129</v>
      </c>
      <c r="G562" s="280" t="s">
        <v>2362</v>
      </c>
      <c r="H562" s="293" t="n">
        <f aca="false">IF($A562="","",CHOOSE(MATCH($I$1,{"Low","Mid","High"},0),D562,E562,F562))</f>
        <v>653992.14747848</v>
      </c>
    </row>
    <row r="563" customFormat="false" ht="15" hidden="false" customHeight="true" outlineLevel="0" collapsed="false">
      <c r="A563" s="294" t="s">
        <v>410</v>
      </c>
      <c r="B563" s="295" t="s">
        <v>2365</v>
      </c>
      <c r="C563" s="294" t="s">
        <v>300</v>
      </c>
      <c r="D563" s="296" t="n">
        <v>3330515.56564609</v>
      </c>
      <c r="E563" s="296" t="n">
        <v>5328824.90511369</v>
      </c>
      <c r="F563" s="296" t="n">
        <v>7993237.3575706</v>
      </c>
      <c r="G563" s="285" t="s">
        <v>2366</v>
      </c>
      <c r="H563" s="293" t="n">
        <f aca="false">IF($A563="","",CHOOSE(MATCH($I$1,{"Low","Mid","High"},0),D563,E563,F563))</f>
        <v>3330515.56564609</v>
      </c>
    </row>
    <row r="564" customFormat="false" ht="15" hidden="false" customHeight="true" outlineLevel="0" collapsed="false">
      <c r="A564" s="290" t="s">
        <v>412</v>
      </c>
      <c r="B564" s="291" t="s">
        <v>2367</v>
      </c>
      <c r="C564" s="290" t="s">
        <v>300</v>
      </c>
      <c r="D564" s="292" t="n">
        <v>1211096.56937128</v>
      </c>
      <c r="E564" s="292" t="n">
        <v>1937754.51091409</v>
      </c>
      <c r="F564" s="292" t="n">
        <v>2906631.76637114</v>
      </c>
      <c r="G564" s="280" t="s">
        <v>2366</v>
      </c>
      <c r="H564" s="293" t="n">
        <f aca="false">IF($A564="","",CHOOSE(MATCH($I$1,{"Low","Mid","High"},0),D564,E564,F564))</f>
        <v>1211096.56937128</v>
      </c>
    </row>
    <row r="565" customFormat="false" ht="15" hidden="false" customHeight="true" outlineLevel="0" collapsed="false">
      <c r="A565" s="294" t="s">
        <v>414</v>
      </c>
      <c r="B565" s="295" t="s">
        <v>2368</v>
      </c>
      <c r="C565" s="294" t="s">
        <v>300</v>
      </c>
      <c r="D565" s="296" t="n">
        <v>908322.427003473</v>
      </c>
      <c r="E565" s="296" t="n">
        <v>1453315.88318557</v>
      </c>
      <c r="F565" s="296" t="n">
        <v>2179973.82482832</v>
      </c>
      <c r="G565" s="285" t="s">
        <v>2366</v>
      </c>
      <c r="H565" s="293" t="n">
        <f aca="false">IF($A565="","",CHOOSE(MATCH($I$1,{"Low","Mid","High"},0),D565,E565,F565))</f>
        <v>908322.427003473</v>
      </c>
    </row>
    <row r="566" customFormat="false" ht="15" hidden="false" customHeight="true" outlineLevel="0" collapsed="false">
      <c r="A566" s="290" t="s">
        <v>416</v>
      </c>
      <c r="B566" s="291" t="s">
        <v>2369</v>
      </c>
      <c r="C566" s="290" t="s">
        <v>300</v>
      </c>
      <c r="D566" s="292" t="n">
        <v>605548.284635668</v>
      </c>
      <c r="E566" s="292" t="n">
        <v>968877.255457046</v>
      </c>
      <c r="F566" s="292" t="n">
        <v>1453315.88318557</v>
      </c>
      <c r="G566" s="280" t="s">
        <v>2366</v>
      </c>
      <c r="H566" s="293" t="n">
        <f aca="false">IF($A566="","",CHOOSE(MATCH($I$1,{"Low","Mid","High"},0),D566,E566,F566))</f>
        <v>605548.284635668</v>
      </c>
    </row>
    <row r="567" customFormat="false" ht="15" hidden="false" customHeight="true" outlineLevel="0" collapsed="false">
      <c r="A567" s="294" t="s">
        <v>1558</v>
      </c>
      <c r="B567" s="295" t="s">
        <v>2370</v>
      </c>
      <c r="C567" s="294" t="s">
        <v>300</v>
      </c>
      <c r="D567" s="296" t="n">
        <v>2220343.71046404</v>
      </c>
      <c r="E567" s="296" t="n">
        <v>3996618.67883527</v>
      </c>
      <c r="F567" s="296" t="n">
        <v>6661031.13139212</v>
      </c>
      <c r="G567" s="285" t="s">
        <v>2371</v>
      </c>
      <c r="H567" s="293" t="n">
        <f aca="false">IF($A567="","",CHOOSE(MATCH($I$1,{"Low","Mid","High"},0),D567,E567,F567))</f>
        <v>2220343.71046404</v>
      </c>
    </row>
    <row r="568" customFormat="false" ht="15" hidden="false" customHeight="true" outlineLevel="0" collapsed="false">
      <c r="A568" s="290" t="s">
        <v>1560</v>
      </c>
      <c r="B568" s="291" t="s">
        <v>2372</v>
      </c>
      <c r="C568" s="290" t="s">
        <v>300</v>
      </c>
      <c r="D568" s="292" t="n">
        <v>1332206.22627842</v>
      </c>
      <c r="E568" s="292" t="n">
        <v>2397971.20732115</v>
      </c>
      <c r="F568" s="292" t="n">
        <v>3996618.67883527</v>
      </c>
      <c r="G568" s="280" t="s">
        <v>2371</v>
      </c>
      <c r="H568" s="293" t="n">
        <f aca="false">IF($A568="","",CHOOSE(MATCH($I$1,{"Low","Mid","High"},0),D568,E568,F568))</f>
        <v>1332206.22627842</v>
      </c>
    </row>
    <row r="569" customFormat="false" ht="15" hidden="false" customHeight="true" outlineLevel="0" collapsed="false">
      <c r="A569" s="294" t="s">
        <v>1562</v>
      </c>
      <c r="B569" s="295" t="s">
        <v>2373</v>
      </c>
      <c r="C569" s="294" t="s">
        <v>300</v>
      </c>
      <c r="D569" s="296" t="n">
        <v>888137.484185615</v>
      </c>
      <c r="E569" s="296" t="n">
        <v>1598647.47151412</v>
      </c>
      <c r="F569" s="296" t="n">
        <v>2664412.45255685</v>
      </c>
      <c r="G569" s="285" t="s">
        <v>2371</v>
      </c>
      <c r="H569" s="293" t="n">
        <f aca="false">IF($A569="","",CHOOSE(MATCH($I$1,{"Low","Mid","High"},0),D569,E569,F569))</f>
        <v>888137.484185615</v>
      </c>
    </row>
    <row r="570" customFormat="false" ht="15" hidden="false" customHeight="true" outlineLevel="0" collapsed="false">
      <c r="A570" s="290" t="s">
        <v>1049</v>
      </c>
      <c r="B570" s="291" t="s">
        <v>2374</v>
      </c>
      <c r="C570" s="290" t="s">
        <v>300</v>
      </c>
      <c r="D570" s="292" t="n">
        <v>2664412.45255685</v>
      </c>
      <c r="E570" s="292" t="n">
        <v>4995773.3485191</v>
      </c>
      <c r="F570" s="292" t="n">
        <v>8326288.91416519</v>
      </c>
      <c r="G570" s="280" t="s">
        <v>2375</v>
      </c>
      <c r="H570" s="293" t="n">
        <f aca="false">IF($A570="","",CHOOSE(MATCH($I$1,{"Low","Mid","High"},0),D570,E570,F570))</f>
        <v>2664412.45255685</v>
      </c>
    </row>
    <row r="571" customFormat="false" ht="15" hidden="false" customHeight="true" outlineLevel="0" collapsed="false">
      <c r="A571" s="294" t="s">
        <v>1051</v>
      </c>
      <c r="B571" s="295" t="s">
        <v>2376</v>
      </c>
      <c r="C571" s="294" t="s">
        <v>300</v>
      </c>
      <c r="D571" s="296" t="n">
        <v>1110171.85518205</v>
      </c>
      <c r="E571" s="296" t="n">
        <v>2081572.22859127</v>
      </c>
      <c r="F571" s="296" t="n">
        <v>3469287.0476188</v>
      </c>
      <c r="G571" s="285" t="s">
        <v>2375</v>
      </c>
      <c r="H571" s="293" t="n">
        <f aca="false">IF($A571="","",CHOOSE(MATCH($I$1,{"Low","Mid","High"},0),D571,E571,F571))</f>
        <v>1110171.85518205</v>
      </c>
    </row>
    <row r="572" customFormat="false" ht="15" hidden="false" customHeight="true" outlineLevel="0" collapsed="false">
      <c r="A572" s="290" t="s">
        <v>1053</v>
      </c>
      <c r="B572" s="291" t="s">
        <v>2377</v>
      </c>
      <c r="C572" s="290" t="s">
        <v>300</v>
      </c>
      <c r="D572" s="292" t="n">
        <v>666103.113089241</v>
      </c>
      <c r="E572" s="292" t="n">
        <v>1248943.33715476</v>
      </c>
      <c r="F572" s="292" t="n">
        <v>2081572.22859127</v>
      </c>
      <c r="G572" s="280" t="s">
        <v>2375</v>
      </c>
      <c r="H572" s="293" t="n">
        <f aca="false">IF($A572="","",CHOOSE(MATCH($I$1,{"Low","Mid","High"},0),D572,E572,F572))</f>
        <v>666103.113089241</v>
      </c>
    </row>
    <row r="573" customFormat="false" ht="15" hidden="false" customHeight="true" outlineLevel="0" collapsed="false">
      <c r="A573" s="294" t="s">
        <v>514</v>
      </c>
      <c r="B573" s="295" t="s">
        <v>2378</v>
      </c>
      <c r="C573" s="294" t="s">
        <v>300</v>
      </c>
      <c r="D573" s="296" t="n">
        <v>1525981.67734984</v>
      </c>
      <c r="E573" s="296" t="n">
        <v>2373749.27589974</v>
      </c>
      <c r="F573" s="296" t="n">
        <v>3391070.39409966</v>
      </c>
      <c r="G573" s="285" t="s">
        <v>2379</v>
      </c>
      <c r="H573" s="293" t="n">
        <f aca="false">IF($A573="","",CHOOSE(MATCH($I$1,{"Low","Mid","High"},0),D573,E573,F573))</f>
        <v>1525981.67734984</v>
      </c>
    </row>
    <row r="574" customFormat="false" ht="15" hidden="false" customHeight="true" outlineLevel="0" collapsed="false">
      <c r="A574" s="290" t="s">
        <v>516</v>
      </c>
      <c r="B574" s="291" t="s">
        <v>2380</v>
      </c>
      <c r="C574" s="290" t="s">
        <v>300</v>
      </c>
      <c r="D574" s="292" t="n">
        <v>326996.073689269</v>
      </c>
      <c r="E574" s="292" t="n">
        <v>508660.559149929</v>
      </c>
      <c r="F574" s="292" t="n">
        <v>726657.941642755</v>
      </c>
      <c r="G574" s="280" t="s">
        <v>2379</v>
      </c>
      <c r="H574" s="293" t="n">
        <f aca="false">IF($A574="","",CHOOSE(MATCH($I$1,{"Low","Mid","High"},0),D574,E574,F574))</f>
        <v>326996.073689269</v>
      </c>
    </row>
    <row r="575" customFormat="false" ht="15" hidden="false" customHeight="true" outlineLevel="0" collapsed="false">
      <c r="A575" s="294" t="s">
        <v>518</v>
      </c>
      <c r="B575" s="295" t="s">
        <v>2381</v>
      </c>
      <c r="C575" s="294" t="s">
        <v>300</v>
      </c>
      <c r="D575" s="296" t="n">
        <v>326996.073689269</v>
      </c>
      <c r="E575" s="296" t="n">
        <v>508660.559149929</v>
      </c>
      <c r="F575" s="296" t="n">
        <v>726657.941642755</v>
      </c>
      <c r="G575" s="285" t="s">
        <v>2379</v>
      </c>
      <c r="H575" s="293" t="n">
        <f aca="false">IF($A575="","",CHOOSE(MATCH($I$1,{"Low","Mid","High"},0),D575,E575,F575))</f>
        <v>326996.073689269</v>
      </c>
    </row>
    <row r="576" customFormat="false" ht="15" hidden="false" customHeight="true" outlineLevel="0" collapsed="false">
      <c r="A576" s="290" t="s">
        <v>662</v>
      </c>
      <c r="B576" s="291" t="s">
        <v>2382</v>
      </c>
      <c r="C576" s="290" t="s">
        <v>300</v>
      </c>
      <c r="D576" s="292" t="n">
        <v>1377622.3476186</v>
      </c>
      <c r="E576" s="292" t="n">
        <v>1968031.92514088</v>
      </c>
      <c r="F576" s="292" t="n">
        <v>2755244.69523721</v>
      </c>
      <c r="G576" s="280" t="s">
        <v>2383</v>
      </c>
      <c r="H576" s="293" t="n">
        <f aca="false">IF($A576="","",CHOOSE(MATCH($I$1,{"Low","Mid","High"},0),D576,E576,F576))</f>
        <v>1377622.3476186</v>
      </c>
    </row>
    <row r="577" customFormat="false" ht="15" hidden="false" customHeight="true" outlineLevel="0" collapsed="false">
      <c r="A577" s="294" t="s">
        <v>664</v>
      </c>
      <c r="B577" s="295" t="s">
        <v>2384</v>
      </c>
      <c r="C577" s="294" t="s">
        <v>300</v>
      </c>
      <c r="D577" s="296" t="n">
        <v>423883.79927495</v>
      </c>
      <c r="E577" s="296" t="n">
        <v>605548.284635668</v>
      </c>
      <c r="F577" s="296" t="n">
        <v>847767.5985499</v>
      </c>
      <c r="G577" s="285" t="s">
        <v>2383</v>
      </c>
      <c r="H577" s="293" t="n">
        <f aca="false">IF($A577="","",CHOOSE(MATCH($I$1,{"Low","Mid","High"},0),D577,E577,F577))</f>
        <v>423883.79927495</v>
      </c>
    </row>
    <row r="578" customFormat="false" ht="15" hidden="false" customHeight="true" outlineLevel="0" collapsed="false">
      <c r="A578" s="290" t="s">
        <v>666</v>
      </c>
      <c r="B578" s="291" t="s">
        <v>2385</v>
      </c>
      <c r="C578" s="290" t="s">
        <v>300</v>
      </c>
      <c r="D578" s="292" t="n">
        <v>317912.849481198</v>
      </c>
      <c r="E578" s="292" t="n">
        <v>454161.213501737</v>
      </c>
      <c r="F578" s="292" t="n">
        <v>635825.698862454</v>
      </c>
      <c r="G578" s="280" t="s">
        <v>2383</v>
      </c>
      <c r="H578" s="293" t="n">
        <f aca="false">IF($A578="","",CHOOSE(MATCH($I$1,{"Low","Mid","High"},0),D578,E578,F578))</f>
        <v>317912.849481198</v>
      </c>
    </row>
    <row r="579" customFormat="false" ht="15" hidden="false" customHeight="true" outlineLevel="0" collapsed="false">
      <c r="A579" s="294" t="s">
        <v>1121</v>
      </c>
      <c r="B579" s="295" t="s">
        <v>2386</v>
      </c>
      <c r="C579" s="294" t="s">
        <v>300</v>
      </c>
      <c r="D579" s="296" t="n">
        <v>2288972.51602477</v>
      </c>
      <c r="E579" s="296" t="n">
        <v>3433458.77403715</v>
      </c>
      <c r="F579" s="296" t="n">
        <v>5086605.59119946</v>
      </c>
      <c r="G579" s="285" t="s">
        <v>2387</v>
      </c>
      <c r="H579" s="293" t="n">
        <f aca="false">IF($A579="","",CHOOSE(MATCH($I$1,{"Low","Mid","High"},0),D579,E579,F579))</f>
        <v>2288972.51602477</v>
      </c>
    </row>
    <row r="580" customFormat="false" ht="15" hidden="false" customHeight="true" outlineLevel="0" collapsed="false">
      <c r="A580" s="290" t="s">
        <v>1123</v>
      </c>
      <c r="B580" s="291" t="s">
        <v>2388</v>
      </c>
      <c r="C580" s="290" t="s">
        <v>300</v>
      </c>
      <c r="D580" s="292" t="n">
        <v>490494.110533903</v>
      </c>
      <c r="E580" s="292" t="n">
        <v>735741.165850826</v>
      </c>
      <c r="F580" s="292" t="n">
        <v>1089986.91236419</v>
      </c>
      <c r="G580" s="280" t="s">
        <v>2387</v>
      </c>
      <c r="H580" s="293" t="n">
        <f aca="false">IF($A580="","",CHOOSE(MATCH($I$1,{"Low","Mid","High"},0),D580,E580,F580))</f>
        <v>490494.110533903</v>
      </c>
    </row>
    <row r="581" customFormat="false" ht="15" hidden="false" customHeight="true" outlineLevel="0" collapsed="false">
      <c r="A581" s="294" t="s">
        <v>1125</v>
      </c>
      <c r="B581" s="295" t="s">
        <v>2389</v>
      </c>
      <c r="C581" s="294" t="s">
        <v>300</v>
      </c>
      <c r="D581" s="296" t="n">
        <v>490494.110533903</v>
      </c>
      <c r="E581" s="296" t="n">
        <v>735741.165850826</v>
      </c>
      <c r="F581" s="296" t="n">
        <v>1089986.91236419</v>
      </c>
      <c r="G581" s="285" t="s">
        <v>2387</v>
      </c>
      <c r="H581" s="293" t="n">
        <f aca="false">IF($A581="","",CHOOSE(MATCH($I$1,{"Low","Mid","High"},0),D581,E581,F581))</f>
        <v>490494.110533903</v>
      </c>
    </row>
    <row r="582" customFormat="false" ht="15" hidden="false" customHeight="true" outlineLevel="0" collapsed="false">
      <c r="A582" s="290" t="s">
        <v>1087</v>
      </c>
      <c r="B582" s="291" t="s">
        <v>2390</v>
      </c>
      <c r="C582" s="290" t="s">
        <v>300</v>
      </c>
      <c r="D582" s="292" t="n">
        <v>1292760</v>
      </c>
      <c r="E582" s="292" t="n">
        <v>1846800</v>
      </c>
      <c r="F582" s="292" t="n">
        <v>2585520</v>
      </c>
      <c r="G582" s="280" t="s">
        <v>2391</v>
      </c>
      <c r="H582" s="293" t="n">
        <f aca="false">IF($A582="","",CHOOSE(MATCH($I$1,{"Low","Mid","High"},0),D582,E582,F582))</f>
        <v>1292760</v>
      </c>
    </row>
    <row r="583" customFormat="false" ht="15" hidden="false" customHeight="true" outlineLevel="0" collapsed="false">
      <c r="A583" s="294" t="s">
        <v>1089</v>
      </c>
      <c r="B583" s="295" t="s">
        <v>2392</v>
      </c>
      <c r="C583" s="294" t="s">
        <v>300</v>
      </c>
      <c r="D583" s="296" t="n">
        <v>969570</v>
      </c>
      <c r="E583" s="296" t="n">
        <v>1385100</v>
      </c>
      <c r="F583" s="296" t="n">
        <v>1939140</v>
      </c>
      <c r="G583" s="285" t="s">
        <v>2391</v>
      </c>
      <c r="H583" s="293" t="n">
        <f aca="false">IF($A583="","",CHOOSE(MATCH($I$1,{"Low","Mid","High"},0),D583,E583,F583))</f>
        <v>969570</v>
      </c>
    </row>
    <row r="584" customFormat="false" ht="15" hidden="false" customHeight="true" outlineLevel="0" collapsed="false">
      <c r="A584" s="290" t="s">
        <v>1091</v>
      </c>
      <c r="B584" s="291" t="s">
        <v>2393</v>
      </c>
      <c r="C584" s="290" t="s">
        <v>300</v>
      </c>
      <c r="D584" s="292" t="n">
        <v>646380</v>
      </c>
      <c r="E584" s="292" t="n">
        <v>923400</v>
      </c>
      <c r="F584" s="292" t="n">
        <v>1292760</v>
      </c>
      <c r="G584" s="280" t="s">
        <v>2391</v>
      </c>
      <c r="H584" s="293" t="n">
        <f aca="false">IF($A584="","",CHOOSE(MATCH($I$1,{"Low","Mid","High"},0),D584,E584,F584))</f>
        <v>646380</v>
      </c>
    </row>
    <row r="585" customFormat="false" ht="15" hidden="false" customHeight="true" outlineLevel="0" collapsed="false">
      <c r="A585" s="294" t="s">
        <v>1093</v>
      </c>
      <c r="B585" s="295" t="s">
        <v>2394</v>
      </c>
      <c r="C585" s="294" t="s">
        <v>300</v>
      </c>
      <c r="D585" s="296" t="n">
        <v>323190</v>
      </c>
      <c r="E585" s="296" t="n">
        <v>461700</v>
      </c>
      <c r="F585" s="296" t="n">
        <v>646380</v>
      </c>
      <c r="G585" s="285" t="s">
        <v>2391</v>
      </c>
      <c r="H585" s="293" t="n">
        <f aca="false">IF($A585="","",CHOOSE(MATCH($I$1,{"Low","Mid","High"},0),D585,E585,F585))</f>
        <v>323190</v>
      </c>
    </row>
    <row r="586" customFormat="false" ht="15" hidden="false" customHeight="true" outlineLevel="0" collapsed="false">
      <c r="A586" s="290" t="s">
        <v>400</v>
      </c>
      <c r="B586" s="291" t="s">
        <v>2395</v>
      </c>
      <c r="C586" s="290" t="s">
        <v>300</v>
      </c>
      <c r="D586" s="292" t="n">
        <v>1848000</v>
      </c>
      <c r="E586" s="292" t="n">
        <v>2640000</v>
      </c>
      <c r="F586" s="292" t="n">
        <v>3696000</v>
      </c>
      <c r="G586" s="280" t="s">
        <v>2396</v>
      </c>
      <c r="H586" s="293" t="n">
        <f aca="false">IF($A586="","",CHOOSE(MATCH($I$1,{"Low","Mid","High"},0),D586,E586,F586))</f>
        <v>1848000</v>
      </c>
    </row>
    <row r="587" customFormat="false" ht="15" hidden="false" customHeight="true" outlineLevel="0" collapsed="false">
      <c r="A587" s="294" t="s">
        <v>402</v>
      </c>
      <c r="B587" s="295" t="s">
        <v>2397</v>
      </c>
      <c r="C587" s="294" t="s">
        <v>300</v>
      </c>
      <c r="D587" s="296" t="n">
        <v>672000</v>
      </c>
      <c r="E587" s="296" t="n">
        <v>960000</v>
      </c>
      <c r="F587" s="296" t="n">
        <v>1344000</v>
      </c>
      <c r="G587" s="285" t="s">
        <v>2396</v>
      </c>
      <c r="H587" s="293" t="n">
        <f aca="false">IF($A587="","",CHOOSE(MATCH($I$1,{"Low","Mid","High"},0),D587,E587,F587))</f>
        <v>672000</v>
      </c>
    </row>
    <row r="588" customFormat="false" ht="15" hidden="false" customHeight="true" outlineLevel="0" collapsed="false">
      <c r="A588" s="290" t="s">
        <v>404</v>
      </c>
      <c r="B588" s="291" t="s">
        <v>2398</v>
      </c>
      <c r="C588" s="290" t="s">
        <v>300</v>
      </c>
      <c r="D588" s="292" t="n">
        <v>504000</v>
      </c>
      <c r="E588" s="292" t="n">
        <v>720000</v>
      </c>
      <c r="F588" s="292" t="n">
        <v>1008000</v>
      </c>
      <c r="G588" s="280" t="s">
        <v>2396</v>
      </c>
      <c r="H588" s="293" t="n">
        <f aca="false">IF($A588="","",CHOOSE(MATCH($I$1,{"Low","Mid","High"},0),D588,E588,F588))</f>
        <v>504000</v>
      </c>
    </row>
    <row r="589" customFormat="false" ht="15" hidden="false" customHeight="true" outlineLevel="0" collapsed="false">
      <c r="A589" s="294" t="s">
        <v>406</v>
      </c>
      <c r="B589" s="295" t="s">
        <v>2399</v>
      </c>
      <c r="C589" s="294" t="s">
        <v>300</v>
      </c>
      <c r="D589" s="296" t="n">
        <v>336000</v>
      </c>
      <c r="E589" s="296" t="n">
        <v>480000</v>
      </c>
      <c r="F589" s="296" t="n">
        <v>672000</v>
      </c>
      <c r="G589" s="285" t="s">
        <v>2396</v>
      </c>
      <c r="H589" s="293" t="n">
        <f aca="false">IF($A589="","",CHOOSE(MATCH($I$1,{"Low","Mid","High"},0),D589,E589,F589))</f>
        <v>336000</v>
      </c>
    </row>
    <row r="590" customFormat="false" ht="15" hidden="false" customHeight="true" outlineLevel="0" collapsed="false">
      <c r="A590" s="290" t="s">
        <v>1233</v>
      </c>
      <c r="B590" s="291" t="s">
        <v>2400</v>
      </c>
      <c r="C590" s="290" t="s">
        <v>300</v>
      </c>
      <c r="D590" s="292" t="n">
        <v>2047500</v>
      </c>
      <c r="E590" s="292" t="n">
        <v>2925000</v>
      </c>
      <c r="F590" s="292" t="n">
        <v>4095000</v>
      </c>
      <c r="G590" s="280" t="s">
        <v>2401</v>
      </c>
      <c r="H590" s="293" t="n">
        <f aca="false">IF($A590="","",CHOOSE(MATCH($I$1,{"Low","Mid","High"},0),D590,E590,F590))</f>
        <v>2047500</v>
      </c>
    </row>
    <row r="591" customFormat="false" ht="15" hidden="false" customHeight="true" outlineLevel="0" collapsed="false">
      <c r="A591" s="294" t="s">
        <v>1235</v>
      </c>
      <c r="B591" s="295" t="s">
        <v>2402</v>
      </c>
      <c r="C591" s="294" t="s">
        <v>300</v>
      </c>
      <c r="D591" s="296" t="n">
        <v>630000</v>
      </c>
      <c r="E591" s="296" t="n">
        <v>900000</v>
      </c>
      <c r="F591" s="296" t="n">
        <v>1260000</v>
      </c>
      <c r="G591" s="285" t="s">
        <v>2401</v>
      </c>
      <c r="H591" s="293" t="n">
        <f aca="false">IF($A591="","",CHOOSE(MATCH($I$1,{"Low","Mid","High"},0),D591,E591,F591))</f>
        <v>630000</v>
      </c>
    </row>
    <row r="592" customFormat="false" ht="15" hidden="false" customHeight="true" outlineLevel="0" collapsed="false">
      <c r="A592" s="290" t="s">
        <v>1237</v>
      </c>
      <c r="B592" s="291" t="s">
        <v>2403</v>
      </c>
      <c r="C592" s="290" t="s">
        <v>300</v>
      </c>
      <c r="D592" s="292" t="n">
        <v>472500</v>
      </c>
      <c r="E592" s="292" t="n">
        <v>675000</v>
      </c>
      <c r="F592" s="292" t="n">
        <v>945000</v>
      </c>
      <c r="G592" s="280" t="s">
        <v>2401</v>
      </c>
      <c r="H592" s="293" t="n">
        <f aca="false">IF($A592="","",CHOOSE(MATCH($I$1,{"Low","Mid","High"},0),D592,E592,F592))</f>
        <v>472500</v>
      </c>
    </row>
    <row r="593" customFormat="false" ht="15" hidden="false" customHeight="true" outlineLevel="0" collapsed="false">
      <c r="A593" s="294" t="s">
        <v>1443</v>
      </c>
      <c r="B593" s="295" t="s">
        <v>2404</v>
      </c>
      <c r="C593" s="294" t="s">
        <v>300</v>
      </c>
      <c r="D593" s="296" t="n">
        <v>1102500</v>
      </c>
      <c r="E593" s="296" t="n">
        <v>1732500</v>
      </c>
      <c r="F593" s="296" t="n">
        <v>2677500</v>
      </c>
      <c r="G593" s="285" t="s">
        <v>2405</v>
      </c>
      <c r="H593" s="293" t="n">
        <f aca="false">IF($A593="","",CHOOSE(MATCH($I$1,{"Low","Mid","High"},0),D593,E593,F593))</f>
        <v>1102500</v>
      </c>
    </row>
    <row r="594" customFormat="false" ht="15" hidden="false" customHeight="true" outlineLevel="0" collapsed="false">
      <c r="A594" s="290" t="s">
        <v>1445</v>
      </c>
      <c r="B594" s="291" t="s">
        <v>2406</v>
      </c>
      <c r="C594" s="290" t="s">
        <v>300</v>
      </c>
      <c r="D594" s="292" t="n">
        <v>945000</v>
      </c>
      <c r="E594" s="292" t="n">
        <v>1485000</v>
      </c>
      <c r="F594" s="292" t="n">
        <v>2295000</v>
      </c>
      <c r="G594" s="280" t="s">
        <v>2405</v>
      </c>
      <c r="H594" s="293" t="n">
        <f aca="false">IF($A594="","",CHOOSE(MATCH($I$1,{"Low","Mid","High"},0),D594,E594,F594))</f>
        <v>945000</v>
      </c>
    </row>
    <row r="595" customFormat="false" ht="15" hidden="false" customHeight="true" outlineLevel="0" collapsed="false">
      <c r="A595" s="294" t="s">
        <v>1447</v>
      </c>
      <c r="B595" s="295" t="s">
        <v>2407</v>
      </c>
      <c r="C595" s="294" t="s">
        <v>300</v>
      </c>
      <c r="D595" s="296" t="n">
        <v>1102500</v>
      </c>
      <c r="E595" s="296" t="n">
        <v>1732500</v>
      </c>
      <c r="F595" s="296" t="n">
        <v>2677500</v>
      </c>
      <c r="G595" s="285" t="s">
        <v>2405</v>
      </c>
      <c r="H595" s="293" t="n">
        <f aca="false">IF($A595="","",CHOOSE(MATCH($I$1,{"Low","Mid","High"},0),D595,E595,F595))</f>
        <v>1102500</v>
      </c>
    </row>
    <row r="596" customFormat="false" ht="15" hidden="false" customHeight="true" outlineLevel="0" collapsed="false">
      <c r="A596" s="290" t="s">
        <v>1183</v>
      </c>
      <c r="B596" s="291" t="s">
        <v>2408</v>
      </c>
      <c r="C596" s="290" t="s">
        <v>300</v>
      </c>
      <c r="D596" s="292" t="n">
        <v>945000</v>
      </c>
      <c r="E596" s="292" t="n">
        <v>1350000</v>
      </c>
      <c r="F596" s="292" t="n">
        <v>1836000</v>
      </c>
      <c r="G596" s="280" t="s">
        <v>2409</v>
      </c>
      <c r="H596" s="293" t="n">
        <f aca="false">IF($A596="","",CHOOSE(MATCH($I$1,{"Low","Mid","High"},0),D596,E596,F596))</f>
        <v>945000</v>
      </c>
    </row>
    <row r="597" customFormat="false" ht="15" hidden="false" customHeight="true" outlineLevel="0" collapsed="false">
      <c r="A597" s="294" t="s">
        <v>1185</v>
      </c>
      <c r="B597" s="295" t="s">
        <v>2410</v>
      </c>
      <c r="C597" s="294" t="s">
        <v>300</v>
      </c>
      <c r="D597" s="296" t="n">
        <v>1417500</v>
      </c>
      <c r="E597" s="296" t="n">
        <v>2025000</v>
      </c>
      <c r="F597" s="296" t="n">
        <v>2754000</v>
      </c>
      <c r="G597" s="285" t="s">
        <v>2409</v>
      </c>
      <c r="H597" s="293" t="n">
        <f aca="false">IF($A597="","",CHOOSE(MATCH($I$1,{"Low","Mid","High"},0),D597,E597,F597))</f>
        <v>1417500</v>
      </c>
    </row>
    <row r="598" customFormat="false" ht="15" hidden="false" customHeight="true" outlineLevel="0" collapsed="false">
      <c r="A598" s="290" t="s">
        <v>1187</v>
      </c>
      <c r="B598" s="291" t="s">
        <v>2411</v>
      </c>
      <c r="C598" s="290" t="s">
        <v>300</v>
      </c>
      <c r="D598" s="292" t="n">
        <v>787500</v>
      </c>
      <c r="E598" s="292" t="n">
        <v>1125000</v>
      </c>
      <c r="F598" s="292" t="n">
        <v>1530000</v>
      </c>
      <c r="G598" s="280" t="s">
        <v>2409</v>
      </c>
      <c r="H598" s="293" t="n">
        <f aca="false">IF($A598="","",CHOOSE(MATCH($I$1,{"Low","Mid","High"},0),D598,E598,F598))</f>
        <v>787500</v>
      </c>
    </row>
    <row r="599" customFormat="false" ht="15" hidden="false" customHeight="true" outlineLevel="0" collapsed="false">
      <c r="A599" s="294" t="s">
        <v>973</v>
      </c>
      <c r="B599" s="295" t="s">
        <v>2412</v>
      </c>
      <c r="C599" s="294" t="s">
        <v>300</v>
      </c>
      <c r="D599" s="296" t="n">
        <v>1575000</v>
      </c>
      <c r="E599" s="296" t="n">
        <v>2700000</v>
      </c>
      <c r="F599" s="296" t="n">
        <v>4275000</v>
      </c>
      <c r="G599" s="285" t="s">
        <v>2413</v>
      </c>
      <c r="H599" s="293" t="n">
        <f aca="false">IF($A599="","",CHOOSE(MATCH($I$1,{"Low","Mid","High"},0),D599,E599,F599))</f>
        <v>1575000</v>
      </c>
    </row>
    <row r="600" customFormat="false" ht="15" hidden="false" customHeight="true" outlineLevel="0" collapsed="false">
      <c r="A600" s="290" t="s">
        <v>975</v>
      </c>
      <c r="B600" s="291" t="s">
        <v>2414</v>
      </c>
      <c r="C600" s="290" t="s">
        <v>300</v>
      </c>
      <c r="D600" s="292" t="n">
        <v>787500</v>
      </c>
      <c r="E600" s="292" t="n">
        <v>1350000</v>
      </c>
      <c r="F600" s="292" t="n">
        <v>2137500</v>
      </c>
      <c r="G600" s="280" t="s">
        <v>2413</v>
      </c>
      <c r="H600" s="293" t="n">
        <f aca="false">IF($A600="","",CHOOSE(MATCH($I$1,{"Low","Mid","High"},0),D600,E600,F600))</f>
        <v>787500</v>
      </c>
    </row>
    <row r="601" customFormat="false" ht="15" hidden="false" customHeight="true" outlineLevel="0" collapsed="false">
      <c r="A601" s="294" t="s">
        <v>977</v>
      </c>
      <c r="B601" s="295" t="s">
        <v>2415</v>
      </c>
      <c r="C601" s="294" t="s">
        <v>300</v>
      </c>
      <c r="D601" s="296" t="n">
        <v>787500</v>
      </c>
      <c r="E601" s="296" t="n">
        <v>1350000</v>
      </c>
      <c r="F601" s="296" t="n">
        <v>2137500</v>
      </c>
      <c r="G601" s="285" t="s">
        <v>2413</v>
      </c>
      <c r="H601" s="293" t="n">
        <f aca="false">IF($A601="","",CHOOSE(MATCH($I$1,{"Low","Mid","High"},0),D601,E601,F601))</f>
        <v>787500</v>
      </c>
    </row>
    <row r="602" customFormat="false" ht="15" hidden="false" customHeight="true" outlineLevel="0" collapsed="false">
      <c r="A602" s="290" t="s">
        <v>879</v>
      </c>
      <c r="B602" s="291" t="s">
        <v>2416</v>
      </c>
      <c r="C602" s="290" t="s">
        <v>300</v>
      </c>
      <c r="D602" s="292" t="n">
        <v>1760000</v>
      </c>
      <c r="E602" s="292" t="n">
        <v>3080000</v>
      </c>
      <c r="F602" s="292" t="n">
        <v>5280000</v>
      </c>
      <c r="G602" s="280" t="s">
        <v>2417</v>
      </c>
      <c r="H602" s="293" t="n">
        <f aca="false">IF($A602="","",CHOOSE(MATCH($I$1,{"Low","Mid","High"},0),D602,E602,F602))</f>
        <v>1760000</v>
      </c>
    </row>
    <row r="603" customFormat="false" ht="15" hidden="false" customHeight="true" outlineLevel="0" collapsed="false">
      <c r="A603" s="294" t="s">
        <v>881</v>
      </c>
      <c r="B603" s="295" t="s">
        <v>2418</v>
      </c>
      <c r="C603" s="294" t="s">
        <v>300</v>
      </c>
      <c r="D603" s="296" t="n">
        <v>800000</v>
      </c>
      <c r="E603" s="296" t="n">
        <v>1400000</v>
      </c>
      <c r="F603" s="296" t="n">
        <v>2400000</v>
      </c>
      <c r="G603" s="285" t="s">
        <v>2417</v>
      </c>
      <c r="H603" s="293" t="n">
        <f aca="false">IF($A603="","",CHOOSE(MATCH($I$1,{"Low","Mid","High"},0),D603,E603,F603))</f>
        <v>800000</v>
      </c>
    </row>
    <row r="604" customFormat="false" ht="15" hidden="false" customHeight="true" outlineLevel="0" collapsed="false">
      <c r="A604" s="290" t="s">
        <v>883</v>
      </c>
      <c r="B604" s="291" t="s">
        <v>2419</v>
      </c>
      <c r="C604" s="290" t="s">
        <v>300</v>
      </c>
      <c r="D604" s="292" t="n">
        <v>640000</v>
      </c>
      <c r="E604" s="292" t="n">
        <v>1120000</v>
      </c>
      <c r="F604" s="292" t="n">
        <v>1920000</v>
      </c>
      <c r="G604" s="280" t="s">
        <v>2417</v>
      </c>
      <c r="H604" s="293" t="n">
        <f aca="false">IF($A604="","",CHOOSE(MATCH($I$1,{"Low","Mid","High"},0),D604,E604,F604))</f>
        <v>640000</v>
      </c>
    </row>
    <row r="605" customFormat="false" ht="15" hidden="false" customHeight="true" outlineLevel="0" collapsed="false">
      <c r="A605" s="294" t="s">
        <v>1795</v>
      </c>
      <c r="B605" s="295" t="s">
        <v>2420</v>
      </c>
      <c r="C605" s="294" t="s">
        <v>300</v>
      </c>
      <c r="D605" s="296" t="n">
        <v>1575000</v>
      </c>
      <c r="E605" s="296" t="n">
        <v>2250000</v>
      </c>
      <c r="F605" s="296" t="n">
        <v>3150000</v>
      </c>
      <c r="G605" s="285" t="s">
        <v>2421</v>
      </c>
      <c r="H605" s="293" t="n">
        <f aca="false">IF($A605="","",CHOOSE(MATCH($I$1,{"Low","Mid","High"},0),D605,E605,F605))</f>
        <v>1575000</v>
      </c>
    </row>
    <row r="606" customFormat="false" ht="15" hidden="false" customHeight="true" outlineLevel="0" collapsed="false">
      <c r="A606" s="290" t="s">
        <v>1797</v>
      </c>
      <c r="B606" s="291" t="s">
        <v>2422</v>
      </c>
      <c r="C606" s="290" t="s">
        <v>300</v>
      </c>
      <c r="D606" s="292" t="n">
        <v>945000</v>
      </c>
      <c r="E606" s="292" t="n">
        <v>1350000</v>
      </c>
      <c r="F606" s="292" t="n">
        <v>1890000</v>
      </c>
      <c r="G606" s="280" t="s">
        <v>2421</v>
      </c>
      <c r="H606" s="293" t="n">
        <f aca="false">IF($A606="","",CHOOSE(MATCH($I$1,{"Low","Mid","High"},0),D606,E606,F606))</f>
        <v>945000</v>
      </c>
    </row>
    <row r="607" customFormat="false" ht="15" hidden="false" customHeight="true" outlineLevel="0" collapsed="false">
      <c r="A607" s="294" t="s">
        <v>1799</v>
      </c>
      <c r="B607" s="295" t="s">
        <v>2423</v>
      </c>
      <c r="C607" s="294" t="s">
        <v>300</v>
      </c>
      <c r="D607" s="296" t="n">
        <v>630000</v>
      </c>
      <c r="E607" s="296" t="n">
        <v>900000</v>
      </c>
      <c r="F607" s="296" t="n">
        <v>1260000</v>
      </c>
      <c r="G607" s="285" t="s">
        <v>2421</v>
      </c>
      <c r="H607" s="293" t="n">
        <f aca="false">IF($A607="","",CHOOSE(MATCH($I$1,{"Low","Mid","High"},0),D607,E607,F607))</f>
        <v>630000</v>
      </c>
    </row>
    <row r="608" customFormat="false" ht="15" hidden="false" customHeight="true" outlineLevel="0" collapsed="false">
      <c r="A608" s="290" t="s">
        <v>1317</v>
      </c>
      <c r="B608" s="291" t="s">
        <v>2424</v>
      </c>
      <c r="C608" s="290" t="s">
        <v>300</v>
      </c>
      <c r="D608" s="292" t="n">
        <v>1624218.75</v>
      </c>
      <c r="E608" s="292" t="n">
        <v>2320312.5</v>
      </c>
      <c r="F608" s="292" t="n">
        <v>3248437.5</v>
      </c>
      <c r="G608" s="280" t="s">
        <v>2425</v>
      </c>
      <c r="H608" s="293" t="n">
        <f aca="false">IF($A608="","",CHOOSE(MATCH($I$1,{"Low","Mid","High"},0),D608,E608,F608))</f>
        <v>1624218.75</v>
      </c>
    </row>
    <row r="609" customFormat="false" ht="15" hidden="false" customHeight="true" outlineLevel="0" collapsed="false">
      <c r="A609" s="294" t="s">
        <v>1319</v>
      </c>
      <c r="B609" s="295" t="s">
        <v>2426</v>
      </c>
      <c r="C609" s="294" t="s">
        <v>300</v>
      </c>
      <c r="D609" s="296" t="n">
        <v>885937.5</v>
      </c>
      <c r="E609" s="296" t="n">
        <v>1265625</v>
      </c>
      <c r="F609" s="296" t="n">
        <v>1771875</v>
      </c>
      <c r="G609" s="285" t="s">
        <v>2425</v>
      </c>
      <c r="H609" s="293" t="n">
        <f aca="false">IF($A609="","",CHOOSE(MATCH($I$1,{"Low","Mid","High"},0),D609,E609,F609))</f>
        <v>885937.5</v>
      </c>
    </row>
    <row r="610" customFormat="false" ht="15" hidden="false" customHeight="true" outlineLevel="0" collapsed="false">
      <c r="A610" s="290" t="s">
        <v>1321</v>
      </c>
      <c r="B610" s="291" t="s">
        <v>2427</v>
      </c>
      <c r="C610" s="290" t="s">
        <v>300</v>
      </c>
      <c r="D610" s="292" t="n">
        <v>442968.75</v>
      </c>
      <c r="E610" s="292" t="n">
        <v>632812.5</v>
      </c>
      <c r="F610" s="292" t="n">
        <v>885937.5</v>
      </c>
      <c r="G610" s="280" t="s">
        <v>2425</v>
      </c>
      <c r="H610" s="293" t="n">
        <f aca="false">IF($A610="","",CHOOSE(MATCH($I$1,{"Low","Mid","High"},0),D610,E610,F610))</f>
        <v>442968.75</v>
      </c>
    </row>
    <row r="611" customFormat="false" ht="15" hidden="false" customHeight="true" outlineLevel="0" collapsed="false">
      <c r="A611" s="294" t="s">
        <v>442</v>
      </c>
      <c r="B611" s="295" t="s">
        <v>2428</v>
      </c>
      <c r="C611" s="294" t="s">
        <v>300</v>
      </c>
      <c r="D611" s="296" t="n">
        <v>1824000</v>
      </c>
      <c r="E611" s="296" t="n">
        <v>2451000</v>
      </c>
      <c r="F611" s="296" t="n">
        <v>3420000</v>
      </c>
      <c r="G611" s="285" t="s">
        <v>2429</v>
      </c>
      <c r="H611" s="293" t="n">
        <f aca="false">IF($A611="","",CHOOSE(MATCH($I$1,{"Low","Mid","High"},0),D611,E611,F611))</f>
        <v>1824000</v>
      </c>
    </row>
    <row r="612" customFormat="false" ht="15" hidden="false" customHeight="true" outlineLevel="0" collapsed="false">
      <c r="A612" s="290" t="s">
        <v>444</v>
      </c>
      <c r="B612" s="291" t="s">
        <v>2430</v>
      </c>
      <c r="C612" s="290" t="s">
        <v>300</v>
      </c>
      <c r="D612" s="292" t="n">
        <v>760000</v>
      </c>
      <c r="E612" s="292" t="n">
        <v>1021250</v>
      </c>
      <c r="F612" s="292" t="n">
        <v>1425000</v>
      </c>
      <c r="G612" s="280" t="s">
        <v>2429</v>
      </c>
      <c r="H612" s="293" t="n">
        <f aca="false">IF($A612="","",CHOOSE(MATCH($I$1,{"Low","Mid","High"},0),D612,E612,F612))</f>
        <v>760000</v>
      </c>
    </row>
    <row r="613" customFormat="false" ht="15" hidden="false" customHeight="true" outlineLevel="0" collapsed="false">
      <c r="A613" s="294" t="s">
        <v>446</v>
      </c>
      <c r="B613" s="295" t="s">
        <v>2431</v>
      </c>
      <c r="C613" s="294" t="s">
        <v>300</v>
      </c>
      <c r="D613" s="296" t="n">
        <v>456000</v>
      </c>
      <c r="E613" s="296" t="n">
        <v>612750</v>
      </c>
      <c r="F613" s="296" t="n">
        <v>855000</v>
      </c>
      <c r="G613" s="285" t="s">
        <v>2429</v>
      </c>
      <c r="H613" s="293" t="n">
        <f aca="false">IF($A613="","",CHOOSE(MATCH($I$1,{"Low","Mid","High"},0),D613,E613,F613))</f>
        <v>456000</v>
      </c>
    </row>
    <row r="614" customFormat="false" ht="15" hidden="false" customHeight="true" outlineLevel="0" collapsed="false">
      <c r="A614" s="290" t="s">
        <v>1467</v>
      </c>
      <c r="B614" s="291" t="s">
        <v>2432</v>
      </c>
      <c r="C614" s="290" t="s">
        <v>300</v>
      </c>
      <c r="D614" s="292" t="n">
        <v>1540000</v>
      </c>
      <c r="E614" s="292" t="n">
        <v>2310000</v>
      </c>
      <c r="F614" s="292" t="n">
        <v>3465000</v>
      </c>
      <c r="G614" s="280" t="s">
        <v>2433</v>
      </c>
      <c r="H614" s="293" t="n">
        <f aca="false">IF($A614="","",CHOOSE(MATCH($I$1,{"Low","Mid","High"},0),D614,E614,F614))</f>
        <v>1540000</v>
      </c>
    </row>
    <row r="615" customFormat="false" ht="15" hidden="false" customHeight="true" outlineLevel="0" collapsed="false">
      <c r="A615" s="294" t="s">
        <v>1469</v>
      </c>
      <c r="B615" s="295" t="s">
        <v>2434</v>
      </c>
      <c r="C615" s="294" t="s">
        <v>300</v>
      </c>
      <c r="D615" s="296" t="n">
        <v>700000</v>
      </c>
      <c r="E615" s="296" t="n">
        <v>1050000</v>
      </c>
      <c r="F615" s="296" t="n">
        <v>1575000</v>
      </c>
      <c r="G615" s="285" t="s">
        <v>2433</v>
      </c>
      <c r="H615" s="293" t="n">
        <f aca="false">IF($A615="","",CHOOSE(MATCH($I$1,{"Low","Mid","High"},0),D615,E615,F615))</f>
        <v>700000</v>
      </c>
    </row>
    <row r="616" customFormat="false" ht="15" hidden="false" customHeight="true" outlineLevel="0" collapsed="false">
      <c r="A616" s="290" t="s">
        <v>1471</v>
      </c>
      <c r="B616" s="291" t="s">
        <v>2435</v>
      </c>
      <c r="C616" s="290" t="s">
        <v>300</v>
      </c>
      <c r="D616" s="292" t="n">
        <v>560000</v>
      </c>
      <c r="E616" s="292" t="n">
        <v>840000</v>
      </c>
      <c r="F616" s="292" t="n">
        <v>1260000</v>
      </c>
      <c r="G616" s="280" t="s">
        <v>2433</v>
      </c>
      <c r="H616" s="293" t="n">
        <f aca="false">IF($A616="","",CHOOSE(MATCH($I$1,{"Low","Mid","High"},0),D616,E616,F616))</f>
        <v>560000</v>
      </c>
    </row>
    <row r="617" customFormat="false" ht="15" hidden="false" customHeight="true" outlineLevel="0" collapsed="false">
      <c r="A617" s="294" t="s">
        <v>1243</v>
      </c>
      <c r="B617" s="295" t="s">
        <v>2436</v>
      </c>
      <c r="C617" s="294" t="s">
        <v>300</v>
      </c>
      <c r="D617" s="296" t="n">
        <v>1890000</v>
      </c>
      <c r="E617" s="296" t="n">
        <v>3402000</v>
      </c>
      <c r="F617" s="296" t="n">
        <v>5292000</v>
      </c>
      <c r="G617" s="285" t="s">
        <v>2437</v>
      </c>
      <c r="H617" s="293" t="n">
        <f aca="false">IF($A617="","",CHOOSE(MATCH($I$1,{"Low","Mid","High"},0),D617,E617,F617))</f>
        <v>1890000</v>
      </c>
    </row>
    <row r="618" customFormat="false" ht="15" hidden="false" customHeight="true" outlineLevel="0" collapsed="false">
      <c r="A618" s="290" t="s">
        <v>1245</v>
      </c>
      <c r="B618" s="291" t="s">
        <v>2438</v>
      </c>
      <c r="C618" s="290" t="s">
        <v>300</v>
      </c>
      <c r="D618" s="292" t="n">
        <v>405000</v>
      </c>
      <c r="E618" s="292" t="n">
        <v>729000</v>
      </c>
      <c r="F618" s="292" t="n">
        <v>1134000</v>
      </c>
      <c r="G618" s="280" t="s">
        <v>2437</v>
      </c>
      <c r="H618" s="293" t="n">
        <f aca="false">IF($A618="","",CHOOSE(MATCH($I$1,{"Low","Mid","High"},0),D618,E618,F618))</f>
        <v>405000</v>
      </c>
    </row>
    <row r="619" customFormat="false" ht="15" hidden="false" customHeight="true" outlineLevel="0" collapsed="false">
      <c r="A619" s="294" t="s">
        <v>1247</v>
      </c>
      <c r="B619" s="295" t="s">
        <v>2439</v>
      </c>
      <c r="C619" s="294" t="s">
        <v>300</v>
      </c>
      <c r="D619" s="296" t="n">
        <v>405000</v>
      </c>
      <c r="E619" s="296" t="n">
        <v>729000</v>
      </c>
      <c r="F619" s="296" t="n">
        <v>1134000</v>
      </c>
      <c r="G619" s="285" t="s">
        <v>2437</v>
      </c>
      <c r="H619" s="293" t="n">
        <f aca="false">IF($A619="","",CHOOSE(MATCH($I$1,{"Low","Mid","High"},0),D619,E619,F619))</f>
        <v>405000</v>
      </c>
    </row>
    <row r="620" customFormat="false" ht="15" hidden="false" customHeight="true" outlineLevel="0" collapsed="false">
      <c r="A620" s="290" t="s">
        <v>524</v>
      </c>
      <c r="B620" s="291" t="s">
        <v>2440</v>
      </c>
      <c r="C620" s="290" t="s">
        <v>300</v>
      </c>
      <c r="D620" s="292" t="n">
        <v>1612800</v>
      </c>
      <c r="E620" s="292" t="n">
        <v>2304000</v>
      </c>
      <c r="F620" s="292" t="n">
        <v>3225600</v>
      </c>
      <c r="G620" s="280" t="s">
        <v>2441</v>
      </c>
      <c r="H620" s="293" t="n">
        <f aca="false">IF($A620="","",CHOOSE(MATCH($I$1,{"Low","Mid","High"},0),D620,E620,F620))</f>
        <v>1612800</v>
      </c>
    </row>
    <row r="621" customFormat="false" ht="15" hidden="false" customHeight="true" outlineLevel="0" collapsed="false">
      <c r="A621" s="294" t="s">
        <v>526</v>
      </c>
      <c r="B621" s="295" t="s">
        <v>2442</v>
      </c>
      <c r="C621" s="294" t="s">
        <v>300</v>
      </c>
      <c r="D621" s="296" t="n">
        <v>672000</v>
      </c>
      <c r="E621" s="296" t="n">
        <v>960000</v>
      </c>
      <c r="F621" s="296" t="n">
        <v>1344000</v>
      </c>
      <c r="G621" s="285" t="s">
        <v>2441</v>
      </c>
      <c r="H621" s="293" t="n">
        <f aca="false">IF($A621="","",CHOOSE(MATCH($I$1,{"Low","Mid","High"},0),D621,E621,F621))</f>
        <v>672000</v>
      </c>
    </row>
    <row r="622" customFormat="false" ht="15" hidden="false" customHeight="true" outlineLevel="0" collapsed="false">
      <c r="A622" s="290" t="s">
        <v>528</v>
      </c>
      <c r="B622" s="291" t="s">
        <v>2443</v>
      </c>
      <c r="C622" s="290" t="s">
        <v>300</v>
      </c>
      <c r="D622" s="292" t="n">
        <v>403200</v>
      </c>
      <c r="E622" s="292" t="n">
        <v>576000</v>
      </c>
      <c r="F622" s="292" t="n">
        <v>806400</v>
      </c>
      <c r="G622" s="280" t="s">
        <v>2441</v>
      </c>
      <c r="H622" s="293" t="n">
        <f aca="false">IF($A622="","",CHOOSE(MATCH($I$1,{"Low","Mid","High"},0),D622,E622,F622))</f>
        <v>403200</v>
      </c>
    </row>
    <row r="623" customFormat="false" ht="15" hidden="false" customHeight="true" outlineLevel="0" collapsed="false">
      <c r="A623" s="294" t="s">
        <v>851</v>
      </c>
      <c r="B623" s="295" t="s">
        <v>2444</v>
      </c>
      <c r="C623" s="294" t="s">
        <v>300</v>
      </c>
      <c r="D623" s="296" t="n">
        <v>1320000</v>
      </c>
      <c r="E623" s="296" t="n">
        <v>2200000</v>
      </c>
      <c r="F623" s="296" t="n">
        <v>3520000</v>
      </c>
      <c r="G623" s="285" t="s">
        <v>2445</v>
      </c>
      <c r="H623" s="293" t="n">
        <f aca="false">IF($A623="","",CHOOSE(MATCH($I$1,{"Low","Mid","High"},0),D623,E623,F623))</f>
        <v>1320000</v>
      </c>
    </row>
    <row r="624" customFormat="false" ht="15" hidden="false" customHeight="true" outlineLevel="0" collapsed="false">
      <c r="A624" s="290" t="s">
        <v>853</v>
      </c>
      <c r="B624" s="291" t="s">
        <v>2446</v>
      </c>
      <c r="C624" s="290" t="s">
        <v>300</v>
      </c>
      <c r="D624" s="292" t="n">
        <v>792000</v>
      </c>
      <c r="E624" s="292" t="n">
        <v>1320000</v>
      </c>
      <c r="F624" s="292" t="n">
        <v>2112000</v>
      </c>
      <c r="G624" s="280" t="s">
        <v>2445</v>
      </c>
      <c r="H624" s="293" t="n">
        <f aca="false">IF($A624="","",CHOOSE(MATCH($I$1,{"Low","Mid","High"},0),D624,E624,F624))</f>
        <v>792000</v>
      </c>
    </row>
    <row r="625" customFormat="false" ht="15" hidden="false" customHeight="true" outlineLevel="0" collapsed="false">
      <c r="A625" s="294" t="s">
        <v>855</v>
      </c>
      <c r="B625" s="295" t="s">
        <v>2447</v>
      </c>
      <c r="C625" s="294" t="s">
        <v>300</v>
      </c>
      <c r="D625" s="296" t="n">
        <v>528000</v>
      </c>
      <c r="E625" s="296" t="n">
        <v>880000</v>
      </c>
      <c r="F625" s="296" t="n">
        <v>1408000</v>
      </c>
      <c r="G625" s="285" t="s">
        <v>2445</v>
      </c>
      <c r="H625" s="293" t="n">
        <f aca="false">IF($A625="","",CHOOSE(MATCH($I$1,{"Low","Mid","High"},0),D625,E625,F625))</f>
        <v>528000</v>
      </c>
    </row>
    <row r="626" customFormat="false" ht="15" hidden="false" customHeight="true" outlineLevel="0" collapsed="false">
      <c r="A626" s="290" t="s">
        <v>1325</v>
      </c>
      <c r="B626" s="291" t="s">
        <v>2448</v>
      </c>
      <c r="C626" s="290" t="s">
        <v>300</v>
      </c>
      <c r="D626" s="292" t="n">
        <v>1535625</v>
      </c>
      <c r="E626" s="292" t="n">
        <v>2193750</v>
      </c>
      <c r="F626" s="292" t="n">
        <v>3071250</v>
      </c>
      <c r="G626" s="280" t="s">
        <v>2449</v>
      </c>
      <c r="H626" s="293" t="n">
        <f aca="false">IF($A626="","",CHOOSE(MATCH($I$1,{"Low","Mid","High"},0),D626,E626,F626))</f>
        <v>1535625</v>
      </c>
    </row>
    <row r="627" customFormat="false" ht="15" hidden="false" customHeight="true" outlineLevel="0" collapsed="false">
      <c r="A627" s="294" t="s">
        <v>1327</v>
      </c>
      <c r="B627" s="295" t="s">
        <v>2450</v>
      </c>
      <c r="C627" s="294" t="s">
        <v>300</v>
      </c>
      <c r="D627" s="296" t="n">
        <v>639843.75</v>
      </c>
      <c r="E627" s="296" t="n">
        <v>914062.5</v>
      </c>
      <c r="F627" s="296" t="n">
        <v>1279687.5</v>
      </c>
      <c r="G627" s="285" t="s">
        <v>2449</v>
      </c>
      <c r="H627" s="293" t="n">
        <f aca="false">IF($A627="","",CHOOSE(MATCH($I$1,{"Low","Mid","High"},0),D627,E627,F627))</f>
        <v>639843.75</v>
      </c>
    </row>
    <row r="628" customFormat="false" ht="15" hidden="false" customHeight="true" outlineLevel="0" collapsed="false">
      <c r="A628" s="290" t="s">
        <v>1329</v>
      </c>
      <c r="B628" s="291" t="s">
        <v>2451</v>
      </c>
      <c r="C628" s="290" t="s">
        <v>300</v>
      </c>
      <c r="D628" s="292" t="n">
        <v>383906.25</v>
      </c>
      <c r="E628" s="292" t="n">
        <v>548437.5</v>
      </c>
      <c r="F628" s="292" t="n">
        <v>767812.5</v>
      </c>
      <c r="G628" s="280" t="s">
        <v>2449</v>
      </c>
      <c r="H628" s="293" t="n">
        <f aca="false">IF($A628="","",CHOOSE(MATCH($I$1,{"Low","Mid","High"},0),D628,E628,F628))</f>
        <v>383906.25</v>
      </c>
    </row>
    <row r="629" customFormat="false" ht="15" hidden="false" customHeight="true" outlineLevel="0" collapsed="false">
      <c r="A629" s="294" t="s">
        <v>1059</v>
      </c>
      <c r="B629" s="295" t="s">
        <v>2452</v>
      </c>
      <c r="C629" s="294" t="s">
        <v>300</v>
      </c>
      <c r="D629" s="296" t="n">
        <v>1410750</v>
      </c>
      <c r="E629" s="296" t="n">
        <v>2821500</v>
      </c>
      <c r="F629" s="296" t="n">
        <v>4937625</v>
      </c>
      <c r="G629" s="285" t="s">
        <v>2453</v>
      </c>
      <c r="H629" s="293" t="n">
        <f aca="false">IF($A629="","",CHOOSE(MATCH($I$1,{"Low","Mid","High"},0),D629,E629,F629))</f>
        <v>1410750</v>
      </c>
    </row>
    <row r="630" customFormat="false" ht="15" hidden="false" customHeight="true" outlineLevel="0" collapsed="false">
      <c r="A630" s="290" t="s">
        <v>1061</v>
      </c>
      <c r="B630" s="291" t="s">
        <v>2454</v>
      </c>
      <c r="C630" s="290" t="s">
        <v>300</v>
      </c>
      <c r="D630" s="292" t="n">
        <v>641250</v>
      </c>
      <c r="E630" s="292" t="n">
        <v>1282500</v>
      </c>
      <c r="F630" s="292" t="n">
        <v>2244375</v>
      </c>
      <c r="G630" s="280" t="s">
        <v>2453</v>
      </c>
      <c r="H630" s="293" t="n">
        <f aca="false">IF($A630="","",CHOOSE(MATCH($I$1,{"Low","Mid","High"},0),D630,E630,F630))</f>
        <v>641250</v>
      </c>
    </row>
    <row r="631" customFormat="false" ht="15" hidden="false" customHeight="true" outlineLevel="0" collapsed="false">
      <c r="A631" s="294" t="s">
        <v>1063</v>
      </c>
      <c r="B631" s="295" t="s">
        <v>2455</v>
      </c>
      <c r="C631" s="294" t="s">
        <v>300</v>
      </c>
      <c r="D631" s="296" t="n">
        <v>513000</v>
      </c>
      <c r="E631" s="296" t="n">
        <v>1026000</v>
      </c>
      <c r="F631" s="296" t="n">
        <v>1795500</v>
      </c>
      <c r="G631" s="285" t="s">
        <v>2453</v>
      </c>
      <c r="H631" s="293" t="n">
        <f aca="false">IF($A631="","",CHOOSE(MATCH($I$1,{"Low","Mid","High"},0),D631,E631,F631))</f>
        <v>513000</v>
      </c>
    </row>
    <row r="632" customFormat="false" ht="15" hidden="false" customHeight="true" outlineLevel="0" collapsed="false">
      <c r="A632" s="290" t="s">
        <v>1417</v>
      </c>
      <c r="B632" s="291" t="s">
        <v>2456</v>
      </c>
      <c r="C632" s="290" t="s">
        <v>300</v>
      </c>
      <c r="D632" s="292" t="n">
        <v>1478400</v>
      </c>
      <c r="E632" s="292" t="n">
        <v>2112000</v>
      </c>
      <c r="F632" s="292" t="n">
        <v>2956800</v>
      </c>
      <c r="G632" s="280" t="s">
        <v>2457</v>
      </c>
      <c r="H632" s="293" t="n">
        <f aca="false">IF($A632="","",CHOOSE(MATCH($I$1,{"Low","Mid","High"},0),D632,E632,F632))</f>
        <v>1478400</v>
      </c>
    </row>
    <row r="633" customFormat="false" ht="15" hidden="false" customHeight="true" outlineLevel="0" collapsed="false">
      <c r="A633" s="294" t="s">
        <v>1419</v>
      </c>
      <c r="B633" s="295" t="s">
        <v>2458</v>
      </c>
      <c r="C633" s="294" t="s">
        <v>300</v>
      </c>
      <c r="D633" s="296" t="n">
        <v>492800</v>
      </c>
      <c r="E633" s="296" t="n">
        <v>704000</v>
      </c>
      <c r="F633" s="296" t="n">
        <v>985600</v>
      </c>
      <c r="G633" s="285" t="s">
        <v>2457</v>
      </c>
      <c r="H633" s="293" t="n">
        <f aca="false">IF($A633="","",CHOOSE(MATCH($I$1,{"Low","Mid","High"},0),D633,E633,F633))</f>
        <v>492800</v>
      </c>
    </row>
    <row r="634" customFormat="false" ht="15" hidden="false" customHeight="true" outlineLevel="0" collapsed="false">
      <c r="A634" s="290" t="s">
        <v>1421</v>
      </c>
      <c r="B634" s="291" t="s">
        <v>2459</v>
      </c>
      <c r="C634" s="290" t="s">
        <v>300</v>
      </c>
      <c r="D634" s="292" t="n">
        <v>492800</v>
      </c>
      <c r="E634" s="292" t="n">
        <v>704000</v>
      </c>
      <c r="F634" s="292" t="n">
        <v>985600</v>
      </c>
      <c r="G634" s="280" t="s">
        <v>2457</v>
      </c>
      <c r="H634" s="293" t="n">
        <f aca="false">IF($A634="","",CHOOSE(MATCH($I$1,{"Low","Mid","High"},0),D634,E634,F634))</f>
        <v>492800</v>
      </c>
    </row>
    <row r="635" customFormat="false" ht="15" hidden="false" customHeight="true" outlineLevel="0" collapsed="false">
      <c r="A635" s="294" t="s">
        <v>1075</v>
      </c>
      <c r="B635" s="295" t="s">
        <v>2460</v>
      </c>
      <c r="C635" s="294" t="s">
        <v>300</v>
      </c>
      <c r="D635" s="296" t="n">
        <v>1478400</v>
      </c>
      <c r="E635" s="296" t="n">
        <v>2112000</v>
      </c>
      <c r="F635" s="296" t="n">
        <v>2956800</v>
      </c>
      <c r="G635" s="285" t="s">
        <v>2461</v>
      </c>
      <c r="H635" s="293" t="n">
        <f aca="false">IF($A635="","",CHOOSE(MATCH($I$1,{"Low","Mid","High"},0),D635,E635,F635))</f>
        <v>1478400</v>
      </c>
    </row>
    <row r="636" customFormat="false" ht="15" hidden="false" customHeight="true" outlineLevel="0" collapsed="false">
      <c r="A636" s="290" t="s">
        <v>1077</v>
      </c>
      <c r="B636" s="291" t="s">
        <v>2462</v>
      </c>
      <c r="C636" s="290" t="s">
        <v>300</v>
      </c>
      <c r="D636" s="292" t="n">
        <v>616000</v>
      </c>
      <c r="E636" s="292" t="n">
        <v>880000</v>
      </c>
      <c r="F636" s="292" t="n">
        <v>1232000</v>
      </c>
      <c r="G636" s="280" t="s">
        <v>2461</v>
      </c>
      <c r="H636" s="293" t="n">
        <f aca="false">IF($A636="","",CHOOSE(MATCH($I$1,{"Low","Mid","High"},0),D636,E636,F636))</f>
        <v>616000</v>
      </c>
    </row>
    <row r="637" customFormat="false" ht="15" hidden="false" customHeight="true" outlineLevel="0" collapsed="false">
      <c r="A637" s="294" t="s">
        <v>1079</v>
      </c>
      <c r="B637" s="295" t="s">
        <v>2463</v>
      </c>
      <c r="C637" s="294" t="s">
        <v>300</v>
      </c>
      <c r="D637" s="296" t="n">
        <v>369600</v>
      </c>
      <c r="E637" s="296" t="n">
        <v>528000</v>
      </c>
      <c r="F637" s="296" t="n">
        <v>739200</v>
      </c>
      <c r="G637" s="285" t="s">
        <v>2461</v>
      </c>
      <c r="H637" s="293" t="n">
        <f aca="false">IF($A637="","",CHOOSE(MATCH($I$1,{"Low","Mid","High"},0),D637,E637,F637))</f>
        <v>369600</v>
      </c>
    </row>
    <row r="638" customFormat="false" ht="15" hidden="false" customHeight="true" outlineLevel="0" collapsed="false">
      <c r="A638" s="290" t="s">
        <v>1251</v>
      </c>
      <c r="B638" s="291" t="s">
        <v>2464</v>
      </c>
      <c r="C638" s="290" t="s">
        <v>300</v>
      </c>
      <c r="D638" s="292" t="n">
        <v>1697850</v>
      </c>
      <c r="E638" s="292" t="n">
        <v>2425500</v>
      </c>
      <c r="F638" s="292" t="n">
        <v>3395700</v>
      </c>
      <c r="G638" s="280" t="s">
        <v>2465</v>
      </c>
      <c r="H638" s="293" t="n">
        <f aca="false">IF($A638="","",CHOOSE(MATCH($I$1,{"Low","Mid","High"},0),D638,E638,F638))</f>
        <v>1697850</v>
      </c>
    </row>
    <row r="639" customFormat="false" ht="15" hidden="false" customHeight="true" outlineLevel="0" collapsed="false">
      <c r="A639" s="294" t="s">
        <v>1253</v>
      </c>
      <c r="B639" s="295" t="s">
        <v>2466</v>
      </c>
      <c r="C639" s="294" t="s">
        <v>300</v>
      </c>
      <c r="D639" s="296" t="n">
        <v>363825</v>
      </c>
      <c r="E639" s="296" t="n">
        <v>519750</v>
      </c>
      <c r="F639" s="296" t="n">
        <v>727650</v>
      </c>
      <c r="G639" s="285" t="s">
        <v>2465</v>
      </c>
      <c r="H639" s="293" t="n">
        <f aca="false">IF($A639="","",CHOOSE(MATCH($I$1,{"Low","Mid","High"},0),D639,E639,F639))</f>
        <v>363825</v>
      </c>
    </row>
    <row r="640" customFormat="false" ht="15" hidden="false" customHeight="true" outlineLevel="0" collapsed="false">
      <c r="A640" s="290" t="s">
        <v>1255</v>
      </c>
      <c r="B640" s="291" t="s">
        <v>2467</v>
      </c>
      <c r="C640" s="290" t="s">
        <v>300</v>
      </c>
      <c r="D640" s="292" t="n">
        <v>363825</v>
      </c>
      <c r="E640" s="292" t="n">
        <v>519750</v>
      </c>
      <c r="F640" s="292" t="n">
        <v>727650</v>
      </c>
      <c r="G640" s="280" t="s">
        <v>2465</v>
      </c>
      <c r="H640" s="293" t="n">
        <f aca="false">IF($A640="","",CHOOSE(MATCH($I$1,{"Low","Mid","High"},0),D640,E640,F640))</f>
        <v>363825</v>
      </c>
    </row>
    <row r="641" customFormat="false" ht="15" hidden="false" customHeight="true" outlineLevel="0" collapsed="false">
      <c r="A641" s="294" t="s">
        <v>1767</v>
      </c>
      <c r="B641" s="295" t="s">
        <v>2468</v>
      </c>
      <c r="C641" s="294" t="s">
        <v>300</v>
      </c>
      <c r="D641" s="296" t="n">
        <v>1569375</v>
      </c>
      <c r="E641" s="296" t="n">
        <v>2301750</v>
      </c>
      <c r="F641" s="296" t="n">
        <v>3348000</v>
      </c>
      <c r="G641" s="285" t="s">
        <v>2469</v>
      </c>
      <c r="H641" s="293" t="n">
        <f aca="false">IF($A641="","",CHOOSE(MATCH($I$1,{"Low","Mid","High"},0),D641,E641,F641))</f>
        <v>1569375</v>
      </c>
    </row>
    <row r="642" customFormat="false" ht="15" hidden="false" customHeight="true" outlineLevel="0" collapsed="false">
      <c r="A642" s="290" t="s">
        <v>1769</v>
      </c>
      <c r="B642" s="291" t="s">
        <v>2470</v>
      </c>
      <c r="C642" s="290" t="s">
        <v>300</v>
      </c>
      <c r="D642" s="292" t="n">
        <v>582187.5</v>
      </c>
      <c r="E642" s="292" t="n">
        <v>853875</v>
      </c>
      <c r="F642" s="292" t="n">
        <v>1242000</v>
      </c>
      <c r="G642" s="280" t="s">
        <v>2469</v>
      </c>
      <c r="H642" s="293" t="n">
        <f aca="false">IF($A642="","",CHOOSE(MATCH($I$1,{"Low","Mid","High"},0),D642,E642,F642))</f>
        <v>582187.5</v>
      </c>
    </row>
    <row r="643" customFormat="false" ht="15" hidden="false" customHeight="true" outlineLevel="0" collapsed="false">
      <c r="A643" s="294" t="s">
        <v>1771</v>
      </c>
      <c r="B643" s="295" t="s">
        <v>2471</v>
      </c>
      <c r="C643" s="294" t="s">
        <v>300</v>
      </c>
      <c r="D643" s="296" t="n">
        <v>379687.5</v>
      </c>
      <c r="E643" s="296" t="n">
        <v>556875</v>
      </c>
      <c r="F643" s="296" t="n">
        <v>810000</v>
      </c>
      <c r="G643" s="285" t="s">
        <v>2469</v>
      </c>
      <c r="H643" s="293" t="n">
        <f aca="false">IF($A643="","",CHOOSE(MATCH($I$1,{"Low","Mid","High"},0),D643,E643,F643))</f>
        <v>379687.5</v>
      </c>
    </row>
    <row r="644" customFormat="false" ht="15" hidden="false" customHeight="true" outlineLevel="0" collapsed="false">
      <c r="A644" s="290" t="s">
        <v>1275</v>
      </c>
      <c r="B644" s="291" t="s">
        <v>2472</v>
      </c>
      <c r="C644" s="290" t="s">
        <v>300</v>
      </c>
      <c r="D644" s="292" t="n">
        <v>1606500</v>
      </c>
      <c r="E644" s="292" t="n">
        <v>2295000</v>
      </c>
      <c r="F644" s="292" t="n">
        <v>3213000</v>
      </c>
      <c r="G644" s="280" t="s">
        <v>2473</v>
      </c>
      <c r="H644" s="293" t="n">
        <f aca="false">IF($A644="","",CHOOSE(MATCH($I$1,{"Low","Mid","High"},0),D644,E644,F644))</f>
        <v>1606500</v>
      </c>
    </row>
    <row r="645" customFormat="false" ht="15" hidden="false" customHeight="true" outlineLevel="0" collapsed="false">
      <c r="A645" s="294" t="s">
        <v>1277</v>
      </c>
      <c r="B645" s="295" t="s">
        <v>2474</v>
      </c>
      <c r="C645" s="294" t="s">
        <v>300</v>
      </c>
      <c r="D645" s="296" t="n">
        <v>401625</v>
      </c>
      <c r="E645" s="296" t="n">
        <v>573750</v>
      </c>
      <c r="F645" s="296" t="n">
        <v>803250</v>
      </c>
      <c r="G645" s="285" t="s">
        <v>2473</v>
      </c>
      <c r="H645" s="293" t="n">
        <f aca="false">IF($A645="","",CHOOSE(MATCH($I$1,{"Low","Mid","High"},0),D645,E645,F645))</f>
        <v>401625</v>
      </c>
    </row>
    <row r="646" customFormat="false" ht="15" hidden="false" customHeight="true" outlineLevel="0" collapsed="false">
      <c r="A646" s="290" t="s">
        <v>1279</v>
      </c>
      <c r="B646" s="291" t="s">
        <v>2475</v>
      </c>
      <c r="C646" s="290" t="s">
        <v>300</v>
      </c>
      <c r="D646" s="292" t="n">
        <v>354375</v>
      </c>
      <c r="E646" s="292" t="n">
        <v>506250</v>
      </c>
      <c r="F646" s="292" t="n">
        <v>708750</v>
      </c>
      <c r="G646" s="280" t="s">
        <v>2473</v>
      </c>
      <c r="H646" s="293" t="n">
        <f aca="false">IF($A646="","",CHOOSE(MATCH($I$1,{"Low","Mid","High"},0),D646,E646,F646))</f>
        <v>354375</v>
      </c>
    </row>
    <row r="647" customFormat="false" ht="15" hidden="false" customHeight="true" outlineLevel="0" collapsed="false">
      <c r="A647" s="294" t="s">
        <v>981</v>
      </c>
      <c r="B647" s="295" t="s">
        <v>2476</v>
      </c>
      <c r="C647" s="294" t="s">
        <v>300</v>
      </c>
      <c r="D647" s="296" t="n">
        <v>1299375</v>
      </c>
      <c r="E647" s="296" t="n">
        <v>1856250</v>
      </c>
      <c r="F647" s="296" t="n">
        <v>2598750</v>
      </c>
      <c r="G647" s="285" t="s">
        <v>2477</v>
      </c>
      <c r="H647" s="293" t="n">
        <f aca="false">IF($A647="","",CHOOSE(MATCH($I$1,{"Low","Mid","High"},0),D647,E647,F647))</f>
        <v>1299375</v>
      </c>
    </row>
    <row r="648" customFormat="false" ht="15" hidden="false" customHeight="true" outlineLevel="0" collapsed="false">
      <c r="A648" s="290" t="s">
        <v>983</v>
      </c>
      <c r="B648" s="291" t="s">
        <v>2478</v>
      </c>
      <c r="C648" s="290" t="s">
        <v>300</v>
      </c>
      <c r="D648" s="292" t="n">
        <v>590625</v>
      </c>
      <c r="E648" s="292" t="n">
        <v>843750</v>
      </c>
      <c r="F648" s="292" t="n">
        <v>1181250</v>
      </c>
      <c r="G648" s="280" t="s">
        <v>2477</v>
      </c>
      <c r="H648" s="293" t="n">
        <f aca="false">IF($A648="","",CHOOSE(MATCH($I$1,{"Low","Mid","High"},0),D648,E648,F648))</f>
        <v>590625</v>
      </c>
    </row>
    <row r="649" customFormat="false" ht="15" hidden="false" customHeight="true" outlineLevel="0" collapsed="false">
      <c r="A649" s="294" t="s">
        <v>985</v>
      </c>
      <c r="B649" s="295" t="s">
        <v>2479</v>
      </c>
      <c r="C649" s="294" t="s">
        <v>300</v>
      </c>
      <c r="D649" s="296" t="n">
        <v>472500</v>
      </c>
      <c r="E649" s="296" t="n">
        <v>675000</v>
      </c>
      <c r="F649" s="296" t="n">
        <v>945000</v>
      </c>
      <c r="G649" s="285" t="s">
        <v>2477</v>
      </c>
      <c r="H649" s="293" t="n">
        <f aca="false">IF($A649="","",CHOOSE(MATCH($I$1,{"Low","Mid","High"},0),D649,E649,F649))</f>
        <v>472500</v>
      </c>
    </row>
    <row r="650" customFormat="false" ht="15" hidden="false" customHeight="true" outlineLevel="0" collapsed="false">
      <c r="A650" s="290" t="s">
        <v>732</v>
      </c>
      <c r="B650" s="291" t="s">
        <v>2480</v>
      </c>
      <c r="C650" s="290" t="s">
        <v>300</v>
      </c>
      <c r="D650" s="292" t="n">
        <v>1601600</v>
      </c>
      <c r="E650" s="292" t="n">
        <v>2288000</v>
      </c>
      <c r="F650" s="292" t="n">
        <v>3203200</v>
      </c>
      <c r="G650" s="280" t="s">
        <v>2481</v>
      </c>
      <c r="H650" s="293" t="n">
        <f aca="false">IF($A650="","",CHOOSE(MATCH($I$1,{"Low","Mid","High"},0),D650,E650,F650))</f>
        <v>1601600</v>
      </c>
    </row>
    <row r="651" customFormat="false" ht="15" hidden="false" customHeight="true" outlineLevel="0" collapsed="false">
      <c r="A651" s="294" t="s">
        <v>734</v>
      </c>
      <c r="B651" s="295" t="s">
        <v>2482</v>
      </c>
      <c r="C651" s="294" t="s">
        <v>300</v>
      </c>
      <c r="D651" s="296" t="n">
        <v>616000</v>
      </c>
      <c r="E651" s="296" t="n">
        <v>880000</v>
      </c>
      <c r="F651" s="296" t="n">
        <v>1232000</v>
      </c>
      <c r="G651" s="285" t="s">
        <v>2481</v>
      </c>
      <c r="H651" s="293" t="n">
        <f aca="false">IF($A651="","",CHOOSE(MATCH($I$1,{"Low","Mid","High"},0),D651,E651,F651))</f>
        <v>616000</v>
      </c>
    </row>
    <row r="652" customFormat="false" ht="15" hidden="false" customHeight="true" outlineLevel="0" collapsed="false">
      <c r="A652" s="290" t="s">
        <v>736</v>
      </c>
      <c r="B652" s="291" t="s">
        <v>2483</v>
      </c>
      <c r="C652" s="290" t="s">
        <v>300</v>
      </c>
      <c r="D652" s="292" t="n">
        <v>246400</v>
      </c>
      <c r="E652" s="292" t="n">
        <v>352000</v>
      </c>
      <c r="F652" s="292" t="n">
        <v>492800</v>
      </c>
      <c r="G652" s="280" t="s">
        <v>2481</v>
      </c>
      <c r="H652" s="293" t="n">
        <f aca="false">IF($A652="","",CHOOSE(MATCH($I$1,{"Low","Mid","High"},0),D652,E652,F652))</f>
        <v>246400</v>
      </c>
    </row>
    <row r="653" customFormat="false" ht="15" hidden="false" customHeight="true" outlineLevel="0" collapsed="false">
      <c r="A653" s="294" t="s">
        <v>506</v>
      </c>
      <c r="B653" s="295" t="s">
        <v>2484</v>
      </c>
      <c r="C653" s="294" t="s">
        <v>300</v>
      </c>
      <c r="D653" s="296" t="n">
        <v>1528800</v>
      </c>
      <c r="E653" s="296" t="n">
        <v>2184000</v>
      </c>
      <c r="F653" s="296" t="n">
        <v>3057600</v>
      </c>
      <c r="G653" s="285" t="s">
        <v>2485</v>
      </c>
      <c r="H653" s="293" t="n">
        <f aca="false">IF($A653="","",CHOOSE(MATCH($I$1,{"Low","Mid","High"},0),D653,E653,F653))</f>
        <v>1528800</v>
      </c>
    </row>
    <row r="654" customFormat="false" ht="15" hidden="false" customHeight="true" outlineLevel="0" collapsed="false">
      <c r="A654" s="290" t="s">
        <v>508</v>
      </c>
      <c r="B654" s="291" t="s">
        <v>2486</v>
      </c>
      <c r="C654" s="290" t="s">
        <v>300</v>
      </c>
      <c r="D654" s="292" t="n">
        <v>588000</v>
      </c>
      <c r="E654" s="292" t="n">
        <v>840000</v>
      </c>
      <c r="F654" s="292" t="n">
        <v>1176000</v>
      </c>
      <c r="G654" s="280" t="s">
        <v>2485</v>
      </c>
      <c r="H654" s="293" t="n">
        <f aca="false">IF($A654="","",CHOOSE(MATCH($I$1,{"Low","Mid","High"},0),D654,E654,F654))</f>
        <v>588000</v>
      </c>
    </row>
    <row r="655" customFormat="false" ht="15" hidden="false" customHeight="true" outlineLevel="0" collapsed="false">
      <c r="A655" s="294" t="s">
        <v>510</v>
      </c>
      <c r="B655" s="295" t="s">
        <v>2487</v>
      </c>
      <c r="C655" s="294" t="s">
        <v>300</v>
      </c>
      <c r="D655" s="296" t="n">
        <v>235200</v>
      </c>
      <c r="E655" s="296" t="n">
        <v>336000</v>
      </c>
      <c r="F655" s="296" t="n">
        <v>470400</v>
      </c>
      <c r="G655" s="285" t="s">
        <v>2485</v>
      </c>
      <c r="H655" s="293" t="n">
        <f aca="false">IF($A655="","",CHOOSE(MATCH($I$1,{"Low","Mid","High"},0),D655,E655,F655))</f>
        <v>235200</v>
      </c>
    </row>
    <row r="656" customFormat="false" ht="15" hidden="false" customHeight="true" outlineLevel="0" collapsed="false">
      <c r="A656" s="290" t="s">
        <v>1225</v>
      </c>
      <c r="B656" s="291" t="s">
        <v>2488</v>
      </c>
      <c r="C656" s="290" t="s">
        <v>300</v>
      </c>
      <c r="D656" s="292" t="n">
        <v>1530000</v>
      </c>
      <c r="E656" s="292" t="n">
        <v>2754000</v>
      </c>
      <c r="F656" s="292" t="n">
        <v>4590000</v>
      </c>
      <c r="G656" s="280" t="s">
        <v>2489</v>
      </c>
      <c r="H656" s="293" t="n">
        <f aca="false">IF($A656="","",CHOOSE(MATCH($I$1,{"Low","Mid","High"},0),D656,E656,F656))</f>
        <v>1530000</v>
      </c>
    </row>
    <row r="657" customFormat="false" ht="15" hidden="false" customHeight="true" outlineLevel="0" collapsed="false">
      <c r="A657" s="294" t="s">
        <v>1227</v>
      </c>
      <c r="B657" s="295" t="s">
        <v>2490</v>
      </c>
      <c r="C657" s="294" t="s">
        <v>300</v>
      </c>
      <c r="D657" s="296" t="n">
        <v>450000</v>
      </c>
      <c r="E657" s="296" t="n">
        <v>810000</v>
      </c>
      <c r="F657" s="296" t="n">
        <v>1350000</v>
      </c>
      <c r="G657" s="285" t="s">
        <v>2489</v>
      </c>
      <c r="H657" s="293" t="n">
        <f aca="false">IF($A657="","",CHOOSE(MATCH($I$1,{"Low","Mid","High"},0),D657,E657,F657))</f>
        <v>450000</v>
      </c>
    </row>
    <row r="658" customFormat="false" ht="15" hidden="false" customHeight="true" outlineLevel="0" collapsed="false">
      <c r="A658" s="290" t="s">
        <v>1229</v>
      </c>
      <c r="B658" s="291" t="s">
        <v>2491</v>
      </c>
      <c r="C658" s="290" t="s">
        <v>300</v>
      </c>
      <c r="D658" s="292" t="n">
        <v>270000</v>
      </c>
      <c r="E658" s="292" t="n">
        <v>486000</v>
      </c>
      <c r="F658" s="292" t="n">
        <v>810000</v>
      </c>
      <c r="G658" s="280" t="s">
        <v>2489</v>
      </c>
      <c r="H658" s="293" t="n">
        <f aca="false">IF($A658="","",CHOOSE(MATCH($I$1,{"Low","Mid","High"},0),D658,E658,F658))</f>
        <v>270000</v>
      </c>
    </row>
    <row r="659" customFormat="false" ht="15" hidden="false" customHeight="true" outlineLevel="0" collapsed="false">
      <c r="A659" s="294" t="s">
        <v>1003</v>
      </c>
      <c r="B659" s="295" t="s">
        <v>2492</v>
      </c>
      <c r="C659" s="294" t="s">
        <v>300</v>
      </c>
      <c r="D659" s="296" t="n">
        <v>1360800</v>
      </c>
      <c r="E659" s="296" t="n">
        <v>1944000</v>
      </c>
      <c r="F659" s="296" t="n">
        <v>2721600</v>
      </c>
      <c r="G659" s="285" t="s">
        <v>2493</v>
      </c>
      <c r="H659" s="293" t="n">
        <f aca="false">IF($A659="","",CHOOSE(MATCH($I$1,{"Low","Mid","High"},0),D659,E659,F659))</f>
        <v>1360800</v>
      </c>
    </row>
    <row r="660" customFormat="false" ht="15" hidden="false" customHeight="true" outlineLevel="0" collapsed="false">
      <c r="A660" s="290" t="s">
        <v>1005</v>
      </c>
      <c r="B660" s="291" t="s">
        <v>2494</v>
      </c>
      <c r="C660" s="290" t="s">
        <v>300</v>
      </c>
      <c r="D660" s="292" t="n">
        <v>567000</v>
      </c>
      <c r="E660" s="292" t="n">
        <v>810000</v>
      </c>
      <c r="F660" s="292" t="n">
        <v>1134000</v>
      </c>
      <c r="G660" s="280" t="s">
        <v>2493</v>
      </c>
      <c r="H660" s="293" t="n">
        <f aca="false">IF($A660="","",CHOOSE(MATCH($I$1,{"Low","Mid","High"},0),D660,E660,F660))</f>
        <v>567000</v>
      </c>
    </row>
    <row r="661" customFormat="false" ht="15" hidden="false" customHeight="true" outlineLevel="0" collapsed="false">
      <c r="A661" s="294" t="s">
        <v>1007</v>
      </c>
      <c r="B661" s="295" t="s">
        <v>2495</v>
      </c>
      <c r="C661" s="294" t="s">
        <v>300</v>
      </c>
      <c r="D661" s="296" t="n">
        <v>340200</v>
      </c>
      <c r="E661" s="296" t="n">
        <v>486000</v>
      </c>
      <c r="F661" s="296" t="n">
        <v>680400</v>
      </c>
      <c r="G661" s="285" t="s">
        <v>2493</v>
      </c>
      <c r="H661" s="293" t="n">
        <f aca="false">IF($A661="","",CHOOSE(MATCH($I$1,{"Low","Mid","High"},0),D661,E661,F661))</f>
        <v>340200</v>
      </c>
    </row>
    <row r="662" customFormat="false" ht="15" hidden="false" customHeight="true" outlineLevel="0" collapsed="false">
      <c r="A662" s="290" t="s">
        <v>961</v>
      </c>
      <c r="B662" s="291" t="s">
        <v>2496</v>
      </c>
      <c r="C662" s="290" t="s">
        <v>300</v>
      </c>
      <c r="D662" s="292" t="n">
        <v>1232000</v>
      </c>
      <c r="E662" s="292" t="n">
        <v>1760000</v>
      </c>
      <c r="F662" s="292" t="n">
        <v>2464000</v>
      </c>
      <c r="G662" s="280" t="s">
        <v>2497</v>
      </c>
      <c r="H662" s="293" t="n">
        <f aca="false">IF($A662="","",CHOOSE(MATCH($I$1,{"Low","Mid","High"},0),D662,E662,F662))</f>
        <v>1232000</v>
      </c>
    </row>
    <row r="663" customFormat="false" ht="15" hidden="false" customHeight="true" outlineLevel="0" collapsed="false">
      <c r="A663" s="294" t="s">
        <v>963</v>
      </c>
      <c r="B663" s="295" t="s">
        <v>2498</v>
      </c>
      <c r="C663" s="294" t="s">
        <v>300</v>
      </c>
      <c r="D663" s="296" t="n">
        <v>560000</v>
      </c>
      <c r="E663" s="296" t="n">
        <v>800000</v>
      </c>
      <c r="F663" s="296" t="n">
        <v>1120000</v>
      </c>
      <c r="G663" s="285" t="s">
        <v>2497</v>
      </c>
      <c r="H663" s="293" t="n">
        <f aca="false">IF($A663="","",CHOOSE(MATCH($I$1,{"Low","Mid","High"},0),D663,E663,F663))</f>
        <v>560000</v>
      </c>
    </row>
    <row r="664" customFormat="false" ht="15" hidden="false" customHeight="true" outlineLevel="0" collapsed="false">
      <c r="A664" s="290" t="s">
        <v>965</v>
      </c>
      <c r="B664" s="291" t="s">
        <v>2499</v>
      </c>
      <c r="C664" s="290" t="s">
        <v>300</v>
      </c>
      <c r="D664" s="292" t="n">
        <v>448000</v>
      </c>
      <c r="E664" s="292" t="n">
        <v>640000</v>
      </c>
      <c r="F664" s="292" t="n">
        <v>896000</v>
      </c>
      <c r="G664" s="280" t="s">
        <v>2497</v>
      </c>
      <c r="H664" s="293" t="n">
        <f aca="false">IF($A664="","",CHOOSE(MATCH($I$1,{"Low","Mid","High"},0),D664,E664,F664))</f>
        <v>448000</v>
      </c>
    </row>
    <row r="665" customFormat="false" ht="15" hidden="false" customHeight="true" outlineLevel="0" collapsed="false">
      <c r="A665" s="294" t="s">
        <v>1407</v>
      </c>
      <c r="B665" s="295" t="s">
        <v>2500</v>
      </c>
      <c r="C665" s="294" t="s">
        <v>300</v>
      </c>
      <c r="D665" s="296" t="n">
        <v>1320000</v>
      </c>
      <c r="E665" s="296" t="n">
        <v>2640000</v>
      </c>
      <c r="F665" s="296" t="n">
        <v>4488000</v>
      </c>
      <c r="G665" s="285" t="s">
        <v>2501</v>
      </c>
      <c r="H665" s="293" t="n">
        <f aca="false">IF($A665="","",CHOOSE(MATCH($I$1,{"Low","Mid","High"},0),D665,E665,F665))</f>
        <v>1320000</v>
      </c>
    </row>
    <row r="666" customFormat="false" ht="15" hidden="false" customHeight="true" outlineLevel="0" collapsed="false">
      <c r="A666" s="290" t="s">
        <v>1409</v>
      </c>
      <c r="B666" s="291" t="s">
        <v>2502</v>
      </c>
      <c r="C666" s="290" t="s">
        <v>300</v>
      </c>
      <c r="D666" s="292" t="n">
        <v>550000</v>
      </c>
      <c r="E666" s="292" t="n">
        <v>1100000</v>
      </c>
      <c r="F666" s="292" t="n">
        <v>1870000</v>
      </c>
      <c r="G666" s="280" t="s">
        <v>2501</v>
      </c>
      <c r="H666" s="293" t="n">
        <f aca="false">IF($A666="","",CHOOSE(MATCH($I$1,{"Low","Mid","High"},0),D666,E666,F666))</f>
        <v>550000</v>
      </c>
    </row>
    <row r="667" customFormat="false" ht="15" hidden="false" customHeight="true" outlineLevel="0" collapsed="false">
      <c r="A667" s="294" t="s">
        <v>1411</v>
      </c>
      <c r="B667" s="295" t="s">
        <v>2503</v>
      </c>
      <c r="C667" s="294" t="s">
        <v>300</v>
      </c>
      <c r="D667" s="296" t="n">
        <v>330000</v>
      </c>
      <c r="E667" s="296" t="n">
        <v>660000</v>
      </c>
      <c r="F667" s="296" t="n">
        <v>1122000</v>
      </c>
      <c r="G667" s="285" t="s">
        <v>2501</v>
      </c>
      <c r="H667" s="293" t="n">
        <f aca="false">IF($A667="","",CHOOSE(MATCH($I$1,{"Low","Mid","High"},0),D667,E667,F667))</f>
        <v>330000</v>
      </c>
    </row>
    <row r="668" customFormat="false" ht="15" hidden="false" customHeight="true" outlineLevel="0" collapsed="false">
      <c r="A668" s="290" t="s">
        <v>1097</v>
      </c>
      <c r="B668" s="291" t="s">
        <v>2504</v>
      </c>
      <c r="C668" s="290" t="s">
        <v>300</v>
      </c>
      <c r="D668" s="292" t="n">
        <v>992250</v>
      </c>
      <c r="E668" s="292" t="n">
        <v>1417500</v>
      </c>
      <c r="F668" s="292" t="n">
        <v>1984500</v>
      </c>
      <c r="G668" s="280" t="s">
        <v>2505</v>
      </c>
      <c r="H668" s="293" t="n">
        <f aca="false">IF($A668="","",CHOOSE(MATCH($I$1,{"Low","Mid","High"},0),D668,E668,F668))</f>
        <v>992250</v>
      </c>
    </row>
    <row r="669" customFormat="false" ht="15" hidden="false" customHeight="true" outlineLevel="0" collapsed="false">
      <c r="A669" s="294" t="s">
        <v>1099</v>
      </c>
      <c r="B669" s="295" t="s">
        <v>2506</v>
      </c>
      <c r="C669" s="294" t="s">
        <v>300</v>
      </c>
      <c r="D669" s="296" t="n">
        <v>771750</v>
      </c>
      <c r="E669" s="296" t="n">
        <v>1102500</v>
      </c>
      <c r="F669" s="296" t="n">
        <v>1543500</v>
      </c>
      <c r="G669" s="285" t="s">
        <v>2505</v>
      </c>
      <c r="H669" s="293" t="n">
        <f aca="false">IF($A669="","",CHOOSE(MATCH($I$1,{"Low","Mid","High"},0),D669,E669,F669))</f>
        <v>771750</v>
      </c>
    </row>
    <row r="670" customFormat="false" ht="15" hidden="false" customHeight="true" outlineLevel="0" collapsed="false">
      <c r="A670" s="290" t="s">
        <v>1101</v>
      </c>
      <c r="B670" s="291" t="s">
        <v>2507</v>
      </c>
      <c r="C670" s="290" t="s">
        <v>300</v>
      </c>
      <c r="D670" s="292" t="n">
        <v>441000</v>
      </c>
      <c r="E670" s="292" t="n">
        <v>630000</v>
      </c>
      <c r="F670" s="292" t="n">
        <v>882000</v>
      </c>
      <c r="G670" s="280" t="s">
        <v>2505</v>
      </c>
      <c r="H670" s="293" t="n">
        <f aca="false">IF($A670="","",CHOOSE(MATCH($I$1,{"Low","Mid","High"},0),D670,E670,F670))</f>
        <v>441000</v>
      </c>
    </row>
    <row r="671" customFormat="false" ht="15" hidden="false" customHeight="true" outlineLevel="0" collapsed="false">
      <c r="A671" s="294" t="s">
        <v>586</v>
      </c>
      <c r="B671" s="295" t="s">
        <v>2508</v>
      </c>
      <c r="C671" s="294" t="s">
        <v>300</v>
      </c>
      <c r="D671" s="296" t="n">
        <v>1568000</v>
      </c>
      <c r="E671" s="296" t="n">
        <v>2240000</v>
      </c>
      <c r="F671" s="296" t="n">
        <v>3136000</v>
      </c>
      <c r="G671" s="285" t="s">
        <v>2509</v>
      </c>
      <c r="H671" s="293" t="n">
        <f aca="false">IF($A671="","",CHOOSE(MATCH($I$1,{"Low","Mid","High"},0),D671,E671,F671))</f>
        <v>1568000</v>
      </c>
    </row>
    <row r="672" customFormat="false" ht="15" hidden="false" customHeight="true" outlineLevel="0" collapsed="false">
      <c r="A672" s="290" t="s">
        <v>588</v>
      </c>
      <c r="B672" s="291" t="s">
        <v>2510</v>
      </c>
      <c r="C672" s="290" t="s">
        <v>300</v>
      </c>
      <c r="D672" s="292" t="n">
        <v>403200</v>
      </c>
      <c r="E672" s="292" t="n">
        <v>576000</v>
      </c>
      <c r="F672" s="292" t="n">
        <v>806400</v>
      </c>
      <c r="G672" s="280" t="s">
        <v>2509</v>
      </c>
      <c r="H672" s="293" t="n">
        <f aca="false">IF($A672="","",CHOOSE(MATCH($I$1,{"Low","Mid","High"},0),D672,E672,F672))</f>
        <v>403200</v>
      </c>
    </row>
    <row r="673" customFormat="false" ht="15" hidden="false" customHeight="true" outlineLevel="0" collapsed="false">
      <c r="A673" s="294" t="s">
        <v>590</v>
      </c>
      <c r="B673" s="295" t="s">
        <v>2511</v>
      </c>
      <c r="C673" s="294" t="s">
        <v>300</v>
      </c>
      <c r="D673" s="296" t="n">
        <v>268800</v>
      </c>
      <c r="E673" s="296" t="n">
        <v>384000</v>
      </c>
      <c r="F673" s="296" t="n">
        <v>537600</v>
      </c>
      <c r="G673" s="285" t="s">
        <v>2509</v>
      </c>
      <c r="H673" s="293" t="n">
        <f aca="false">IF($A673="","",CHOOSE(MATCH($I$1,{"Low","Mid","High"},0),D673,E673,F673))</f>
        <v>268800</v>
      </c>
    </row>
    <row r="674" customFormat="false" ht="15" hidden="false" customHeight="true" outlineLevel="0" collapsed="false">
      <c r="A674" s="290" t="s">
        <v>498</v>
      </c>
      <c r="B674" s="291" t="s">
        <v>2512</v>
      </c>
      <c r="C674" s="290" t="s">
        <v>300</v>
      </c>
      <c r="D674" s="292" t="n">
        <v>1299375</v>
      </c>
      <c r="E674" s="292" t="n">
        <v>1856250</v>
      </c>
      <c r="F674" s="292" t="n">
        <v>2598750</v>
      </c>
      <c r="G674" s="280" t="s">
        <v>2513</v>
      </c>
      <c r="H674" s="293" t="n">
        <f aca="false">IF($A674="","",CHOOSE(MATCH($I$1,{"Low","Mid","High"},0),D674,E674,F674))</f>
        <v>1299375</v>
      </c>
    </row>
    <row r="675" customFormat="false" ht="15" hidden="false" customHeight="true" outlineLevel="0" collapsed="false">
      <c r="A675" s="294" t="s">
        <v>500</v>
      </c>
      <c r="B675" s="295" t="s">
        <v>2514</v>
      </c>
      <c r="C675" s="294" t="s">
        <v>300</v>
      </c>
      <c r="D675" s="296" t="n">
        <v>606375</v>
      </c>
      <c r="E675" s="296" t="n">
        <v>866250</v>
      </c>
      <c r="F675" s="296" t="n">
        <v>1212750</v>
      </c>
      <c r="G675" s="285" t="s">
        <v>2513</v>
      </c>
      <c r="H675" s="293" t="n">
        <f aca="false">IF($A675="","",CHOOSE(MATCH($I$1,{"Low","Mid","High"},0),D675,E675,F675))</f>
        <v>606375</v>
      </c>
    </row>
    <row r="676" customFormat="false" ht="15" hidden="false" customHeight="true" outlineLevel="0" collapsed="false">
      <c r="A676" s="290" t="s">
        <v>502</v>
      </c>
      <c r="B676" s="291" t="s">
        <v>2515</v>
      </c>
      <c r="C676" s="290" t="s">
        <v>300</v>
      </c>
      <c r="D676" s="292" t="n">
        <v>259875</v>
      </c>
      <c r="E676" s="292" t="n">
        <v>371250</v>
      </c>
      <c r="F676" s="292" t="n">
        <v>519750</v>
      </c>
      <c r="G676" s="280" t="s">
        <v>2513</v>
      </c>
      <c r="H676" s="293" t="n">
        <f aca="false">IF($A676="","",CHOOSE(MATCH($I$1,{"Low","Mid","High"},0),D676,E676,F676))</f>
        <v>259875</v>
      </c>
    </row>
    <row r="677" customFormat="false" ht="15" hidden="false" customHeight="true" outlineLevel="0" collapsed="false">
      <c r="A677" s="294" t="s">
        <v>1451</v>
      </c>
      <c r="B677" s="295" t="s">
        <v>2516</v>
      </c>
      <c r="C677" s="294" t="s">
        <v>300</v>
      </c>
      <c r="D677" s="296" t="n">
        <v>1326000</v>
      </c>
      <c r="E677" s="296" t="n">
        <v>1950000</v>
      </c>
      <c r="F677" s="296" t="n">
        <v>2886000</v>
      </c>
      <c r="G677" s="285" t="s">
        <v>2517</v>
      </c>
      <c r="H677" s="293" t="n">
        <f aca="false">IF($A677="","",CHOOSE(MATCH($I$1,{"Low","Mid","High"},0),D677,E677,F677))</f>
        <v>1326000</v>
      </c>
    </row>
    <row r="678" customFormat="false" ht="15" hidden="false" customHeight="true" outlineLevel="0" collapsed="false">
      <c r="A678" s="290" t="s">
        <v>1453</v>
      </c>
      <c r="B678" s="291" t="s">
        <v>2518</v>
      </c>
      <c r="C678" s="290" t="s">
        <v>300</v>
      </c>
      <c r="D678" s="292" t="n">
        <v>448800</v>
      </c>
      <c r="E678" s="292" t="n">
        <v>660000</v>
      </c>
      <c r="F678" s="292" t="n">
        <v>976800</v>
      </c>
      <c r="G678" s="280" t="s">
        <v>2517</v>
      </c>
      <c r="H678" s="293" t="n">
        <f aca="false">IF($A678="","",CHOOSE(MATCH($I$1,{"Low","Mid","High"},0),D678,E678,F678))</f>
        <v>448800</v>
      </c>
    </row>
    <row r="679" customFormat="false" ht="15" hidden="false" customHeight="true" outlineLevel="0" collapsed="false">
      <c r="A679" s="294" t="s">
        <v>1455</v>
      </c>
      <c r="B679" s="295" t="s">
        <v>2519</v>
      </c>
      <c r="C679" s="294" t="s">
        <v>300</v>
      </c>
      <c r="D679" s="296" t="n">
        <v>265200</v>
      </c>
      <c r="E679" s="296" t="n">
        <v>390000</v>
      </c>
      <c r="F679" s="296" t="n">
        <v>577200</v>
      </c>
      <c r="G679" s="285" t="s">
        <v>2517</v>
      </c>
      <c r="H679" s="293" t="n">
        <f aca="false">IF($A679="","",CHOOSE(MATCH($I$1,{"Low","Mid","High"},0),D679,E679,F679))</f>
        <v>265200</v>
      </c>
    </row>
    <row r="680" customFormat="false" ht="15" hidden="false" customHeight="true" outlineLevel="0" collapsed="false">
      <c r="A680" s="290" t="s">
        <v>1191</v>
      </c>
      <c r="B680" s="291" t="s">
        <v>2520</v>
      </c>
      <c r="C680" s="290" t="s">
        <v>300</v>
      </c>
      <c r="D680" s="292" t="n">
        <v>1000000</v>
      </c>
      <c r="E680" s="292" t="n">
        <v>1400000</v>
      </c>
      <c r="F680" s="292" t="n">
        <v>1900000</v>
      </c>
      <c r="G680" s="280" t="s">
        <v>2521</v>
      </c>
      <c r="H680" s="293" t="n">
        <f aca="false">IF($A680="","",CHOOSE(MATCH($I$1,{"Low","Mid","High"},0),D680,E680,F680))</f>
        <v>1000000</v>
      </c>
    </row>
    <row r="681" customFormat="false" ht="15" hidden="false" customHeight="true" outlineLevel="0" collapsed="false">
      <c r="A681" s="294" t="s">
        <v>1193</v>
      </c>
      <c r="B681" s="295" t="s">
        <v>2522</v>
      </c>
      <c r="C681" s="294" t="s">
        <v>300</v>
      </c>
      <c r="D681" s="296" t="n">
        <v>600000</v>
      </c>
      <c r="E681" s="296" t="n">
        <v>840000</v>
      </c>
      <c r="F681" s="296" t="n">
        <v>1140000</v>
      </c>
      <c r="G681" s="285" t="s">
        <v>2521</v>
      </c>
      <c r="H681" s="293" t="n">
        <f aca="false">IF($A681="","",CHOOSE(MATCH($I$1,{"Low","Mid","High"},0),D681,E681,F681))</f>
        <v>600000</v>
      </c>
    </row>
    <row r="682" customFormat="false" ht="15" hidden="false" customHeight="true" outlineLevel="0" collapsed="false">
      <c r="A682" s="290" t="s">
        <v>1195</v>
      </c>
      <c r="B682" s="291" t="s">
        <v>2523</v>
      </c>
      <c r="C682" s="290" t="s">
        <v>300</v>
      </c>
      <c r="D682" s="292" t="n">
        <v>400000</v>
      </c>
      <c r="E682" s="292" t="n">
        <v>560000</v>
      </c>
      <c r="F682" s="292" t="n">
        <v>760000</v>
      </c>
      <c r="G682" s="280" t="s">
        <v>2521</v>
      </c>
      <c r="H682" s="293" t="n">
        <f aca="false">IF($A682="","",CHOOSE(MATCH($I$1,{"Low","Mid","High"},0),D682,E682,F682))</f>
        <v>400000</v>
      </c>
    </row>
    <row r="683" customFormat="false" ht="15" hidden="false" customHeight="true" outlineLevel="0" collapsed="false">
      <c r="A683" s="294" t="s">
        <v>464</v>
      </c>
      <c r="B683" s="295" t="s">
        <v>2524</v>
      </c>
      <c r="C683" s="294" t="s">
        <v>300</v>
      </c>
      <c r="D683" s="296" t="n">
        <v>1267200</v>
      </c>
      <c r="E683" s="296" t="n">
        <v>1612800</v>
      </c>
      <c r="F683" s="296" t="n">
        <v>2073600</v>
      </c>
      <c r="G683" s="285" t="s">
        <v>2525</v>
      </c>
      <c r="H683" s="293" t="n">
        <f aca="false">IF($A683="","",CHOOSE(MATCH($I$1,{"Low","Mid","High"},0),D683,E683,F683))</f>
        <v>1267200</v>
      </c>
    </row>
    <row r="684" customFormat="false" ht="15" hidden="false" customHeight="true" outlineLevel="0" collapsed="false">
      <c r="A684" s="290" t="s">
        <v>466</v>
      </c>
      <c r="B684" s="291" t="s">
        <v>2526</v>
      </c>
      <c r="C684" s="290" t="s">
        <v>300</v>
      </c>
      <c r="D684" s="292" t="n">
        <v>528000</v>
      </c>
      <c r="E684" s="292" t="n">
        <v>672000</v>
      </c>
      <c r="F684" s="292" t="n">
        <v>864000</v>
      </c>
      <c r="G684" s="280" t="s">
        <v>2525</v>
      </c>
      <c r="H684" s="293" t="n">
        <f aca="false">IF($A684="","",CHOOSE(MATCH($I$1,{"Low","Mid","High"},0),D684,E684,F684))</f>
        <v>528000</v>
      </c>
    </row>
    <row r="685" customFormat="false" ht="15" hidden="false" customHeight="true" outlineLevel="0" collapsed="false">
      <c r="A685" s="294" t="s">
        <v>468</v>
      </c>
      <c r="B685" s="295" t="s">
        <v>2527</v>
      </c>
      <c r="C685" s="294" t="s">
        <v>300</v>
      </c>
      <c r="D685" s="296" t="n">
        <v>316800</v>
      </c>
      <c r="E685" s="296" t="n">
        <v>403200</v>
      </c>
      <c r="F685" s="296" t="n">
        <v>518400</v>
      </c>
      <c r="G685" s="285" t="s">
        <v>2525</v>
      </c>
      <c r="H685" s="293" t="n">
        <f aca="false">IF($A685="","",CHOOSE(MATCH($I$1,{"Low","Mid","High"},0),D685,E685,F685))</f>
        <v>316800</v>
      </c>
    </row>
    <row r="686" customFormat="false" ht="15" hidden="false" customHeight="true" outlineLevel="0" collapsed="false">
      <c r="A686" s="290" t="s">
        <v>1259</v>
      </c>
      <c r="B686" s="291" t="s">
        <v>2528</v>
      </c>
      <c r="C686" s="290" t="s">
        <v>300</v>
      </c>
      <c r="D686" s="292" t="n">
        <v>1389150</v>
      </c>
      <c r="E686" s="292" t="n">
        <v>1984500</v>
      </c>
      <c r="F686" s="292" t="n">
        <v>2778300</v>
      </c>
      <c r="G686" s="280" t="s">
        <v>2529</v>
      </c>
      <c r="H686" s="293" t="n">
        <f aca="false">IF($A686="","",CHOOSE(MATCH($I$1,{"Low","Mid","High"},0),D686,E686,F686))</f>
        <v>1389150</v>
      </c>
    </row>
    <row r="687" customFormat="false" ht="15" hidden="false" customHeight="true" outlineLevel="0" collapsed="false">
      <c r="A687" s="294" t="s">
        <v>1261</v>
      </c>
      <c r="B687" s="295" t="s">
        <v>2530</v>
      </c>
      <c r="C687" s="294" t="s">
        <v>300</v>
      </c>
      <c r="D687" s="296" t="n">
        <v>297675</v>
      </c>
      <c r="E687" s="296" t="n">
        <v>425250</v>
      </c>
      <c r="F687" s="296" t="n">
        <v>595350</v>
      </c>
      <c r="G687" s="285" t="s">
        <v>2529</v>
      </c>
      <c r="H687" s="293" t="n">
        <f aca="false">IF($A687="","",CHOOSE(MATCH($I$1,{"Low","Mid","High"},0),D687,E687,F687))</f>
        <v>297675</v>
      </c>
    </row>
    <row r="688" customFormat="false" ht="15" hidden="false" customHeight="true" outlineLevel="0" collapsed="false">
      <c r="A688" s="290" t="s">
        <v>1263</v>
      </c>
      <c r="B688" s="291" t="s">
        <v>2531</v>
      </c>
      <c r="C688" s="290" t="s">
        <v>300</v>
      </c>
      <c r="D688" s="292" t="n">
        <v>297675</v>
      </c>
      <c r="E688" s="292" t="n">
        <v>425250</v>
      </c>
      <c r="F688" s="292" t="n">
        <v>595350</v>
      </c>
      <c r="G688" s="280" t="s">
        <v>2529</v>
      </c>
      <c r="H688" s="293" t="n">
        <f aca="false">IF($A688="","",CHOOSE(MATCH($I$1,{"Low","Mid","High"},0),D688,E688,F688))</f>
        <v>297675</v>
      </c>
    </row>
    <row r="689" customFormat="false" ht="15" hidden="false" customHeight="true" outlineLevel="0" collapsed="false">
      <c r="A689" s="294" t="s">
        <v>1201</v>
      </c>
      <c r="B689" s="295" t="s">
        <v>2532</v>
      </c>
      <c r="C689" s="294" t="s">
        <v>300</v>
      </c>
      <c r="D689" s="296" t="n">
        <v>990000</v>
      </c>
      <c r="E689" s="296" t="n">
        <v>1440000</v>
      </c>
      <c r="F689" s="296" t="n">
        <v>2025000</v>
      </c>
      <c r="G689" s="285" t="s">
        <v>2533</v>
      </c>
      <c r="H689" s="293" t="n">
        <f aca="false">IF($A689="","",CHOOSE(MATCH($I$1,{"Low","Mid","High"},0),D689,E689,F689))</f>
        <v>990000</v>
      </c>
    </row>
    <row r="690" customFormat="false" ht="15" hidden="false" customHeight="true" outlineLevel="0" collapsed="false">
      <c r="A690" s="290" t="s">
        <v>1203</v>
      </c>
      <c r="B690" s="291" t="s">
        <v>2534</v>
      </c>
      <c r="C690" s="290" t="s">
        <v>300</v>
      </c>
      <c r="D690" s="292" t="n">
        <v>495000</v>
      </c>
      <c r="E690" s="292" t="n">
        <v>720000</v>
      </c>
      <c r="F690" s="292" t="n">
        <v>1012500</v>
      </c>
      <c r="G690" s="280" t="s">
        <v>2533</v>
      </c>
      <c r="H690" s="293" t="n">
        <f aca="false">IF($A690="","",CHOOSE(MATCH($I$1,{"Low","Mid","High"},0),D690,E690,F690))</f>
        <v>495000</v>
      </c>
    </row>
    <row r="691" customFormat="false" ht="15" hidden="false" customHeight="true" outlineLevel="0" collapsed="false">
      <c r="A691" s="294" t="s">
        <v>1205</v>
      </c>
      <c r="B691" s="295" t="s">
        <v>2535</v>
      </c>
      <c r="C691" s="294" t="s">
        <v>300</v>
      </c>
      <c r="D691" s="296" t="n">
        <v>495000</v>
      </c>
      <c r="E691" s="296" t="n">
        <v>720000</v>
      </c>
      <c r="F691" s="296" t="n">
        <v>1012500</v>
      </c>
      <c r="G691" s="285" t="s">
        <v>2533</v>
      </c>
      <c r="H691" s="293" t="n">
        <f aca="false">IF($A691="","",CHOOSE(MATCH($I$1,{"Low","Mid","High"},0),D691,E691,F691))</f>
        <v>495000</v>
      </c>
    </row>
    <row r="692" customFormat="false" ht="15" hidden="false" customHeight="true" outlineLevel="0" collapsed="false">
      <c r="A692" s="290" t="s">
        <v>1129</v>
      </c>
      <c r="B692" s="291" t="s">
        <v>2536</v>
      </c>
      <c r="C692" s="290" t="s">
        <v>300</v>
      </c>
      <c r="D692" s="292" t="n">
        <v>1089000</v>
      </c>
      <c r="E692" s="292" t="n">
        <v>1633500</v>
      </c>
      <c r="F692" s="292" t="n">
        <v>2425500</v>
      </c>
      <c r="G692" s="280" t="s">
        <v>2537</v>
      </c>
      <c r="H692" s="293" t="n">
        <f aca="false">IF($A692="","",CHOOSE(MATCH($I$1,{"Low","Mid","High"},0),D692,E692,F692))</f>
        <v>1089000</v>
      </c>
    </row>
    <row r="693" customFormat="false" ht="15" hidden="false" customHeight="true" outlineLevel="0" collapsed="false">
      <c r="A693" s="294" t="s">
        <v>1131</v>
      </c>
      <c r="B693" s="295" t="s">
        <v>2538</v>
      </c>
      <c r="C693" s="294" t="s">
        <v>300</v>
      </c>
      <c r="D693" s="296" t="n">
        <v>594000</v>
      </c>
      <c r="E693" s="296" t="n">
        <v>891000</v>
      </c>
      <c r="F693" s="296" t="n">
        <v>1323000</v>
      </c>
      <c r="G693" s="285" t="s">
        <v>2537</v>
      </c>
      <c r="H693" s="293" t="n">
        <f aca="false">IF($A693="","",CHOOSE(MATCH($I$1,{"Low","Mid","High"},0),D693,E693,F693))</f>
        <v>594000</v>
      </c>
    </row>
    <row r="694" customFormat="false" ht="15" hidden="false" customHeight="true" outlineLevel="0" collapsed="false">
      <c r="A694" s="290" t="s">
        <v>1133</v>
      </c>
      <c r="B694" s="291" t="s">
        <v>2539</v>
      </c>
      <c r="C694" s="290" t="s">
        <v>300</v>
      </c>
      <c r="D694" s="292" t="n">
        <v>297000</v>
      </c>
      <c r="E694" s="292" t="n">
        <v>445500</v>
      </c>
      <c r="F694" s="292" t="n">
        <v>661500</v>
      </c>
      <c r="G694" s="280" t="s">
        <v>2537</v>
      </c>
      <c r="H694" s="293" t="n">
        <f aca="false">IF($A694="","",CHOOSE(MATCH($I$1,{"Low","Mid","High"},0),D694,E694,F694))</f>
        <v>297000</v>
      </c>
    </row>
    <row r="695" customFormat="false" ht="15" hidden="false" customHeight="true" outlineLevel="0" collapsed="false">
      <c r="A695" s="294" t="s">
        <v>578</v>
      </c>
      <c r="B695" s="295" t="s">
        <v>2540</v>
      </c>
      <c r="C695" s="294" t="s">
        <v>300</v>
      </c>
      <c r="D695" s="296" t="n">
        <v>1310400</v>
      </c>
      <c r="E695" s="296" t="n">
        <v>1872000</v>
      </c>
      <c r="F695" s="296" t="n">
        <v>2620800</v>
      </c>
      <c r="G695" s="285" t="s">
        <v>2541</v>
      </c>
      <c r="H695" s="293" t="n">
        <f aca="false">IF($A695="","",CHOOSE(MATCH($I$1,{"Low","Mid","High"},0),D695,E695,F695))</f>
        <v>1310400</v>
      </c>
    </row>
    <row r="696" customFormat="false" ht="15" hidden="false" customHeight="true" outlineLevel="0" collapsed="false">
      <c r="A696" s="290" t="s">
        <v>580</v>
      </c>
      <c r="B696" s="291" t="s">
        <v>2542</v>
      </c>
      <c r="C696" s="290" t="s">
        <v>300</v>
      </c>
      <c r="D696" s="292" t="n">
        <v>403200</v>
      </c>
      <c r="E696" s="292" t="n">
        <v>576000</v>
      </c>
      <c r="F696" s="292" t="n">
        <v>806400</v>
      </c>
      <c r="G696" s="280" t="s">
        <v>2541</v>
      </c>
      <c r="H696" s="293" t="n">
        <f aca="false">IF($A696="","",CHOOSE(MATCH($I$1,{"Low","Mid","High"},0),D696,E696,F696))</f>
        <v>403200</v>
      </c>
    </row>
    <row r="697" customFormat="false" ht="15" hidden="false" customHeight="true" outlineLevel="0" collapsed="false">
      <c r="A697" s="294" t="s">
        <v>582</v>
      </c>
      <c r="B697" s="295" t="s">
        <v>2543</v>
      </c>
      <c r="C697" s="294" t="s">
        <v>300</v>
      </c>
      <c r="D697" s="296" t="n">
        <v>302400</v>
      </c>
      <c r="E697" s="296" t="n">
        <v>432000</v>
      </c>
      <c r="F697" s="296" t="n">
        <v>604800</v>
      </c>
      <c r="G697" s="285" t="s">
        <v>2541</v>
      </c>
      <c r="H697" s="293" t="n">
        <f aca="false">IF($A697="","",CHOOSE(MATCH($I$1,{"Low","Mid","High"},0),D697,E697,F697))</f>
        <v>302400</v>
      </c>
    </row>
    <row r="698" customFormat="false" ht="15" hidden="false" customHeight="true" outlineLevel="0" collapsed="false">
      <c r="A698" s="290" t="s">
        <v>1433</v>
      </c>
      <c r="B698" s="291" t="s">
        <v>2544</v>
      </c>
      <c r="C698" s="290" t="s">
        <v>300</v>
      </c>
      <c r="D698" s="292" t="n">
        <v>1039500</v>
      </c>
      <c r="E698" s="292" t="n">
        <v>1485000</v>
      </c>
      <c r="F698" s="292" t="n">
        <v>2079000</v>
      </c>
      <c r="G698" s="280" t="s">
        <v>2545</v>
      </c>
      <c r="H698" s="293" t="n">
        <f aca="false">IF($A698="","",CHOOSE(MATCH($I$1,{"Low","Mid","High"},0),D698,E698,F698))</f>
        <v>1039500</v>
      </c>
    </row>
    <row r="699" customFormat="false" ht="15" hidden="false" customHeight="true" outlineLevel="0" collapsed="false">
      <c r="A699" s="294" t="s">
        <v>1435</v>
      </c>
      <c r="B699" s="295" t="s">
        <v>2546</v>
      </c>
      <c r="C699" s="294" t="s">
        <v>300</v>
      </c>
      <c r="D699" s="296" t="n">
        <v>472500</v>
      </c>
      <c r="E699" s="296" t="n">
        <v>675000</v>
      </c>
      <c r="F699" s="296" t="n">
        <v>945000</v>
      </c>
      <c r="G699" s="285" t="s">
        <v>2545</v>
      </c>
      <c r="H699" s="293" t="n">
        <f aca="false">IF($A699="","",CHOOSE(MATCH($I$1,{"Low","Mid","High"},0),D699,E699,F699))</f>
        <v>472500</v>
      </c>
    </row>
    <row r="700" customFormat="false" ht="15" hidden="false" customHeight="true" outlineLevel="0" collapsed="false">
      <c r="A700" s="290" t="s">
        <v>1437</v>
      </c>
      <c r="B700" s="291" t="s">
        <v>2547</v>
      </c>
      <c r="C700" s="290" t="s">
        <v>300</v>
      </c>
      <c r="D700" s="292" t="n">
        <v>378000</v>
      </c>
      <c r="E700" s="292" t="n">
        <v>540000</v>
      </c>
      <c r="F700" s="292" t="n">
        <v>756000</v>
      </c>
      <c r="G700" s="280" t="s">
        <v>2545</v>
      </c>
      <c r="H700" s="293" t="n">
        <f aca="false">IF($A700="","",CHOOSE(MATCH($I$1,{"Low","Mid","High"},0),D700,E700,F700))</f>
        <v>378000</v>
      </c>
    </row>
    <row r="701" customFormat="false" ht="15" hidden="false" customHeight="true" outlineLevel="0" collapsed="false">
      <c r="A701" s="294" t="s">
        <v>1747</v>
      </c>
      <c r="B701" s="295" t="s">
        <v>2548</v>
      </c>
      <c r="C701" s="294" t="s">
        <v>300</v>
      </c>
      <c r="D701" s="296" t="n">
        <v>1100000</v>
      </c>
      <c r="E701" s="296" t="n">
        <v>2200000</v>
      </c>
      <c r="F701" s="296" t="n">
        <v>3960000</v>
      </c>
      <c r="G701" s="285" t="s">
        <v>2549</v>
      </c>
      <c r="H701" s="293" t="n">
        <f aca="false">IF($A701="","",CHOOSE(MATCH($I$1,{"Low","Mid","High"},0),D701,E701,F701))</f>
        <v>1100000</v>
      </c>
    </row>
    <row r="702" customFormat="false" ht="15" hidden="false" customHeight="true" outlineLevel="0" collapsed="false">
      <c r="A702" s="290" t="s">
        <v>1749</v>
      </c>
      <c r="B702" s="291" t="s">
        <v>2550</v>
      </c>
      <c r="C702" s="290" t="s">
        <v>300</v>
      </c>
      <c r="D702" s="292" t="n">
        <v>600000</v>
      </c>
      <c r="E702" s="292" t="n">
        <v>1200000</v>
      </c>
      <c r="F702" s="292" t="n">
        <v>2160000</v>
      </c>
      <c r="G702" s="280" t="s">
        <v>2549</v>
      </c>
      <c r="H702" s="293" t="n">
        <f aca="false">IF($A702="","",CHOOSE(MATCH($I$1,{"Low","Mid","High"},0),D702,E702,F702))</f>
        <v>600000</v>
      </c>
    </row>
    <row r="703" customFormat="false" ht="15" hidden="false" customHeight="true" outlineLevel="0" collapsed="false">
      <c r="A703" s="294" t="s">
        <v>1751</v>
      </c>
      <c r="B703" s="295" t="s">
        <v>2551</v>
      </c>
      <c r="C703" s="294" t="s">
        <v>300</v>
      </c>
      <c r="D703" s="296" t="n">
        <v>300000</v>
      </c>
      <c r="E703" s="296" t="n">
        <v>600000</v>
      </c>
      <c r="F703" s="296" t="n">
        <v>1080000</v>
      </c>
      <c r="G703" s="285" t="s">
        <v>2549</v>
      </c>
      <c r="H703" s="293" t="n">
        <f aca="false">IF($A703="","",CHOOSE(MATCH($I$1,{"Low","Mid","High"},0),D703,E703,F703))</f>
        <v>300000</v>
      </c>
    </row>
    <row r="704" customFormat="false" ht="15" hidden="false" customHeight="true" outlineLevel="0" collapsed="false">
      <c r="A704" s="290" t="s">
        <v>362</v>
      </c>
      <c r="B704" s="291" t="s">
        <v>363</v>
      </c>
      <c r="C704" s="290" t="s">
        <v>280</v>
      </c>
      <c r="D704" s="292" t="n">
        <v>35000</v>
      </c>
      <c r="E704" s="292" t="n">
        <v>40250</v>
      </c>
      <c r="F704" s="292" t="n">
        <v>47250</v>
      </c>
      <c r="G704" s="280" t="s">
        <v>2552</v>
      </c>
      <c r="H704" s="293" t="n">
        <f aca="false">IF(OR($A704="",$A704="—"),"",CHOOSE(MATCH($I$1,{"Low","Mid","High"},0),D704,E704,F704))</f>
        <v>35000</v>
      </c>
    </row>
    <row r="705" customFormat="false" ht="15" hidden="false" customHeight="true" outlineLevel="0" collapsed="false">
      <c r="A705" s="294" t="s">
        <v>364</v>
      </c>
      <c r="B705" s="295" t="s">
        <v>365</v>
      </c>
      <c r="C705" s="294" t="s">
        <v>280</v>
      </c>
      <c r="D705" s="296" t="n">
        <v>45000</v>
      </c>
      <c r="E705" s="296" t="n">
        <v>51750</v>
      </c>
      <c r="F705" s="296" t="n">
        <v>60750</v>
      </c>
      <c r="G705" s="285" t="s">
        <v>2552</v>
      </c>
      <c r="H705" s="293" t="n">
        <f aca="false">IF(OR($A705="",$A705="—"),"",CHOOSE(MATCH($I$1,{"Low","Mid","High"},0),D705,E705,F705))</f>
        <v>45000</v>
      </c>
    </row>
    <row r="706" customFormat="false" ht="15" hidden="false" customHeight="true" outlineLevel="0" collapsed="false">
      <c r="A706" s="290" t="s">
        <v>366</v>
      </c>
      <c r="B706" s="291" t="s">
        <v>367</v>
      </c>
      <c r="C706" s="290" t="s">
        <v>280</v>
      </c>
      <c r="D706" s="292" t="n">
        <v>55000</v>
      </c>
      <c r="E706" s="292" t="n">
        <v>63250</v>
      </c>
      <c r="F706" s="292" t="n">
        <v>74250</v>
      </c>
      <c r="G706" s="280" t="s">
        <v>2552</v>
      </c>
      <c r="H706" s="293" t="n">
        <f aca="false">IF(OR($A706="",$A706="—"),"",CHOOSE(MATCH($I$1,{"Low","Mid","High"},0),D706,E706,F706))</f>
        <v>55000</v>
      </c>
    </row>
    <row r="707" customFormat="false" ht="15" hidden="false" customHeight="true" outlineLevel="0" collapsed="false">
      <c r="A707" s="294" t="s">
        <v>368</v>
      </c>
      <c r="B707" s="295" t="s">
        <v>369</v>
      </c>
      <c r="C707" s="294" t="s">
        <v>280</v>
      </c>
      <c r="D707" s="296" t="n">
        <v>75000</v>
      </c>
      <c r="E707" s="296" t="n">
        <v>86250</v>
      </c>
      <c r="F707" s="296" t="n">
        <v>101250</v>
      </c>
      <c r="G707" s="285" t="s">
        <v>2552</v>
      </c>
      <c r="H707" s="293" t="n">
        <f aca="false">IF(OR($A707="",$A707="—"),"",CHOOSE(MATCH($I$1,{"Low","Mid","High"},0),D707,E707,F707))</f>
        <v>75000</v>
      </c>
    </row>
    <row r="708" customFormat="false" ht="15" hidden="false" customHeight="true" outlineLevel="0" collapsed="false">
      <c r="A708" s="290" t="s">
        <v>372</v>
      </c>
      <c r="B708" s="291" t="s">
        <v>373</v>
      </c>
      <c r="C708" s="290" t="s">
        <v>280</v>
      </c>
      <c r="D708" s="292" t="n">
        <v>65000</v>
      </c>
      <c r="E708" s="292" t="n">
        <v>74750</v>
      </c>
      <c r="F708" s="292" t="n">
        <v>87750</v>
      </c>
      <c r="G708" s="280" t="s">
        <v>2552</v>
      </c>
      <c r="H708" s="293" t="n">
        <f aca="false">IF(OR($A708="",$A708="—"),"",CHOOSE(MATCH($I$1,{"Low","Mid","High"},0),D708,E708,F708))</f>
        <v>65000</v>
      </c>
    </row>
    <row r="709" customFormat="false" ht="15" hidden="false" customHeight="true" outlineLevel="0" collapsed="false">
      <c r="A709" s="294" t="s">
        <v>374</v>
      </c>
      <c r="B709" s="295" t="s">
        <v>375</v>
      </c>
      <c r="C709" s="294" t="s">
        <v>280</v>
      </c>
      <c r="D709" s="296" t="n">
        <v>45000</v>
      </c>
      <c r="E709" s="296" t="n">
        <v>51750</v>
      </c>
      <c r="F709" s="296" t="n">
        <v>60750</v>
      </c>
      <c r="G709" s="285" t="s">
        <v>2552</v>
      </c>
      <c r="H709" s="293" t="n">
        <f aca="false">IF(OR($A709="",$A709="—"),"",CHOOSE(MATCH($I$1,{"Low","Mid","High"},0),D709,E709,F709))</f>
        <v>45000</v>
      </c>
    </row>
    <row r="710" customFormat="false" ht="15" hidden="false" customHeight="true" outlineLevel="0" collapsed="false">
      <c r="A710" s="290" t="s">
        <v>376</v>
      </c>
      <c r="B710" s="291" t="s">
        <v>377</v>
      </c>
      <c r="C710" s="290" t="s">
        <v>280</v>
      </c>
      <c r="D710" s="292" t="n">
        <v>35000</v>
      </c>
      <c r="E710" s="292" t="n">
        <v>40250</v>
      </c>
      <c r="F710" s="292" t="n">
        <v>47250</v>
      </c>
      <c r="G710" s="280" t="s">
        <v>2552</v>
      </c>
      <c r="H710" s="293" t="n">
        <f aca="false">IF(OR($A710="",$A710="—"),"",CHOOSE(MATCH($I$1,{"Low","Mid","High"},0),D710,E710,F710))</f>
        <v>35000</v>
      </c>
    </row>
    <row r="711" customFormat="false" ht="15" hidden="false" customHeight="true" outlineLevel="0" collapsed="false">
      <c r="A711" s="294" t="s">
        <v>378</v>
      </c>
      <c r="B711" s="295" t="s">
        <v>379</v>
      </c>
      <c r="C711" s="294" t="s">
        <v>280</v>
      </c>
      <c r="D711" s="296" t="n">
        <v>25000</v>
      </c>
      <c r="E711" s="296" t="n">
        <v>28750</v>
      </c>
      <c r="F711" s="296" t="n">
        <v>33750</v>
      </c>
      <c r="G711" s="285" t="s">
        <v>2552</v>
      </c>
      <c r="H711" s="293" t="n">
        <f aca="false">IF(OR($A711="",$A711="—"),"",CHOOSE(MATCH($I$1,{"Low","Mid","High"},0),D711,E711,F711))</f>
        <v>25000</v>
      </c>
    </row>
    <row r="712" customFormat="false" ht="15" hidden="false" customHeight="true" outlineLevel="0" collapsed="false">
      <c r="A712" s="290" t="s">
        <v>380</v>
      </c>
      <c r="B712" s="291" t="s">
        <v>381</v>
      </c>
      <c r="C712" s="290" t="s">
        <v>280</v>
      </c>
      <c r="D712" s="292" t="n">
        <v>18000</v>
      </c>
      <c r="E712" s="292" t="n">
        <v>20700</v>
      </c>
      <c r="F712" s="292" t="n">
        <v>24300</v>
      </c>
      <c r="G712" s="280" t="s">
        <v>2552</v>
      </c>
      <c r="H712" s="293" t="n">
        <f aca="false">IF(OR($A712="",$A712="—"),"",CHOOSE(MATCH($I$1,{"Low","Mid","High"},0),D712,E712,F712))</f>
        <v>18000</v>
      </c>
    </row>
    <row r="713" customFormat="false" ht="15" hidden="false" customHeight="true" outlineLevel="0" collapsed="false">
      <c r="A713" s="294" t="s">
        <v>382</v>
      </c>
      <c r="B713" s="295" t="s">
        <v>383</v>
      </c>
      <c r="C713" s="294" t="s">
        <v>300</v>
      </c>
      <c r="D713" s="296" t="n">
        <v>250000</v>
      </c>
      <c r="E713" s="296" t="n">
        <v>287500</v>
      </c>
      <c r="F713" s="296" t="n">
        <v>337500</v>
      </c>
      <c r="G713" s="285" t="s">
        <v>2552</v>
      </c>
      <c r="H713" s="293" t="n">
        <f aca="false">IF(OR($A713="",$A713="—"),"",CHOOSE(MATCH($I$1,{"Low","Mid","High"},0),D713,E713,F713))</f>
        <v>250000</v>
      </c>
    </row>
    <row r="714" customFormat="false" ht="15" hidden="false" customHeight="true" outlineLevel="0" collapsed="false">
      <c r="A714" s="290" t="s">
        <v>384</v>
      </c>
      <c r="B714" s="291" t="s">
        <v>385</v>
      </c>
      <c r="C714" s="290" t="s">
        <v>280</v>
      </c>
      <c r="D714" s="292" t="n">
        <v>35000</v>
      </c>
      <c r="E714" s="292" t="n">
        <v>40250</v>
      </c>
      <c r="F714" s="292" t="n">
        <v>47250</v>
      </c>
      <c r="G714" s="280" t="s">
        <v>2552</v>
      </c>
      <c r="H714" s="293" t="n">
        <f aca="false">IF(OR($A714="",$A714="—"),"",CHOOSE(MATCH($I$1,{"Low","Mid","High"},0),D714,E714,F714))</f>
        <v>35000</v>
      </c>
    </row>
    <row r="715" customFormat="false" ht="15" hidden="false" customHeight="true" outlineLevel="0" collapsed="false">
      <c r="A715" s="294" t="s">
        <v>386</v>
      </c>
      <c r="B715" s="295" t="s">
        <v>387</v>
      </c>
      <c r="C715" s="294" t="s">
        <v>280</v>
      </c>
      <c r="D715" s="296" t="n">
        <v>25000</v>
      </c>
      <c r="E715" s="296" t="n">
        <v>28750</v>
      </c>
      <c r="F715" s="296" t="n">
        <v>33750</v>
      </c>
      <c r="G715" s="285" t="s">
        <v>2552</v>
      </c>
      <c r="H715" s="293" t="n">
        <f aca="false">IF(OR($A715="",$A715="—"),"",CHOOSE(MATCH($I$1,{"Low","Mid","High"},0),D715,E715,F715))</f>
        <v>25000</v>
      </c>
    </row>
    <row r="716" customFormat="false" ht="15" hidden="false" customHeight="true" outlineLevel="0" collapsed="false">
      <c r="A716" s="290" t="s">
        <v>282</v>
      </c>
      <c r="B716" s="291" t="s">
        <v>283</v>
      </c>
      <c r="C716" s="290" t="s">
        <v>280</v>
      </c>
      <c r="D716" s="292" t="n">
        <v>225000</v>
      </c>
      <c r="E716" s="292" t="n">
        <v>258750</v>
      </c>
      <c r="F716" s="292" t="n">
        <v>303750</v>
      </c>
      <c r="G716" s="280" t="s">
        <v>2552</v>
      </c>
      <c r="H716" s="293" t="n">
        <f aca="false">IF(OR($A716="",$A716="—"),"",CHOOSE(MATCH($I$1,{"Low","Mid","High"},0),D716,E716,F716))</f>
        <v>225000</v>
      </c>
    </row>
    <row r="717" customFormat="false" ht="15" hidden="false" customHeight="true" outlineLevel="0" collapsed="false">
      <c r="A717" s="294" t="s">
        <v>284</v>
      </c>
      <c r="B717" s="295" t="s">
        <v>285</v>
      </c>
      <c r="C717" s="294" t="s">
        <v>280</v>
      </c>
      <c r="D717" s="296" t="n">
        <v>65000</v>
      </c>
      <c r="E717" s="296" t="n">
        <v>74750</v>
      </c>
      <c r="F717" s="296" t="n">
        <v>87750</v>
      </c>
      <c r="G717" s="285" t="s">
        <v>2552</v>
      </c>
      <c r="H717" s="293" t="n">
        <f aca="false">IF(OR($A717="",$A717="—"),"",CHOOSE(MATCH($I$1,{"Low","Mid","High"},0),D717,E717,F717))</f>
        <v>65000</v>
      </c>
    </row>
    <row r="718" customFormat="false" ht="15" hidden="false" customHeight="true" outlineLevel="0" collapsed="false">
      <c r="A718" s="290" t="s">
        <v>286</v>
      </c>
      <c r="B718" s="291" t="s">
        <v>287</v>
      </c>
      <c r="C718" s="290" t="s">
        <v>280</v>
      </c>
      <c r="D718" s="292" t="n">
        <v>35000</v>
      </c>
      <c r="E718" s="292" t="n">
        <v>40250</v>
      </c>
      <c r="F718" s="292" t="n">
        <v>47250</v>
      </c>
      <c r="G718" s="280" t="s">
        <v>2552</v>
      </c>
      <c r="H718" s="293" t="n">
        <f aca="false">IF(OR($A718="",$A718="—"),"",CHOOSE(MATCH($I$1,{"Low","Mid","High"},0),D718,E718,F718))</f>
        <v>35000</v>
      </c>
    </row>
    <row r="719" customFormat="false" ht="15" hidden="false" customHeight="true" outlineLevel="0" collapsed="false">
      <c r="A719" s="294" t="s">
        <v>288</v>
      </c>
      <c r="B719" s="295" t="s">
        <v>289</v>
      </c>
      <c r="C719" s="294" t="s">
        <v>1960</v>
      </c>
      <c r="D719" s="296" t="n">
        <v>125000</v>
      </c>
      <c r="E719" s="296" t="n">
        <v>143750</v>
      </c>
      <c r="F719" s="296" t="n">
        <v>168750</v>
      </c>
      <c r="G719" s="285" t="s">
        <v>2552</v>
      </c>
      <c r="H719" s="293" t="n">
        <f aca="false">IF(OR($A719="",$A719="—"),"",CHOOSE(MATCH($I$1,{"Low","Mid","High"},0),D719,E719,F719))</f>
        <v>125000</v>
      </c>
    </row>
    <row r="720" customFormat="false" ht="15" hidden="false" customHeight="true" outlineLevel="0" collapsed="false">
      <c r="A720" s="290" t="s">
        <v>290</v>
      </c>
      <c r="B720" s="291" t="s">
        <v>291</v>
      </c>
      <c r="C720" s="290" t="s">
        <v>300</v>
      </c>
      <c r="D720" s="292" t="n">
        <v>250000</v>
      </c>
      <c r="E720" s="292" t="n">
        <v>287500</v>
      </c>
      <c r="F720" s="292" t="n">
        <v>337500</v>
      </c>
      <c r="G720" s="280" t="s">
        <v>2552</v>
      </c>
      <c r="H720" s="293" t="n">
        <f aca="false">IF(OR($A720="",$A720="—"),"",CHOOSE(MATCH($I$1,{"Low","Mid","High"},0),D720,E720,F720))</f>
        <v>250000</v>
      </c>
    </row>
    <row r="721" customFormat="false" ht="15" hidden="false" customHeight="true" outlineLevel="0" collapsed="false">
      <c r="A721" s="294" t="s">
        <v>292</v>
      </c>
      <c r="B721" s="295" t="s">
        <v>293</v>
      </c>
      <c r="C721" s="294" t="s">
        <v>280</v>
      </c>
      <c r="D721" s="296" t="n">
        <v>85000</v>
      </c>
      <c r="E721" s="296" t="n">
        <v>97750</v>
      </c>
      <c r="F721" s="296" t="n">
        <v>114750</v>
      </c>
      <c r="G721" s="285" t="s">
        <v>2552</v>
      </c>
      <c r="H721" s="293" t="n">
        <f aca="false">IF(OR($A721="",$A721="—"),"",CHOOSE(MATCH($I$1,{"Low","Mid","High"},0),D721,E721,F721))</f>
        <v>85000</v>
      </c>
    </row>
    <row r="722" customFormat="false" ht="15" hidden="false" customHeight="true" outlineLevel="0" collapsed="false">
      <c r="A722" s="290" t="s">
        <v>294</v>
      </c>
      <c r="B722" s="291" t="s">
        <v>295</v>
      </c>
      <c r="C722" s="290" t="s">
        <v>280</v>
      </c>
      <c r="D722" s="292" t="n">
        <v>175000</v>
      </c>
      <c r="E722" s="292" t="n">
        <v>201250</v>
      </c>
      <c r="F722" s="292" t="n">
        <v>236250</v>
      </c>
      <c r="G722" s="280" t="s">
        <v>2552</v>
      </c>
      <c r="H722" s="293" t="n">
        <f aca="false">IF(OR($A722="",$A722="—"),"",CHOOSE(MATCH($I$1,{"Low","Mid","High"},0),D722,E722,F722))</f>
        <v>175000</v>
      </c>
    </row>
    <row r="723" customFormat="false" ht="15" hidden="false" customHeight="true" outlineLevel="0" collapsed="false">
      <c r="A723" s="294" t="s">
        <v>301</v>
      </c>
      <c r="B723" s="295" t="s">
        <v>302</v>
      </c>
      <c r="C723" s="294" t="s">
        <v>300</v>
      </c>
      <c r="D723" s="296" t="n">
        <v>250000</v>
      </c>
      <c r="E723" s="296" t="n">
        <v>287500</v>
      </c>
      <c r="F723" s="296" t="n">
        <v>337500</v>
      </c>
      <c r="G723" s="285" t="s">
        <v>2552</v>
      </c>
      <c r="H723" s="293" t="n">
        <f aca="false">IF(OR($A723="",$A723="—"),"",CHOOSE(MATCH($I$1,{"Low","Mid","High"},0),D723,E723,F723))</f>
        <v>250000</v>
      </c>
    </row>
    <row r="724" customFormat="false" ht="15" hidden="false" customHeight="true" outlineLevel="0" collapsed="false">
      <c r="A724" s="290" t="s">
        <v>303</v>
      </c>
      <c r="B724" s="291" t="s">
        <v>304</v>
      </c>
      <c r="C724" s="290" t="s">
        <v>2055</v>
      </c>
      <c r="D724" s="292" t="n">
        <v>95000</v>
      </c>
      <c r="E724" s="292" t="n">
        <v>109250</v>
      </c>
      <c r="F724" s="292" t="n">
        <v>128250</v>
      </c>
      <c r="G724" s="280" t="s">
        <v>2552</v>
      </c>
      <c r="H724" s="293" t="n">
        <f aca="false">IF(OR($A724="",$A724="—"),"",CHOOSE(MATCH($I$1,{"Low","Mid","High"},0),D724,E724,F724))</f>
        <v>95000</v>
      </c>
    </row>
    <row r="725" customFormat="false" ht="15" hidden="false" customHeight="true" outlineLevel="0" collapsed="false">
      <c r="A725" s="294" t="s">
        <v>305</v>
      </c>
      <c r="B725" s="295" t="s">
        <v>306</v>
      </c>
      <c r="C725" s="294" t="s">
        <v>2055</v>
      </c>
      <c r="D725" s="296" t="n">
        <v>25000</v>
      </c>
      <c r="E725" s="296" t="n">
        <v>28750</v>
      </c>
      <c r="F725" s="296" t="n">
        <v>33750</v>
      </c>
      <c r="G725" s="285" t="s">
        <v>2552</v>
      </c>
      <c r="H725" s="293" t="n">
        <f aca="false">IF(OR($A725="",$A725="—"),"",CHOOSE(MATCH($I$1,{"Low","Mid","High"},0),D725,E725,F725))</f>
        <v>25000</v>
      </c>
    </row>
    <row r="726" customFormat="false" ht="15" hidden="false" customHeight="true" outlineLevel="0" collapsed="false">
      <c r="A726" s="290" t="s">
        <v>307</v>
      </c>
      <c r="B726" s="291" t="s">
        <v>308</v>
      </c>
      <c r="C726" s="290" t="s">
        <v>2055</v>
      </c>
      <c r="D726" s="292" t="n">
        <v>35000</v>
      </c>
      <c r="E726" s="292" t="n">
        <v>40250</v>
      </c>
      <c r="F726" s="292" t="n">
        <v>47250</v>
      </c>
      <c r="G726" s="280" t="s">
        <v>2552</v>
      </c>
      <c r="H726" s="293" t="n">
        <f aca="false">IF(OR($A726="",$A726="—"),"",CHOOSE(MATCH($I$1,{"Low","Mid","High"},0),D726,E726,F726))</f>
        <v>35000</v>
      </c>
    </row>
    <row r="727" customFormat="false" ht="15" hidden="false" customHeight="true" outlineLevel="0" collapsed="false">
      <c r="A727" s="294" t="s">
        <v>311</v>
      </c>
      <c r="B727" s="295" t="s">
        <v>312</v>
      </c>
      <c r="C727" s="294" t="s">
        <v>2055</v>
      </c>
      <c r="D727" s="296" t="n">
        <v>55000</v>
      </c>
      <c r="E727" s="296" t="n">
        <v>63250</v>
      </c>
      <c r="F727" s="296" t="n">
        <v>74250</v>
      </c>
      <c r="G727" s="285" t="s">
        <v>2552</v>
      </c>
      <c r="H727" s="293" t="n">
        <f aca="false">IF(OR($A727="",$A727="—"),"",CHOOSE(MATCH($I$1,{"Low","Mid","High"},0),D727,E727,F727))</f>
        <v>55000</v>
      </c>
    </row>
    <row r="728" customFormat="false" ht="15" hidden="false" customHeight="true" outlineLevel="0" collapsed="false">
      <c r="A728" s="290" t="s">
        <v>313</v>
      </c>
      <c r="B728" s="291" t="s">
        <v>314</v>
      </c>
      <c r="C728" s="290" t="s">
        <v>1923</v>
      </c>
      <c r="D728" s="292" t="n">
        <v>175</v>
      </c>
      <c r="E728" s="292" t="n">
        <v>201</v>
      </c>
      <c r="F728" s="292" t="n">
        <v>236</v>
      </c>
      <c r="G728" s="280" t="s">
        <v>2552</v>
      </c>
      <c r="H728" s="293" t="n">
        <f aca="false">IF(OR($A728="",$A728="—"),"",CHOOSE(MATCH($I$1,{"Low","Mid","High"},0),D728,E728,F728))</f>
        <v>175</v>
      </c>
    </row>
    <row r="729" customFormat="false" ht="15" hidden="false" customHeight="true" outlineLevel="0" collapsed="false">
      <c r="A729" s="294" t="s">
        <v>315</v>
      </c>
      <c r="B729" s="295" t="s">
        <v>316</v>
      </c>
      <c r="C729" s="294" t="s">
        <v>300</v>
      </c>
      <c r="D729" s="296" t="n">
        <v>350000</v>
      </c>
      <c r="E729" s="296" t="n">
        <v>402500</v>
      </c>
      <c r="F729" s="296" t="n">
        <v>472500</v>
      </c>
      <c r="G729" s="285" t="s">
        <v>2552</v>
      </c>
      <c r="H729" s="293" t="n">
        <f aca="false">IF(OR($A729="",$A729="—"),"",CHOOSE(MATCH($I$1,{"Low","Mid","High"},0),D729,E729,F729))</f>
        <v>350000</v>
      </c>
    </row>
    <row r="730" customFormat="false" ht="15" hidden="false" customHeight="true" outlineLevel="0" collapsed="false">
      <c r="A730" s="290" t="s">
        <v>1484</v>
      </c>
      <c r="B730" s="291" t="s">
        <v>1485</v>
      </c>
      <c r="C730" s="290" t="s">
        <v>1960</v>
      </c>
      <c r="D730" s="292" t="n">
        <v>185000</v>
      </c>
      <c r="E730" s="292" t="n">
        <v>212750</v>
      </c>
      <c r="F730" s="292" t="n">
        <v>249750</v>
      </c>
      <c r="G730" s="280" t="s">
        <v>2553</v>
      </c>
      <c r="H730" s="293" t="n">
        <f aca="false">IF(OR($A730="",$A730="—"),"",CHOOSE(MATCH($I$1,{"Low","Mid","High"},0),D730,E730,F730))</f>
        <v>185000</v>
      </c>
    </row>
    <row r="731" customFormat="false" ht="15" hidden="false" customHeight="true" outlineLevel="0" collapsed="false">
      <c r="A731" s="294" t="s">
        <v>1486</v>
      </c>
      <c r="B731" s="295" t="s">
        <v>1487</v>
      </c>
      <c r="C731" s="294" t="s">
        <v>280</v>
      </c>
      <c r="D731" s="296" t="n">
        <v>6500</v>
      </c>
      <c r="E731" s="296" t="n">
        <v>7475</v>
      </c>
      <c r="F731" s="296" t="n">
        <v>8775</v>
      </c>
      <c r="G731" s="285" t="s">
        <v>2553</v>
      </c>
      <c r="H731" s="293" t="n">
        <f aca="false">IF(OR($A731="",$A731="—"),"",CHOOSE(MATCH($I$1,{"Low","Mid","High"},0),D731,E731,F731))</f>
        <v>6500</v>
      </c>
    </row>
    <row r="732" customFormat="false" ht="15" hidden="false" customHeight="true" outlineLevel="0" collapsed="false">
      <c r="A732" s="290" t="s">
        <v>1488</v>
      </c>
      <c r="B732" s="291" t="s">
        <v>1489</v>
      </c>
      <c r="C732" s="290" t="s">
        <v>1923</v>
      </c>
      <c r="D732" s="292" t="n">
        <v>0.15</v>
      </c>
      <c r="E732" s="292" t="n">
        <v>0.17</v>
      </c>
      <c r="F732" s="292" t="n">
        <v>0.2</v>
      </c>
      <c r="G732" s="280" t="s">
        <v>2553</v>
      </c>
      <c r="H732" s="293" t="n">
        <f aca="false">IF(OR($A732="",$A732="—"),"",CHOOSE(MATCH($I$1,{"Low","Mid","High"},0),D732,E732,F732))</f>
        <v>0.15</v>
      </c>
    </row>
    <row r="733" customFormat="false" ht="15" hidden="false" customHeight="true" outlineLevel="0" collapsed="false">
      <c r="A733" s="294" t="s">
        <v>1490</v>
      </c>
      <c r="B733" s="295" t="s">
        <v>1491</v>
      </c>
      <c r="C733" s="294" t="s">
        <v>280</v>
      </c>
      <c r="D733" s="296" t="n">
        <v>12000</v>
      </c>
      <c r="E733" s="296" t="n">
        <v>13800</v>
      </c>
      <c r="F733" s="296" t="n">
        <v>16200</v>
      </c>
      <c r="G733" s="285" t="s">
        <v>2553</v>
      </c>
      <c r="H733" s="293" t="n">
        <f aca="false">IF(OR($A733="",$A733="—"),"",CHOOSE(MATCH($I$1,{"Low","Mid","High"},0),D733,E733,F733))</f>
        <v>12000</v>
      </c>
    </row>
    <row r="734" customFormat="false" ht="15" hidden="false" customHeight="true" outlineLevel="0" collapsed="false">
      <c r="A734" s="290" t="s">
        <v>1492</v>
      </c>
      <c r="B734" s="291" t="s">
        <v>1493</v>
      </c>
      <c r="C734" s="290" t="s">
        <v>280</v>
      </c>
      <c r="D734" s="292" t="n">
        <v>4500</v>
      </c>
      <c r="E734" s="292" t="n">
        <v>5175</v>
      </c>
      <c r="F734" s="292" t="n">
        <v>6075</v>
      </c>
      <c r="G734" s="280" t="s">
        <v>2553</v>
      </c>
      <c r="H734" s="293" t="n">
        <f aca="false">IF(OR($A734="",$A734="—"),"",CHOOSE(MATCH($I$1,{"Low","Mid","High"},0),D734,E734,F734))</f>
        <v>4500</v>
      </c>
    </row>
    <row r="735" customFormat="false" ht="15" hidden="false" customHeight="true" outlineLevel="0" collapsed="false">
      <c r="A735" s="294" t="s">
        <v>1494</v>
      </c>
      <c r="B735" s="295" t="s">
        <v>1495</v>
      </c>
      <c r="C735" s="294" t="s">
        <v>1960</v>
      </c>
      <c r="D735" s="296" t="n">
        <v>35000</v>
      </c>
      <c r="E735" s="296" t="n">
        <v>40250</v>
      </c>
      <c r="F735" s="296" t="n">
        <v>47250</v>
      </c>
      <c r="G735" s="285" t="s">
        <v>2553</v>
      </c>
      <c r="H735" s="293" t="n">
        <f aca="false">IF(OR($A735="",$A735="—"),"",CHOOSE(MATCH($I$1,{"Low","Mid","High"},0),D735,E735,F735))</f>
        <v>35000</v>
      </c>
    </row>
    <row r="736" customFormat="false" ht="15" hidden="false" customHeight="true" outlineLevel="0" collapsed="false">
      <c r="A736" s="290" t="s">
        <v>1496</v>
      </c>
      <c r="B736" s="291" t="s">
        <v>1497</v>
      </c>
      <c r="C736" s="290" t="s">
        <v>1960</v>
      </c>
      <c r="D736" s="292" t="n">
        <v>18000</v>
      </c>
      <c r="E736" s="292" t="n">
        <v>20700</v>
      </c>
      <c r="F736" s="292" t="n">
        <v>24300</v>
      </c>
      <c r="G736" s="280" t="s">
        <v>2553</v>
      </c>
      <c r="H736" s="293" t="n">
        <f aca="false">IF(OR($A736="",$A736="—"),"",CHOOSE(MATCH($I$1,{"Low","Mid","High"},0),D736,E736,F736))</f>
        <v>18000</v>
      </c>
    </row>
    <row r="737" customFormat="false" ht="15" hidden="false" customHeight="true" outlineLevel="0" collapsed="false">
      <c r="A737" s="294" t="s">
        <v>1498</v>
      </c>
      <c r="B737" s="295" t="s">
        <v>1499</v>
      </c>
      <c r="C737" s="294" t="s">
        <v>1993</v>
      </c>
      <c r="D737" s="296" t="n">
        <v>25</v>
      </c>
      <c r="E737" s="296" t="n">
        <v>28.75</v>
      </c>
      <c r="F737" s="296" t="n">
        <v>33.75</v>
      </c>
      <c r="G737" s="285" t="s">
        <v>2553</v>
      </c>
      <c r="H737" s="293" t="n">
        <f aca="false">IF(OR($A737="",$A737="—"),"",CHOOSE(MATCH($I$1,{"Low","Mid","High"},0),D737,E737,F737))</f>
        <v>25</v>
      </c>
    </row>
    <row r="738" customFormat="false" ht="15" hidden="false" customHeight="true" outlineLevel="0" collapsed="false">
      <c r="A738" s="290" t="s">
        <v>1159</v>
      </c>
      <c r="B738" s="291" t="s">
        <v>1160</v>
      </c>
      <c r="C738" s="290" t="s">
        <v>1952</v>
      </c>
      <c r="D738" s="292" t="n">
        <v>185</v>
      </c>
      <c r="E738" s="292" t="n">
        <v>212.75</v>
      </c>
      <c r="F738" s="292" t="n">
        <v>249.75</v>
      </c>
      <c r="G738" s="280" t="s">
        <v>2553</v>
      </c>
      <c r="H738" s="293" t="n">
        <f aca="false">IF(OR($A738="",$A738="—"),"",CHOOSE(MATCH($I$1,{"Low","Mid","High"},0),D738,E738,F738))</f>
        <v>185</v>
      </c>
    </row>
    <row r="739" customFormat="false" ht="15" hidden="false" customHeight="true" outlineLevel="0" collapsed="false">
      <c r="A739" s="294" t="s">
        <v>1161</v>
      </c>
      <c r="B739" s="295" t="s">
        <v>1162</v>
      </c>
      <c r="C739" s="294" t="s">
        <v>1923</v>
      </c>
      <c r="D739" s="296" t="n">
        <v>0.45</v>
      </c>
      <c r="E739" s="296" t="n">
        <v>0.52</v>
      </c>
      <c r="F739" s="296" t="n">
        <v>0.61</v>
      </c>
      <c r="G739" s="285" t="s">
        <v>2553</v>
      </c>
      <c r="H739" s="293" t="n">
        <f aca="false">IF(OR($A739="",$A739="—"),"",CHOOSE(MATCH($I$1,{"Low","Mid","High"},0),D739,E739,F739))</f>
        <v>0.45</v>
      </c>
    </row>
    <row r="740" customFormat="false" ht="15" hidden="false" customHeight="true" outlineLevel="0" collapsed="false">
      <c r="A740" s="290" t="s">
        <v>1163</v>
      </c>
      <c r="B740" s="291" t="s">
        <v>1164</v>
      </c>
      <c r="C740" s="290" t="s">
        <v>280</v>
      </c>
      <c r="D740" s="292" t="n">
        <v>4500</v>
      </c>
      <c r="E740" s="292" t="n">
        <v>5175</v>
      </c>
      <c r="F740" s="292" t="n">
        <v>6075</v>
      </c>
      <c r="G740" s="280" t="s">
        <v>2553</v>
      </c>
      <c r="H740" s="293" t="n">
        <f aca="false">IF(OR($A740="",$A740="—"),"",CHOOSE(MATCH($I$1,{"Low","Mid","High"},0),D740,E740,F740))</f>
        <v>4500</v>
      </c>
    </row>
    <row r="741" customFormat="false" ht="15" hidden="false" customHeight="true" outlineLevel="0" collapsed="false">
      <c r="A741" s="294" t="s">
        <v>1165</v>
      </c>
      <c r="B741" s="295" t="s">
        <v>1166</v>
      </c>
      <c r="C741" s="294" t="s">
        <v>1929</v>
      </c>
      <c r="D741" s="296" t="n">
        <v>22</v>
      </c>
      <c r="E741" s="296" t="n">
        <v>25.3</v>
      </c>
      <c r="F741" s="296" t="n">
        <v>29.7</v>
      </c>
      <c r="G741" s="285" t="s">
        <v>2553</v>
      </c>
      <c r="H741" s="293" t="n">
        <f aca="false">IF(OR($A741="",$A741="—"),"",CHOOSE(MATCH($I$1,{"Low","Mid","High"},0),D741,E741,F741))</f>
        <v>22</v>
      </c>
    </row>
    <row r="742" customFormat="false" ht="15" hidden="false" customHeight="true" outlineLevel="0" collapsed="false">
      <c r="A742" s="290" t="s">
        <v>1167</v>
      </c>
      <c r="B742" s="291" t="s">
        <v>1168</v>
      </c>
      <c r="C742" s="290" t="s">
        <v>280</v>
      </c>
      <c r="D742" s="292" t="n">
        <v>3500</v>
      </c>
      <c r="E742" s="292" t="n">
        <v>4025</v>
      </c>
      <c r="F742" s="292" t="n">
        <v>4725</v>
      </c>
      <c r="G742" s="280" t="s">
        <v>2553</v>
      </c>
      <c r="H742" s="293" t="n">
        <f aca="false">IF(OR($A742="",$A742="—"),"",CHOOSE(MATCH($I$1,{"Low","Mid","High"},0),D742,E742,F742))</f>
        <v>3500</v>
      </c>
    </row>
    <row r="743" customFormat="false" ht="15" hidden="false" customHeight="true" outlineLevel="0" collapsed="false">
      <c r="A743" s="294" t="s">
        <v>1586</v>
      </c>
      <c r="B743" s="295" t="s">
        <v>1587</v>
      </c>
      <c r="C743" s="294" t="s">
        <v>280</v>
      </c>
      <c r="D743" s="296" t="n">
        <v>3500</v>
      </c>
      <c r="E743" s="296" t="n">
        <v>4025</v>
      </c>
      <c r="F743" s="296" t="n">
        <v>4725</v>
      </c>
      <c r="G743" s="285" t="s">
        <v>2553</v>
      </c>
      <c r="H743" s="293" t="n">
        <f aca="false">IF(OR($A743="",$A743="—"),"",CHOOSE(MATCH($I$1,{"Low","Mid","High"},0),D743,E743,F743))</f>
        <v>3500</v>
      </c>
    </row>
    <row r="744" customFormat="false" ht="15" hidden="false" customHeight="true" outlineLevel="0" collapsed="false">
      <c r="A744" s="290" t="s">
        <v>1588</v>
      </c>
      <c r="B744" s="291" t="s">
        <v>1589</v>
      </c>
      <c r="C744" s="290" t="s">
        <v>1960</v>
      </c>
      <c r="D744" s="292" t="n">
        <v>145</v>
      </c>
      <c r="E744" s="292" t="n">
        <v>166.75</v>
      </c>
      <c r="F744" s="292" t="n">
        <v>195.75</v>
      </c>
      <c r="G744" s="280" t="s">
        <v>2553</v>
      </c>
      <c r="H744" s="293" t="n">
        <f aca="false">IF(OR($A744="",$A744="—"),"",CHOOSE(MATCH($I$1,{"Low","Mid","High"},0),D744,E744,F744))</f>
        <v>145</v>
      </c>
    </row>
    <row r="745" customFormat="false" ht="15" hidden="false" customHeight="true" outlineLevel="0" collapsed="false">
      <c r="A745" s="294" t="s">
        <v>1590</v>
      </c>
      <c r="B745" s="295" t="s">
        <v>1591</v>
      </c>
      <c r="C745" s="294" t="s">
        <v>1929</v>
      </c>
      <c r="D745" s="296" t="n">
        <v>18</v>
      </c>
      <c r="E745" s="296" t="n">
        <v>20.7</v>
      </c>
      <c r="F745" s="296" t="n">
        <v>24.3</v>
      </c>
      <c r="G745" s="285" t="s">
        <v>2553</v>
      </c>
      <c r="H745" s="293" t="n">
        <f aca="false">IF(OR($A745="",$A745="—"),"",CHOOSE(MATCH($I$1,{"Low","Mid","High"},0),D745,E745,F745))</f>
        <v>18</v>
      </c>
    </row>
    <row r="746" customFormat="false" ht="15" hidden="false" customHeight="true" outlineLevel="0" collapsed="false">
      <c r="A746" s="290" t="s">
        <v>1592</v>
      </c>
      <c r="B746" s="291" t="s">
        <v>1593</v>
      </c>
      <c r="C746" s="290" t="s">
        <v>1960</v>
      </c>
      <c r="D746" s="292" t="n">
        <v>12500</v>
      </c>
      <c r="E746" s="292" t="n">
        <v>14375</v>
      </c>
      <c r="F746" s="292" t="n">
        <v>16875</v>
      </c>
      <c r="G746" s="280" t="s">
        <v>2553</v>
      </c>
      <c r="H746" s="293" t="n">
        <f aca="false">IF(OR($A746="",$A746="—"),"",CHOOSE(MATCH($I$1,{"Low","Mid","High"},0),D746,E746,F746))</f>
        <v>12500</v>
      </c>
    </row>
    <row r="747" customFormat="false" ht="15" hidden="false" customHeight="true" outlineLevel="0" collapsed="false">
      <c r="A747" s="294" t="s">
        <v>1701</v>
      </c>
      <c r="B747" s="295" t="s">
        <v>1702</v>
      </c>
      <c r="C747" s="294" t="s">
        <v>1960</v>
      </c>
      <c r="D747" s="296" t="n">
        <v>8500</v>
      </c>
      <c r="E747" s="296" t="n">
        <v>9775</v>
      </c>
      <c r="F747" s="296" t="n">
        <v>11475</v>
      </c>
      <c r="G747" s="285" t="s">
        <v>2553</v>
      </c>
      <c r="H747" s="293" t="n">
        <f aca="false">IF(OR($A747="",$A747="—"),"",CHOOSE(MATCH($I$1,{"Low","Mid","High"},0),D747,E747,F747))</f>
        <v>8500</v>
      </c>
    </row>
    <row r="748" customFormat="false" ht="15" hidden="false" customHeight="true" outlineLevel="0" collapsed="false">
      <c r="A748" s="290" t="s">
        <v>1819</v>
      </c>
      <c r="B748" s="291" t="s">
        <v>1820</v>
      </c>
      <c r="C748" s="290" t="s">
        <v>1923</v>
      </c>
      <c r="D748" s="292" t="n">
        <v>0.35</v>
      </c>
      <c r="E748" s="292" t="n">
        <v>0.4</v>
      </c>
      <c r="F748" s="292" t="n">
        <v>0.47</v>
      </c>
      <c r="G748" s="280" t="s">
        <v>2553</v>
      </c>
      <c r="H748" s="293" t="n">
        <f aca="false">IF(OR($A748="",$A748="—"),"",CHOOSE(MATCH($I$1,{"Low","Mid","High"},0),D748,E748,F748))</f>
        <v>0.35</v>
      </c>
    </row>
    <row r="749" customFormat="false" ht="15" hidden="false" customHeight="true" outlineLevel="0" collapsed="false">
      <c r="A749" s="294" t="s">
        <v>955</v>
      </c>
      <c r="B749" s="295" t="s">
        <v>956</v>
      </c>
      <c r="C749" s="294" t="s">
        <v>1960</v>
      </c>
      <c r="D749" s="296" t="n">
        <v>4500</v>
      </c>
      <c r="E749" s="296" t="n">
        <v>5175</v>
      </c>
      <c r="F749" s="296" t="n">
        <v>6075</v>
      </c>
      <c r="G749" s="285" t="s">
        <v>2553</v>
      </c>
      <c r="H749" s="293" t="n">
        <f aca="false">IF(OR($A749="",$A749="—"),"",CHOOSE(MATCH($I$1,{"Low","Mid","High"},0),D749,E749,F749))</f>
        <v>4500</v>
      </c>
    </row>
    <row r="750" customFormat="false" ht="15" hidden="false" customHeight="true" outlineLevel="0" collapsed="false">
      <c r="A750" s="290" t="s">
        <v>752</v>
      </c>
      <c r="B750" s="291" t="s">
        <v>753</v>
      </c>
      <c r="C750" s="290" t="s">
        <v>1923</v>
      </c>
      <c r="D750" s="292" t="n">
        <v>9</v>
      </c>
      <c r="E750" s="292" t="n">
        <v>10.35</v>
      </c>
      <c r="F750" s="292" t="n">
        <v>12.15</v>
      </c>
      <c r="G750" s="280" t="s">
        <v>2553</v>
      </c>
      <c r="H750" s="293" t="n">
        <f aca="false">IF(OR($A750="",$A750="—"),"",CHOOSE(MATCH($I$1,{"Low","Mid","High"},0),D750,E750,F750))</f>
        <v>9</v>
      </c>
    </row>
    <row r="751" customFormat="false" ht="15" hidden="false" customHeight="true" outlineLevel="0" collapsed="false">
      <c r="A751" s="294" t="s">
        <v>1737</v>
      </c>
      <c r="B751" s="295" t="s">
        <v>1738</v>
      </c>
      <c r="C751" s="294" t="s">
        <v>1960</v>
      </c>
      <c r="D751" s="296" t="n">
        <v>85000</v>
      </c>
      <c r="E751" s="296" t="n">
        <v>97750</v>
      </c>
      <c r="F751" s="296" t="n">
        <v>114750</v>
      </c>
      <c r="G751" s="285" t="s">
        <v>2553</v>
      </c>
      <c r="H751" s="293" t="n">
        <f aca="false">IF(OR($A751="",$A751="—"),"",CHOOSE(MATCH($I$1,{"Low","Mid","High"},0),D751,E751,F751))</f>
        <v>85000</v>
      </c>
    </row>
    <row r="752" customFormat="false" ht="15" hidden="false" customHeight="true" outlineLevel="0" collapsed="false">
      <c r="A752" s="290" t="s">
        <v>1642</v>
      </c>
      <c r="B752" s="291" t="s">
        <v>1643</v>
      </c>
      <c r="C752" s="290" t="s">
        <v>280</v>
      </c>
      <c r="D752" s="292" t="n">
        <v>2500</v>
      </c>
      <c r="E752" s="292" t="n">
        <v>2875</v>
      </c>
      <c r="F752" s="292" t="n">
        <v>3375</v>
      </c>
      <c r="G752" s="280" t="s">
        <v>2553</v>
      </c>
      <c r="H752" s="293" t="n">
        <f aca="false">IF(OR($A752="",$A752="—"),"",CHOOSE(MATCH($I$1,{"Low","Mid","High"},0),D752,E752,F752))</f>
        <v>2500</v>
      </c>
    </row>
    <row r="753" customFormat="false" ht="15" hidden="false" customHeight="true" outlineLevel="0" collapsed="false">
      <c r="A753" s="294" t="s">
        <v>1644</v>
      </c>
      <c r="B753" s="295" t="s">
        <v>1625</v>
      </c>
      <c r="C753" s="294" t="s">
        <v>1960</v>
      </c>
      <c r="D753" s="296" t="n">
        <v>35000</v>
      </c>
      <c r="E753" s="296" t="n">
        <v>40250</v>
      </c>
      <c r="F753" s="296" t="n">
        <v>47250</v>
      </c>
      <c r="G753" s="285" t="s">
        <v>2553</v>
      </c>
      <c r="H753" s="293" t="n">
        <f aca="false">IF(OR($A753="",$A753="—"),"",CHOOSE(MATCH($I$1,{"Low","Mid","High"},0),D753,E753,F753))</f>
        <v>35000</v>
      </c>
    </row>
    <row r="754" customFormat="false" ht="15" hidden="false" customHeight="true" outlineLevel="0" collapsed="false">
      <c r="A754" s="290" t="s">
        <v>2554</v>
      </c>
      <c r="B754" s="291" t="s">
        <v>2555</v>
      </c>
      <c r="C754" s="290" t="s">
        <v>1923</v>
      </c>
      <c r="D754" s="292" t="n">
        <v>0.65</v>
      </c>
      <c r="E754" s="292" t="n">
        <v>0.75</v>
      </c>
      <c r="F754" s="292" t="n">
        <v>0.88</v>
      </c>
      <c r="G754" s="280" t="s">
        <v>2553</v>
      </c>
      <c r="H754" s="293" t="n">
        <f aca="false">IF(OR($A754="",$A754="—"),"",CHOOSE(MATCH($I$1,{"Low","Mid","High"},0),D754,E754,F754))</f>
        <v>0.65</v>
      </c>
    </row>
    <row r="755" customFormat="false" ht="15" hidden="false" customHeight="true" outlineLevel="0" collapsed="false">
      <c r="A755" s="294" t="s">
        <v>2556</v>
      </c>
      <c r="B755" s="295" t="s">
        <v>2557</v>
      </c>
      <c r="C755" s="294" t="s">
        <v>1960</v>
      </c>
      <c r="D755" s="296" t="n">
        <v>4500</v>
      </c>
      <c r="E755" s="296" t="n">
        <v>5175</v>
      </c>
      <c r="F755" s="296" t="n">
        <v>6075</v>
      </c>
      <c r="G755" s="285" t="s">
        <v>2553</v>
      </c>
      <c r="H755" s="293" t="n">
        <f aca="false">IF(OR($A755="",$A755="—"),"",CHOOSE(MATCH($I$1,{"Low","Mid","High"},0),D755,E755,F755))</f>
        <v>4500</v>
      </c>
    </row>
    <row r="756" customFormat="false" ht="15" hidden="false" customHeight="true" outlineLevel="0" collapsed="false">
      <c r="A756" s="290" t="s">
        <v>2558</v>
      </c>
      <c r="B756" s="291" t="s">
        <v>2559</v>
      </c>
      <c r="C756" s="290" t="s">
        <v>1960</v>
      </c>
      <c r="D756" s="292" t="n">
        <v>9500</v>
      </c>
      <c r="E756" s="292" t="n">
        <v>10925</v>
      </c>
      <c r="F756" s="292" t="n">
        <v>12825</v>
      </c>
      <c r="G756" s="280" t="s">
        <v>2553</v>
      </c>
      <c r="H756" s="293" t="n">
        <f aca="false">IF(OR($A756="",$A756="—"),"",CHOOSE(MATCH($I$1,{"Low","Mid","High"},0),D756,E756,F756))</f>
        <v>9500</v>
      </c>
    </row>
    <row r="757" customFormat="false" ht="15" hidden="false" customHeight="true" outlineLevel="0" collapsed="false">
      <c r="A757" s="294" t="s">
        <v>2560</v>
      </c>
      <c r="B757" s="295" t="s">
        <v>2561</v>
      </c>
      <c r="C757" s="294" t="s">
        <v>1923</v>
      </c>
      <c r="D757" s="296" t="n">
        <v>16</v>
      </c>
      <c r="E757" s="296" t="n">
        <v>18.4</v>
      </c>
      <c r="F757" s="296" t="n">
        <v>21.6</v>
      </c>
      <c r="G757" s="285" t="s">
        <v>2553</v>
      </c>
      <c r="H757" s="293" t="n">
        <f aca="false">IF(OR($A757="",$A757="—"),"",CHOOSE(MATCH($I$1,{"Low","Mid","High"},0),D757,E757,F757))</f>
        <v>16</v>
      </c>
    </row>
    <row r="758" customFormat="false" ht="15" hidden="false" customHeight="true" outlineLevel="0" collapsed="false">
      <c r="A758" s="290" t="s">
        <v>2562</v>
      </c>
      <c r="B758" s="291" t="s">
        <v>2563</v>
      </c>
      <c r="C758" s="290" t="s">
        <v>1960</v>
      </c>
      <c r="D758" s="292" t="n">
        <v>350</v>
      </c>
      <c r="E758" s="292" t="n">
        <v>402.5</v>
      </c>
      <c r="F758" s="292" t="n">
        <v>472.5</v>
      </c>
      <c r="G758" s="280" t="s">
        <v>2553</v>
      </c>
      <c r="H758" s="293" t="n">
        <f aca="false">IF(OR($A758="",$A758="—"),"",CHOOSE(MATCH($I$1,{"Low","Mid","High"},0),D758,E758,F758))</f>
        <v>350</v>
      </c>
    </row>
    <row r="759" customFormat="false" ht="15" hidden="false" customHeight="true" outlineLevel="0" collapsed="false">
      <c r="A759" s="294" t="s">
        <v>2564</v>
      </c>
      <c r="B759" s="295" t="s">
        <v>2565</v>
      </c>
      <c r="C759" s="294" t="s">
        <v>1952</v>
      </c>
      <c r="D759" s="296" t="n">
        <v>1200</v>
      </c>
      <c r="E759" s="296" t="n">
        <v>1380</v>
      </c>
      <c r="F759" s="296" t="n">
        <v>1620</v>
      </c>
      <c r="G759" s="285" t="s">
        <v>2553</v>
      </c>
      <c r="H759" s="293" t="n">
        <f aca="false">IF(OR($A759="",$A759="—"),"",CHOOSE(MATCH($I$1,{"Low","Mid","High"},0),D759,E759,F759))</f>
        <v>1200</v>
      </c>
    </row>
  </sheetData>
  <dataValidations count="1">
    <dataValidation allowBlank="true" errorStyle="stop" operator="between" showDropDown="false" showErrorMessage="true" showInputMessage="true" sqref="I1" type="list">
      <formula1>"Low,Mid,High"</formula1>
      <formula2>0</formula2>
    </dataValidation>
  </dataValidations>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I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G50" activeCellId="0" sqref="G50"/>
    </sheetView>
  </sheetViews>
  <sheetFormatPr defaultColWidth="8.57421875" defaultRowHeight="15" zeroHeight="false" outlineLevelRow="0" outlineLevelCol="0"/>
  <cols>
    <col collapsed="false" customWidth="true" hidden="false" outlineLevel="0" max="1" min="1" style="1" width="10.43"/>
    <col collapsed="false" customWidth="true" hidden="false" outlineLevel="0" max="2" min="2" style="1" width="47.57"/>
    <col collapsed="false" customWidth="true" hidden="false" outlineLevel="0" max="3" min="3" style="1" width="9.57"/>
    <col collapsed="false" customWidth="true" hidden="false" outlineLevel="0" max="5" min="4" style="1" width="17.14"/>
    <col collapsed="false" customWidth="true" hidden="false" outlineLevel="0" max="6" min="6" style="1" width="19"/>
    <col collapsed="false" customWidth="true" hidden="false" outlineLevel="0" max="7" min="7" style="1" width="12.43"/>
    <col collapsed="false" customWidth="true" hidden="false" outlineLevel="0" max="8" min="8" style="1" width="13.29"/>
    <col collapsed="false" customWidth="true" hidden="false" outlineLevel="0" max="9" min="9" style="1" width="28.57"/>
  </cols>
  <sheetData>
    <row r="1" customFormat="false" ht="30" hidden="false" customHeight="true" outlineLevel="0" collapsed="false">
      <c r="A1" s="297" t="s">
        <v>2566</v>
      </c>
      <c r="B1" s="297"/>
      <c r="C1" s="297"/>
      <c r="D1" s="297"/>
      <c r="E1" s="297"/>
      <c r="F1" s="297"/>
      <c r="G1" s="297"/>
      <c r="H1" s="297"/>
      <c r="I1" s="297"/>
    </row>
    <row r="2" customFormat="false" ht="6" hidden="false" customHeight="true" outlineLevel="0" collapsed="false"/>
    <row r="3" customFormat="false" ht="15" hidden="false" customHeight="true" outlineLevel="0" collapsed="false">
      <c r="A3" s="298" t="s">
        <v>2567</v>
      </c>
      <c r="B3" s="298"/>
      <c r="C3" s="298"/>
      <c r="D3" s="298"/>
      <c r="E3" s="298"/>
      <c r="F3" s="298"/>
      <c r="G3" s="298"/>
      <c r="H3" s="298"/>
      <c r="I3" s="298"/>
    </row>
    <row r="4" customFormat="false" ht="15" hidden="false" customHeight="true" outlineLevel="0" collapsed="false">
      <c r="A4" s="275" t="s">
        <v>266</v>
      </c>
      <c r="B4" s="275" t="s">
        <v>268</v>
      </c>
      <c r="C4" s="275" t="s">
        <v>2568</v>
      </c>
      <c r="D4" s="275" t="s">
        <v>2569</v>
      </c>
      <c r="E4" s="275" t="s">
        <v>2570</v>
      </c>
      <c r="F4" s="275" t="s">
        <v>2571</v>
      </c>
      <c r="G4" s="275" t="s">
        <v>2572</v>
      </c>
      <c r="H4" s="275" t="s">
        <v>2573</v>
      </c>
      <c r="I4" s="275" t="s">
        <v>1921</v>
      </c>
    </row>
    <row r="5" customFormat="false" ht="15" hidden="false" customHeight="true" outlineLevel="0" collapsed="false">
      <c r="A5" s="299" t="n">
        <v>1</v>
      </c>
      <c r="B5" s="299" t="s">
        <v>2574</v>
      </c>
      <c r="C5" s="299" t="n">
        <v>27</v>
      </c>
      <c r="D5" s="300" t="n">
        <v>2500000</v>
      </c>
      <c r="E5" s="301" t="n">
        <v>0</v>
      </c>
      <c r="F5" s="302" t="n">
        <f aca="false">D5-E5</f>
        <v>2500000</v>
      </c>
      <c r="G5" s="299" t="s">
        <v>2575</v>
      </c>
      <c r="H5" s="299"/>
      <c r="I5" s="299"/>
    </row>
    <row r="6" customFormat="false" ht="15" hidden="false" customHeight="true" outlineLevel="0" collapsed="false">
      <c r="A6" s="283" t="n">
        <v>2</v>
      </c>
      <c r="B6" s="283" t="s">
        <v>2576</v>
      </c>
      <c r="C6" s="283" t="n">
        <v>27</v>
      </c>
      <c r="D6" s="303" t="n">
        <v>1200000</v>
      </c>
      <c r="E6" s="304" t="n">
        <v>0</v>
      </c>
      <c r="F6" s="305" t="n">
        <f aca="false">D6-E6</f>
        <v>1200000</v>
      </c>
      <c r="G6" s="283" t="s">
        <v>2575</v>
      </c>
      <c r="H6" s="283"/>
      <c r="I6" s="283"/>
    </row>
    <row r="7" customFormat="false" ht="15" hidden="false" customHeight="true" outlineLevel="0" collapsed="false">
      <c r="A7" s="299" t="n">
        <v>3</v>
      </c>
      <c r="B7" s="299" t="s">
        <v>2577</v>
      </c>
      <c r="C7" s="299" t="n">
        <v>10</v>
      </c>
      <c r="D7" s="300" t="n">
        <v>850000</v>
      </c>
      <c r="E7" s="301" t="n">
        <v>0</v>
      </c>
      <c r="F7" s="302" t="n">
        <f aca="false">D7-E7</f>
        <v>850000</v>
      </c>
      <c r="G7" s="299" t="s">
        <v>2575</v>
      </c>
      <c r="H7" s="299"/>
      <c r="I7" s="299"/>
    </row>
    <row r="8" customFormat="false" ht="15" hidden="false" customHeight="true" outlineLevel="0" collapsed="false">
      <c r="A8" s="283" t="n">
        <v>4</v>
      </c>
      <c r="B8" s="283" t="s">
        <v>2578</v>
      </c>
      <c r="C8" s="283" t="n">
        <v>32</v>
      </c>
      <c r="D8" s="303" t="n">
        <v>350000</v>
      </c>
      <c r="E8" s="304" t="n">
        <v>0</v>
      </c>
      <c r="F8" s="305" t="n">
        <f aca="false">D8-E8</f>
        <v>350000</v>
      </c>
      <c r="G8" s="283" t="s">
        <v>2575</v>
      </c>
      <c r="H8" s="283"/>
      <c r="I8" s="283"/>
    </row>
    <row r="9" customFormat="false" ht="15" hidden="false" customHeight="true" outlineLevel="0" collapsed="false">
      <c r="A9" s="299" t="n">
        <v>5</v>
      </c>
      <c r="B9" s="299" t="s">
        <v>2579</v>
      </c>
      <c r="C9" s="299" t="n">
        <v>28</v>
      </c>
      <c r="D9" s="300" t="n">
        <v>750000</v>
      </c>
      <c r="E9" s="301" t="n">
        <v>0</v>
      </c>
      <c r="F9" s="302" t="n">
        <f aca="false">D9-E9</f>
        <v>750000</v>
      </c>
      <c r="G9" s="299" t="s">
        <v>2575</v>
      </c>
      <c r="H9" s="299"/>
      <c r="I9" s="299"/>
    </row>
    <row r="10" customFormat="false" ht="15" hidden="false" customHeight="true" outlineLevel="0" collapsed="false">
      <c r="A10" s="283" t="n">
        <v>6</v>
      </c>
      <c r="B10" s="283" t="s">
        <v>2580</v>
      </c>
      <c r="C10" s="283" t="n">
        <v>33</v>
      </c>
      <c r="D10" s="303" t="n">
        <v>425000</v>
      </c>
      <c r="E10" s="304" t="n">
        <v>0</v>
      </c>
      <c r="F10" s="305" t="n">
        <f aca="false">D10-E10</f>
        <v>425000</v>
      </c>
      <c r="G10" s="283" t="s">
        <v>2575</v>
      </c>
      <c r="H10" s="283"/>
      <c r="I10" s="283"/>
    </row>
    <row r="11" customFormat="false" ht="15" hidden="false" customHeight="true" outlineLevel="0" collapsed="false">
      <c r="A11" s="299" t="n">
        <v>7</v>
      </c>
      <c r="B11" s="299" t="s">
        <v>2581</v>
      </c>
      <c r="C11" s="299" t="n">
        <v>1</v>
      </c>
      <c r="D11" s="300" t="n">
        <v>0</v>
      </c>
      <c r="E11" s="301" t="n">
        <v>0</v>
      </c>
      <c r="F11" s="302" t="n">
        <f aca="false">D11-E11</f>
        <v>0</v>
      </c>
      <c r="G11" s="299" t="s">
        <v>2575</v>
      </c>
      <c r="H11" s="299"/>
      <c r="I11" s="299"/>
    </row>
    <row r="12" customFormat="false" ht="15" hidden="false" customHeight="true" outlineLevel="0" collapsed="false">
      <c r="A12" s="283" t="n">
        <v>8</v>
      </c>
      <c r="B12" s="283" t="s">
        <v>2582</v>
      </c>
      <c r="C12" s="283" t="n">
        <v>27</v>
      </c>
      <c r="D12" s="303" t="n">
        <v>500000</v>
      </c>
      <c r="E12" s="304" t="n">
        <v>0</v>
      </c>
      <c r="F12" s="305" t="n">
        <f aca="false">D12-E12</f>
        <v>500000</v>
      </c>
      <c r="G12" s="283" t="s">
        <v>2575</v>
      </c>
      <c r="H12" s="283"/>
      <c r="I12" s="283"/>
    </row>
    <row r="13" customFormat="false" ht="15" hidden="false" customHeight="true" outlineLevel="0" collapsed="false">
      <c r="A13" s="306" t="n">
        <v>9</v>
      </c>
      <c r="B13" s="299" t="s">
        <v>2583</v>
      </c>
      <c r="C13" s="299" t="n">
        <v>1</v>
      </c>
      <c r="D13" s="300" t="n">
        <v>1800000</v>
      </c>
      <c r="E13" s="301" t="n">
        <v>0</v>
      </c>
      <c r="F13" s="307" t="n">
        <f aca="false">D13-E13</f>
        <v>1800000</v>
      </c>
      <c r="G13" s="299" t="s">
        <v>2575</v>
      </c>
      <c r="H13" s="299"/>
      <c r="I13" s="299" t="s">
        <v>2584</v>
      </c>
    </row>
    <row r="14" customFormat="false" ht="15" hidden="false" customHeight="true" outlineLevel="0" collapsed="false">
      <c r="A14" s="295" t="n">
        <v>10</v>
      </c>
      <c r="B14" s="283" t="s">
        <v>2585</v>
      </c>
      <c r="C14" s="283" t="n">
        <v>25</v>
      </c>
      <c r="D14" s="303" t="n">
        <v>900000</v>
      </c>
      <c r="E14" s="304" t="n">
        <v>0</v>
      </c>
      <c r="F14" s="308" t="n">
        <f aca="false">D14-E14</f>
        <v>900000</v>
      </c>
      <c r="G14" s="283" t="s">
        <v>2575</v>
      </c>
      <c r="H14" s="283"/>
      <c r="I14" s="283" t="s">
        <v>2586</v>
      </c>
    </row>
    <row r="15" customFormat="false" ht="15" hidden="false" customHeight="true" outlineLevel="0" collapsed="false">
      <c r="A15" s="306" t="n">
        <v>11</v>
      </c>
      <c r="B15" s="299" t="s">
        <v>2587</v>
      </c>
      <c r="C15" s="299" t="n">
        <v>27</v>
      </c>
      <c r="D15" s="300" t="n">
        <v>1500000</v>
      </c>
      <c r="E15" s="301" t="n">
        <v>0</v>
      </c>
      <c r="F15" s="307" t="n">
        <f aca="false">D15-E15</f>
        <v>1500000</v>
      </c>
      <c r="G15" s="299" t="s">
        <v>2575</v>
      </c>
      <c r="H15" s="299"/>
      <c r="I15" s="299" t="s">
        <v>2588</v>
      </c>
    </row>
    <row r="16" customFormat="false" ht="15" hidden="false" customHeight="true" outlineLevel="0" collapsed="false">
      <c r="A16" s="295" t="n">
        <v>12</v>
      </c>
      <c r="B16" s="283" t="s">
        <v>2589</v>
      </c>
      <c r="C16" s="283" t="n">
        <v>21</v>
      </c>
      <c r="D16" s="303" t="n">
        <v>1100000</v>
      </c>
      <c r="E16" s="304" t="n">
        <v>0</v>
      </c>
      <c r="F16" s="308" t="n">
        <f aca="false">D16-E16</f>
        <v>1100000</v>
      </c>
      <c r="G16" s="283" t="s">
        <v>2575</v>
      </c>
      <c r="H16" s="283"/>
      <c r="I16" s="283" t="s">
        <v>2590</v>
      </c>
    </row>
    <row r="17" customFormat="false" ht="15" hidden="false" customHeight="true" outlineLevel="0" collapsed="false">
      <c r="A17" s="306" t="n">
        <v>13</v>
      </c>
      <c r="B17" s="299" t="s">
        <v>2591</v>
      </c>
      <c r="C17" s="299" t="n">
        <v>26</v>
      </c>
      <c r="D17" s="300" t="n">
        <v>650000</v>
      </c>
      <c r="E17" s="301" t="n">
        <v>0</v>
      </c>
      <c r="F17" s="307" t="n">
        <f aca="false">D17-E17</f>
        <v>650000</v>
      </c>
      <c r="G17" s="299" t="s">
        <v>2575</v>
      </c>
      <c r="H17" s="299"/>
      <c r="I17" s="299" t="s">
        <v>2592</v>
      </c>
    </row>
    <row r="18" customFormat="false" ht="15" hidden="false" customHeight="true" outlineLevel="0" collapsed="false">
      <c r="A18" s="295" t="n">
        <v>14</v>
      </c>
      <c r="B18" s="283" t="s">
        <v>2593</v>
      </c>
      <c r="C18" s="283" t="n">
        <v>23</v>
      </c>
      <c r="D18" s="303" t="n">
        <v>1250000</v>
      </c>
      <c r="E18" s="304" t="n">
        <v>0</v>
      </c>
      <c r="F18" s="308" t="n">
        <f aca="false">D18-E18</f>
        <v>1250000</v>
      </c>
      <c r="G18" s="283" t="s">
        <v>2575</v>
      </c>
      <c r="H18" s="283"/>
      <c r="I18" s="283" t="s">
        <v>2594</v>
      </c>
    </row>
    <row r="19" customFormat="false" ht="15" hidden="false" customHeight="true" outlineLevel="0" collapsed="false">
      <c r="A19" s="306" t="n">
        <v>15</v>
      </c>
      <c r="B19" s="299" t="s">
        <v>2595</v>
      </c>
      <c r="C19" s="299" t="n">
        <v>33</v>
      </c>
      <c r="D19" s="300" t="n">
        <v>2200000</v>
      </c>
      <c r="E19" s="301" t="n">
        <v>0</v>
      </c>
      <c r="F19" s="307" t="n">
        <f aca="false">D19-E19</f>
        <v>2200000</v>
      </c>
      <c r="G19" s="299" t="s">
        <v>2575</v>
      </c>
      <c r="H19" s="299"/>
      <c r="I19" s="299" t="s">
        <v>2596</v>
      </c>
    </row>
    <row r="20" customFormat="false" ht="15" hidden="false" customHeight="true" outlineLevel="0" collapsed="false">
      <c r="A20" s="295" t="n">
        <v>16</v>
      </c>
      <c r="B20" s="283" t="s">
        <v>2597</v>
      </c>
      <c r="C20" s="283" t="n">
        <v>10</v>
      </c>
      <c r="D20" s="303" t="n">
        <v>175000</v>
      </c>
      <c r="E20" s="304" t="n">
        <v>0</v>
      </c>
      <c r="F20" s="308" t="n">
        <f aca="false">D20-E20</f>
        <v>175000</v>
      </c>
      <c r="G20" s="283" t="s">
        <v>2575</v>
      </c>
      <c r="H20" s="283"/>
      <c r="I20" s="283" t="s">
        <v>2598</v>
      </c>
    </row>
    <row r="21" customFormat="false" ht="15" hidden="false" customHeight="true" outlineLevel="0" collapsed="false">
      <c r="A21" s="306" t="n">
        <v>17</v>
      </c>
      <c r="B21" s="299" t="s">
        <v>2599</v>
      </c>
      <c r="C21" s="299" t="n">
        <v>1</v>
      </c>
      <c r="D21" s="300" t="n">
        <v>600000</v>
      </c>
      <c r="E21" s="301" t="n">
        <v>0</v>
      </c>
      <c r="F21" s="307" t="n">
        <f aca="false">D21-E21</f>
        <v>600000</v>
      </c>
      <c r="G21" s="299" t="s">
        <v>2575</v>
      </c>
      <c r="H21" s="299"/>
      <c r="I21" s="299" t="s">
        <v>2600</v>
      </c>
    </row>
    <row r="22" customFormat="false" ht="15" hidden="false" customHeight="true" outlineLevel="0" collapsed="false">
      <c r="A22" s="295" t="n">
        <v>18</v>
      </c>
      <c r="B22" s="283" t="s">
        <v>2601</v>
      </c>
      <c r="C22" s="283" t="n">
        <v>2</v>
      </c>
      <c r="D22" s="303" t="n">
        <v>800000</v>
      </c>
      <c r="E22" s="304" t="n">
        <v>0</v>
      </c>
      <c r="F22" s="308" t="n">
        <f aca="false">D22-E22</f>
        <v>800000</v>
      </c>
      <c r="G22" s="283" t="s">
        <v>2575</v>
      </c>
      <c r="H22" s="283"/>
      <c r="I22" s="283" t="s">
        <v>2602</v>
      </c>
    </row>
    <row r="23" customFormat="false" ht="15" hidden="false" customHeight="true" outlineLevel="0" collapsed="false">
      <c r="A23" s="309"/>
      <c r="B23" s="310" t="s">
        <v>2603</v>
      </c>
      <c r="C23" s="309"/>
      <c r="D23" s="311" t="n">
        <f aca="false">SUM(D5:D22)</f>
        <v>17550000</v>
      </c>
      <c r="E23" s="312" t="n">
        <f aca="false">SUM(E5:E22)</f>
        <v>0</v>
      </c>
      <c r="F23" s="312" t="n">
        <f aca="false">SUM(F5:F22)</f>
        <v>17550000</v>
      </c>
      <c r="G23" s="309"/>
      <c r="H23" s="309"/>
      <c r="I23" s="309"/>
    </row>
    <row r="24" customFormat="false" ht="9.75" hidden="false" customHeight="true" outlineLevel="0" collapsed="false"/>
    <row r="25" customFormat="false" ht="15" hidden="false" customHeight="true" outlineLevel="0" collapsed="false">
      <c r="A25" s="298" t="s">
        <v>2604</v>
      </c>
      <c r="B25" s="298"/>
      <c r="C25" s="298"/>
      <c r="D25" s="298"/>
      <c r="E25" s="298"/>
      <c r="F25" s="298"/>
      <c r="G25" s="298"/>
      <c r="H25" s="298"/>
      <c r="I25" s="298"/>
    </row>
    <row r="26" customFormat="false" ht="15" hidden="false" customHeight="true" outlineLevel="0" collapsed="false">
      <c r="A26" s="275" t="s">
        <v>2605</v>
      </c>
      <c r="B26" s="275" t="s">
        <v>268</v>
      </c>
      <c r="C26" s="275" t="s">
        <v>2568</v>
      </c>
      <c r="D26" s="313" t="s">
        <v>2606</v>
      </c>
      <c r="E26" s="313" t="s">
        <v>2607</v>
      </c>
      <c r="F26" s="314" t="s">
        <v>2608</v>
      </c>
      <c r="G26" s="275" t="s">
        <v>2609</v>
      </c>
      <c r="H26" s="275" t="s">
        <v>2610</v>
      </c>
      <c r="I26" s="275" t="s">
        <v>1921</v>
      </c>
    </row>
    <row r="27" customFormat="false" ht="15" hidden="false" customHeight="true" outlineLevel="0" collapsed="false">
      <c r="A27" s="299" t="s">
        <v>2611</v>
      </c>
      <c r="B27" s="299" t="s">
        <v>2612</v>
      </c>
      <c r="C27" s="299" t="n">
        <v>26</v>
      </c>
      <c r="D27" s="300" t="n">
        <v>217800000</v>
      </c>
      <c r="E27" s="300" t="n">
        <v>326700000</v>
      </c>
      <c r="F27" s="315" t="n">
        <f aca="false">E27-D27</f>
        <v>108900000</v>
      </c>
      <c r="G27" s="316" t="s">
        <v>2613</v>
      </c>
      <c r="H27" s="299" t="s">
        <v>2614</v>
      </c>
      <c r="I27" s="299"/>
    </row>
    <row r="28" customFormat="false" ht="15" hidden="false" customHeight="true" outlineLevel="0" collapsed="false">
      <c r="A28" s="283" t="s">
        <v>2615</v>
      </c>
      <c r="B28" s="283" t="s">
        <v>2616</v>
      </c>
      <c r="C28" s="283" t="n">
        <v>23</v>
      </c>
      <c r="D28" s="303" t="n">
        <v>2074286</v>
      </c>
      <c r="E28" s="303" t="n">
        <v>18500000</v>
      </c>
      <c r="F28" s="317" t="n">
        <f aca="false">E28-D28</f>
        <v>16425714</v>
      </c>
      <c r="G28" s="318" t="s">
        <v>2613</v>
      </c>
      <c r="H28" s="283" t="s">
        <v>2614</v>
      </c>
      <c r="I28" s="283"/>
    </row>
    <row r="29" customFormat="false" ht="15" hidden="false" customHeight="true" outlineLevel="0" collapsed="false">
      <c r="A29" s="299" t="s">
        <v>2617</v>
      </c>
      <c r="B29" s="299" t="s">
        <v>2618</v>
      </c>
      <c r="C29" s="299" t="n">
        <v>23</v>
      </c>
      <c r="D29" s="300" t="n">
        <v>0</v>
      </c>
      <c r="E29" s="300" t="n">
        <v>8500000</v>
      </c>
      <c r="F29" s="315" t="n">
        <f aca="false">E29-D29</f>
        <v>8500000</v>
      </c>
      <c r="G29" s="316" t="s">
        <v>2613</v>
      </c>
      <c r="H29" s="299" t="s">
        <v>2619</v>
      </c>
      <c r="I29" s="299"/>
    </row>
    <row r="30" customFormat="false" ht="15" hidden="false" customHeight="true" outlineLevel="0" collapsed="false">
      <c r="A30" s="283" t="s">
        <v>2620</v>
      </c>
      <c r="B30" s="283" t="s">
        <v>2621</v>
      </c>
      <c r="C30" s="283" t="n">
        <v>26</v>
      </c>
      <c r="D30" s="303" t="n">
        <v>0</v>
      </c>
      <c r="E30" s="303" t="n">
        <v>12000000</v>
      </c>
      <c r="F30" s="317" t="n">
        <f aca="false">E30-D30</f>
        <v>12000000</v>
      </c>
      <c r="G30" s="318" t="s">
        <v>2613</v>
      </c>
      <c r="H30" s="283" t="s">
        <v>2622</v>
      </c>
      <c r="I30" s="283"/>
    </row>
    <row r="31" customFormat="false" ht="15" hidden="false" customHeight="true" outlineLevel="0" collapsed="false">
      <c r="A31" s="299" t="s">
        <v>2623</v>
      </c>
      <c r="B31" s="299" t="s">
        <v>2624</v>
      </c>
      <c r="C31" s="299" t="n">
        <v>26</v>
      </c>
      <c r="D31" s="300" t="n">
        <v>9199228</v>
      </c>
      <c r="E31" s="300" t="n">
        <v>15800000</v>
      </c>
      <c r="F31" s="315" t="n">
        <f aca="false">E31-D31</f>
        <v>6600772</v>
      </c>
      <c r="G31" s="316" t="s">
        <v>2613</v>
      </c>
      <c r="H31" s="299" t="s">
        <v>2619</v>
      </c>
      <c r="I31" s="299"/>
    </row>
    <row r="32" customFormat="false" ht="15" hidden="false" customHeight="true" outlineLevel="0" collapsed="false">
      <c r="A32" s="283" t="s">
        <v>2625</v>
      </c>
      <c r="B32" s="283" t="s">
        <v>2626</v>
      </c>
      <c r="C32" s="283" t="n">
        <v>26</v>
      </c>
      <c r="D32" s="303" t="n">
        <v>6222857</v>
      </c>
      <c r="E32" s="303" t="n">
        <v>4200000</v>
      </c>
      <c r="F32" s="317" t="n">
        <f aca="false">E32-D32</f>
        <v>-2022857</v>
      </c>
      <c r="G32" s="318" t="s">
        <v>2613</v>
      </c>
      <c r="H32" s="283" t="s">
        <v>2622</v>
      </c>
      <c r="I32" s="283"/>
    </row>
    <row r="33" customFormat="false" ht="15" hidden="false" customHeight="true" outlineLevel="0" collapsed="false">
      <c r="A33" s="299" t="s">
        <v>2627</v>
      </c>
      <c r="B33" s="299" t="s">
        <v>2628</v>
      </c>
      <c r="C33" s="299" t="n">
        <v>23</v>
      </c>
      <c r="D33" s="300" t="n">
        <v>16830000</v>
      </c>
      <c r="E33" s="300" t="n">
        <v>21500000</v>
      </c>
      <c r="F33" s="315" t="n">
        <f aca="false">E33-D33</f>
        <v>4670000</v>
      </c>
      <c r="G33" s="316" t="s">
        <v>2613</v>
      </c>
      <c r="H33" s="299" t="s">
        <v>2622</v>
      </c>
      <c r="I33" s="299"/>
    </row>
    <row r="34" customFormat="false" ht="15" hidden="false" customHeight="true" outlineLevel="0" collapsed="false">
      <c r="A34" s="283" t="s">
        <v>2629</v>
      </c>
      <c r="B34" s="283" t="s">
        <v>2630</v>
      </c>
      <c r="C34" s="283" t="n">
        <v>28</v>
      </c>
      <c r="D34" s="303" t="n">
        <v>12588417</v>
      </c>
      <c r="E34" s="303" t="n">
        <v>14200000</v>
      </c>
      <c r="F34" s="317" t="n">
        <f aca="false">E34-D34</f>
        <v>1611583</v>
      </c>
      <c r="G34" s="318" t="s">
        <v>2613</v>
      </c>
      <c r="H34" s="283" t="s">
        <v>2622</v>
      </c>
      <c r="I34" s="283"/>
    </row>
    <row r="35" customFormat="false" ht="15" hidden="false" customHeight="true" outlineLevel="0" collapsed="false">
      <c r="A35" s="299" t="s">
        <v>2631</v>
      </c>
      <c r="B35" s="299" t="s">
        <v>2632</v>
      </c>
      <c r="C35" s="299" t="n">
        <v>26</v>
      </c>
      <c r="D35" s="300" t="n">
        <v>7882286</v>
      </c>
      <c r="E35" s="300" t="n">
        <v>12500000</v>
      </c>
      <c r="F35" s="315" t="n">
        <f aca="false">E35-D35</f>
        <v>4617714</v>
      </c>
      <c r="G35" s="316" t="s">
        <v>2613</v>
      </c>
      <c r="H35" s="299" t="s">
        <v>2622</v>
      </c>
      <c r="I35" s="299"/>
    </row>
    <row r="36" customFormat="false" ht="15" hidden="false" customHeight="true" outlineLevel="0" collapsed="false">
      <c r="A36" s="283" t="s">
        <v>2633</v>
      </c>
      <c r="B36" s="283" t="s">
        <v>2634</v>
      </c>
      <c r="C36" s="283" t="n">
        <v>23</v>
      </c>
      <c r="D36" s="303" t="n">
        <v>990000000</v>
      </c>
      <c r="E36" s="303" t="n">
        <v>880000000</v>
      </c>
      <c r="F36" s="317" t="n">
        <f aca="false">E36-D36</f>
        <v>-110000000</v>
      </c>
      <c r="G36" s="318" t="s">
        <v>2613</v>
      </c>
      <c r="H36" s="283" t="s">
        <v>2622</v>
      </c>
      <c r="I36" s="283"/>
    </row>
    <row r="37" customFormat="false" ht="15" hidden="false" customHeight="true" outlineLevel="0" collapsed="false">
      <c r="A37" s="299" t="s">
        <v>2635</v>
      </c>
      <c r="B37" s="299" t="s">
        <v>2636</v>
      </c>
      <c r="C37" s="299" t="s">
        <v>2637</v>
      </c>
      <c r="D37" s="300" t="n">
        <v>475200</v>
      </c>
      <c r="E37" s="300" t="n">
        <v>1850000</v>
      </c>
      <c r="F37" s="315" t="n">
        <f aca="false">E37-D37</f>
        <v>1374800</v>
      </c>
      <c r="G37" s="316" t="s">
        <v>2613</v>
      </c>
      <c r="H37" s="299" t="s">
        <v>2638</v>
      </c>
      <c r="I37" s="299"/>
    </row>
    <row r="38" customFormat="false" ht="15" hidden="false" customHeight="true" outlineLevel="0" collapsed="false">
      <c r="A38" s="283" t="s">
        <v>2639</v>
      </c>
      <c r="B38" s="283" t="s">
        <v>2640</v>
      </c>
      <c r="C38" s="283" t="n">
        <v>27</v>
      </c>
      <c r="D38" s="304" t="n">
        <v>0</v>
      </c>
      <c r="E38" s="304" t="n">
        <v>0</v>
      </c>
      <c r="F38" s="305" t="n">
        <f aca="false">E38-D38</f>
        <v>0</v>
      </c>
      <c r="G38" s="318" t="s">
        <v>2613</v>
      </c>
      <c r="H38" s="283" t="s">
        <v>2622</v>
      </c>
      <c r="I38" s="283"/>
    </row>
    <row r="39" customFormat="false" ht="15" hidden="false" customHeight="true" outlineLevel="0" collapsed="false">
      <c r="A39" s="309"/>
      <c r="B39" s="310" t="s">
        <v>2641</v>
      </c>
      <c r="C39" s="309"/>
      <c r="D39" s="319"/>
      <c r="E39" s="319"/>
      <c r="F39" s="320" t="n">
        <f aca="false">SUMIF(G27:G38,"Yes",F27:F38)</f>
        <v>0</v>
      </c>
      <c r="G39" s="309"/>
      <c r="H39" s="309"/>
      <c r="I39" s="309"/>
    </row>
    <row r="41" customFormat="false" ht="6" hidden="false" customHeight="true" outlineLevel="0" collapsed="false"/>
    <row r="42" customFormat="false" ht="15" hidden="false" customHeight="true" outlineLevel="0" collapsed="false">
      <c r="A42" s="321" t="s">
        <v>2642</v>
      </c>
      <c r="B42" s="321"/>
      <c r="C42" s="321"/>
      <c r="D42" s="321"/>
      <c r="E42" s="321"/>
      <c r="F42" s="321"/>
      <c r="G42" s="321"/>
      <c r="H42" s="321"/>
      <c r="I42" s="321"/>
    </row>
    <row r="44" customFormat="false" ht="15" hidden="false" customHeight="true" outlineLevel="0" collapsed="false">
      <c r="B44" s="163" t="s">
        <v>2643</v>
      </c>
      <c r="F44" s="322" t="n">
        <f aca="false">D23</f>
        <v>17550000</v>
      </c>
    </row>
    <row r="45" customFormat="false" ht="15" hidden="false" customHeight="true" outlineLevel="0" collapsed="false">
      <c r="B45" s="163" t="s">
        <v>2644</v>
      </c>
      <c r="E45" s="323"/>
      <c r="F45" s="322" t="n">
        <f aca="false">F39</f>
        <v>0</v>
      </c>
    </row>
    <row r="46" customFormat="false" ht="15" hidden="false" customHeight="true" outlineLevel="0" collapsed="false">
      <c r="B46" s="163" t="s">
        <v>2645</v>
      </c>
      <c r="F46" s="322" t="n">
        <f aca="false">F44+F45</f>
        <v>17550000</v>
      </c>
    </row>
    <row r="47" customFormat="false" ht="15" hidden="false" customHeight="true" outlineLevel="0" collapsed="false">
      <c r="E47" s="323"/>
    </row>
    <row r="48" customFormat="false" ht="6" hidden="false" customHeight="true" outlineLevel="0" collapsed="false"/>
    <row r="49" customFormat="false" ht="15" hidden="false" customHeight="true" outlineLevel="0" collapsed="false">
      <c r="A49" s="202"/>
      <c r="B49" s="202"/>
      <c r="C49" s="202"/>
      <c r="D49" s="202"/>
      <c r="E49" s="202"/>
      <c r="F49" s="202"/>
      <c r="G49" s="202"/>
      <c r="H49" s="202"/>
      <c r="I49" s="202"/>
    </row>
    <row r="50" customFormat="false" ht="15.75" hidden="false" customHeight="true" outlineLevel="0" collapsed="false">
      <c r="B50" s="163" t="s">
        <v>2646</v>
      </c>
      <c r="G50" s="324" t="n">
        <f aca="false">F39</f>
        <v>0</v>
      </c>
    </row>
  </sheetData>
  <mergeCells count="4">
    <mergeCell ref="A1:I1"/>
    <mergeCell ref="A3:I3"/>
    <mergeCell ref="A25:I25"/>
    <mergeCell ref="A42:I42"/>
  </mergeCells>
  <dataValidations count="2">
    <dataValidation allowBlank="true" errorStyle="stop" operator="between" showDropDown="false" showErrorMessage="true" showInputMessage="true" sqref="G27:G38" type="list">
      <formula1>"Yes,No,Pending"</formula1>
      <formula2>0</formula2>
    </dataValidation>
    <dataValidation allowBlank="true" errorStyle="stop" operator="between" showDropDown="false" showErrorMessage="true" showInputMessage="true" sqref="G5:G22" type="list">
      <formula1>"Pending,Active,Used,Released"</formula1>
      <formula2>0</formula2>
    </dataValidation>
  </dataValidations>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H2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41" activeCellId="0" sqref="D41"/>
    </sheetView>
  </sheetViews>
  <sheetFormatPr defaultColWidth="8.57421875" defaultRowHeight="15" zeroHeight="false" outlineLevelRow="0" outlineLevelCol="0"/>
  <cols>
    <col collapsed="false" customWidth="true" hidden="false" outlineLevel="0" max="1" min="1" style="1" width="34.29"/>
    <col collapsed="false" customWidth="true" hidden="false" outlineLevel="0" max="2" min="2" style="1" width="30.43"/>
    <col collapsed="false" customWidth="true" hidden="false" outlineLevel="0" max="3" min="3" style="1" width="21"/>
    <col collapsed="false" customWidth="true" hidden="false" outlineLevel="0" max="4" min="4" style="1" width="22.86"/>
    <col collapsed="false" customWidth="true" hidden="false" outlineLevel="0" max="5" min="5" style="1" width="38.71"/>
  </cols>
  <sheetData>
    <row r="1" customFormat="false" ht="18.75" hidden="false" customHeight="true" outlineLevel="0" collapsed="false">
      <c r="A1" s="297" t="s">
        <v>2647</v>
      </c>
      <c r="B1" s="297"/>
      <c r="C1" s="297"/>
      <c r="D1" s="297"/>
      <c r="E1" s="297"/>
      <c r="F1" s="297"/>
      <c r="G1" s="297"/>
      <c r="H1" s="297"/>
    </row>
    <row r="3" customFormat="false" ht="15.75" hidden="false" customHeight="true" outlineLevel="0" collapsed="false">
      <c r="A3" s="325" t="s">
        <v>2648</v>
      </c>
      <c r="B3" s="326" t="s">
        <v>2649</v>
      </c>
    </row>
    <row r="4" customFormat="false" ht="15" hidden="false" customHeight="true" outlineLevel="0" collapsed="false">
      <c r="A4" s="163" t="s">
        <v>2650</v>
      </c>
      <c r="B4" s="118" t="s">
        <v>2651</v>
      </c>
    </row>
    <row r="6" customFormat="false" ht="18.75" hidden="false" customHeight="true" outlineLevel="0" collapsed="false">
      <c r="A6" s="325" t="s">
        <v>2652</v>
      </c>
      <c r="B6" s="327" t="n">
        <f aca="false">IFERROR(VLOOKUP(B3,A$31:C$204,3,FALSE()),1)</f>
        <v>1</v>
      </c>
    </row>
    <row r="7" customFormat="false" ht="15" hidden="false" customHeight="true" outlineLevel="0" collapsed="false">
      <c r="A7" s="163" t="s">
        <v>2653</v>
      </c>
      <c r="B7" s="1" t="str">
        <f aca="false">IFERROR(VLOOKUP(B3,$A$31:$E$204,2,FALSE())&amp;"  ·  "&amp;VLOOKUP(B3,$A$31:$E$204,5,FALSE()),"")</f>
        <v>North America  ·  United States</v>
      </c>
    </row>
    <row r="8" customFormat="false" ht="15" hidden="false" customHeight="true" outlineLevel="0" collapsed="false">
      <c r="A8" s="328" t="s">
        <v>2654</v>
      </c>
      <c r="B8" s="328"/>
      <c r="C8" s="328"/>
      <c r="D8" s="328"/>
      <c r="E8" s="328"/>
      <c r="F8" s="328"/>
    </row>
    <row r="9" customFormat="false" ht="15" hidden="false" customHeight="true" outlineLevel="0" collapsed="false">
      <c r="A9" s="329" t="s">
        <v>2655</v>
      </c>
      <c r="B9" s="329" t="s">
        <v>2656</v>
      </c>
      <c r="C9" s="329" t="s">
        <v>2657</v>
      </c>
      <c r="D9" s="329" t="s">
        <v>2658</v>
      </c>
      <c r="E9" s="329" t="s">
        <v>1921</v>
      </c>
    </row>
    <row r="10" customFormat="false" ht="15" hidden="false" customHeight="true" outlineLevel="0" collapsed="false">
      <c r="A10" s="1" t="s">
        <v>2659</v>
      </c>
      <c r="B10" s="330" t="n">
        <f aca="false">$B$6</f>
        <v>1</v>
      </c>
      <c r="C10" s="331" t="n">
        <v>0</v>
      </c>
      <c r="D10" s="332" t="n">
        <f aca="false">B10*(1+C10)</f>
        <v>1</v>
      </c>
      <c r="E10" s="333" t="s">
        <v>2660</v>
      </c>
    </row>
    <row r="11" customFormat="false" ht="15" hidden="false" customHeight="true" outlineLevel="0" collapsed="false">
      <c r="A11" s="260" t="s">
        <v>2661</v>
      </c>
      <c r="B11" s="334" t="n">
        <f aca="false">$B$6</f>
        <v>1</v>
      </c>
      <c r="C11" s="335" t="n">
        <v>0</v>
      </c>
      <c r="D11" s="336" t="n">
        <f aca="false">B11*(1+C11)</f>
        <v>1</v>
      </c>
      <c r="E11" s="285" t="s">
        <v>2662</v>
      </c>
    </row>
    <row r="12" customFormat="false" ht="15" hidden="false" customHeight="true" outlineLevel="0" collapsed="false">
      <c r="A12" s="1" t="s">
        <v>2663</v>
      </c>
      <c r="B12" s="330" t="n">
        <f aca="false">$B$6</f>
        <v>1</v>
      </c>
      <c r="C12" s="331" t="n">
        <v>0.02</v>
      </c>
      <c r="D12" s="332" t="n">
        <f aca="false">B12*(1+C12)</f>
        <v>1.02</v>
      </c>
      <c r="E12" s="333" t="s">
        <v>2664</v>
      </c>
    </row>
    <row r="13" customFormat="false" ht="15" hidden="false" customHeight="true" outlineLevel="0" collapsed="false">
      <c r="A13" s="260" t="s">
        <v>2665</v>
      </c>
      <c r="B13" s="334" t="n">
        <f aca="false">$B$6</f>
        <v>1</v>
      </c>
      <c r="C13" s="335" t="n">
        <v>0</v>
      </c>
      <c r="D13" s="336" t="n">
        <f aca="false">B13*(1+C13)</f>
        <v>1</v>
      </c>
      <c r="E13" s="285" t="s">
        <v>2666</v>
      </c>
    </row>
    <row r="14" customFormat="false" ht="15" hidden="false" customHeight="true" outlineLevel="0" collapsed="false">
      <c r="A14" s="1" t="s">
        <v>2667</v>
      </c>
      <c r="B14" s="330" t="n">
        <f aca="false">$B$6</f>
        <v>1</v>
      </c>
      <c r="C14" s="331" t="n">
        <v>0</v>
      </c>
      <c r="D14" s="332" t="n">
        <f aca="false">B14*(1+C14)</f>
        <v>1</v>
      </c>
      <c r="E14" s="333" t="s">
        <v>2668</v>
      </c>
    </row>
    <row r="15" customFormat="false" ht="15" hidden="false" customHeight="true" outlineLevel="0" collapsed="false">
      <c r="A15" s="260" t="s">
        <v>2669</v>
      </c>
      <c r="B15" s="334" t="n">
        <f aca="false">$B$6</f>
        <v>1</v>
      </c>
      <c r="C15" s="335" t="n">
        <v>0.03</v>
      </c>
      <c r="D15" s="336" t="n">
        <f aca="false">B15*(1+C15)</f>
        <v>1.03</v>
      </c>
      <c r="E15" s="285" t="s">
        <v>2670</v>
      </c>
    </row>
    <row r="16" customFormat="false" ht="15" hidden="false" customHeight="true" outlineLevel="0" collapsed="false">
      <c r="A16" s="1" t="s">
        <v>2671</v>
      </c>
      <c r="B16" s="330" t="n">
        <f aca="false">$B$6</f>
        <v>1</v>
      </c>
      <c r="C16" s="331" t="n">
        <v>0.05</v>
      </c>
      <c r="D16" s="332" t="n">
        <f aca="false">B16*(1+C16)</f>
        <v>1.05</v>
      </c>
      <c r="E16" s="333" t="s">
        <v>2672</v>
      </c>
    </row>
    <row r="17" customFormat="false" ht="15" hidden="false" customHeight="true" outlineLevel="0" collapsed="false">
      <c r="A17" s="260" t="s">
        <v>2673</v>
      </c>
      <c r="B17" s="334" t="n">
        <f aca="false">$B$6</f>
        <v>1</v>
      </c>
      <c r="C17" s="335" t="n">
        <v>0.06</v>
      </c>
      <c r="D17" s="336" t="n">
        <f aca="false">B17*(1+C17)</f>
        <v>1.06</v>
      </c>
      <c r="E17" s="285" t="s">
        <v>2674</v>
      </c>
    </row>
    <row r="18" customFormat="false" ht="15" hidden="false" customHeight="true" outlineLevel="0" collapsed="false">
      <c r="A18" s="1" t="s">
        <v>2675</v>
      </c>
      <c r="B18" s="330" t="n">
        <f aca="false">$B$6</f>
        <v>1</v>
      </c>
      <c r="C18" s="331" t="n">
        <v>0</v>
      </c>
      <c r="D18" s="332" t="n">
        <f aca="false">B18*(1+C18)</f>
        <v>1</v>
      </c>
      <c r="E18" s="333" t="s">
        <v>2676</v>
      </c>
    </row>
    <row r="19" customFormat="false" ht="15" hidden="false" customHeight="true" outlineLevel="0" collapsed="false">
      <c r="A19" s="260" t="s">
        <v>2677</v>
      </c>
      <c r="B19" s="334" t="n">
        <f aca="false">$B$6</f>
        <v>1</v>
      </c>
      <c r="C19" s="335" t="n">
        <v>0</v>
      </c>
      <c r="D19" s="336" t="n">
        <f aca="false">B19*(1+C19)</f>
        <v>1</v>
      </c>
      <c r="E19" s="285" t="s">
        <v>2678</v>
      </c>
    </row>
    <row r="20" customFormat="false" ht="15" hidden="false" customHeight="true" outlineLevel="0" collapsed="false">
      <c r="A20" s="1" t="s">
        <v>2679</v>
      </c>
      <c r="B20" s="330" t="n">
        <f aca="false">$B$6</f>
        <v>1</v>
      </c>
      <c r="C20" s="331" t="n">
        <v>0.05</v>
      </c>
      <c r="D20" s="332" t="n">
        <f aca="false">B20*(1+C20)</f>
        <v>1.05</v>
      </c>
      <c r="E20" s="333" t="s">
        <v>2680</v>
      </c>
    </row>
    <row r="21" customFormat="false" ht="15" hidden="false" customHeight="true" outlineLevel="0" collapsed="false">
      <c r="A21" s="260" t="s">
        <v>2681</v>
      </c>
      <c r="B21" s="334" t="n">
        <f aca="false">$B$6</f>
        <v>1</v>
      </c>
      <c r="C21" s="335" t="n">
        <v>0.08</v>
      </c>
      <c r="D21" s="336" t="n">
        <f aca="false">B21*(1+C21)</f>
        <v>1.08</v>
      </c>
      <c r="E21" s="285" t="s">
        <v>2682</v>
      </c>
    </row>
    <row r="22" customFormat="false" ht="15" hidden="false" customHeight="true" outlineLevel="0" collapsed="false">
      <c r="A22" s="260" t="s">
        <v>2683</v>
      </c>
      <c r="B22" s="334" t="n">
        <f aca="false">$B$6</f>
        <v>1</v>
      </c>
      <c r="C22" s="337" t="n">
        <v>0</v>
      </c>
      <c r="D22" s="336" t="n">
        <f aca="false">B22*(1+C22)</f>
        <v>1</v>
      </c>
      <c r="E22" s="285" t="s">
        <v>2684</v>
      </c>
    </row>
    <row r="23" customFormat="false" ht="15" hidden="false" customHeight="true" outlineLevel="0" collapsed="false">
      <c r="A23" s="260" t="s">
        <v>2685</v>
      </c>
      <c r="B23" s="334" t="n">
        <f aca="false">$B$6</f>
        <v>1</v>
      </c>
      <c r="C23" s="337" t="n">
        <v>0</v>
      </c>
      <c r="D23" s="336" t="n">
        <f aca="false">B23*(1+C23)</f>
        <v>1</v>
      </c>
      <c r="E23" s="285" t="s">
        <v>2686</v>
      </c>
    </row>
    <row r="24" customFormat="false" ht="15" hidden="false" customHeight="true" outlineLevel="0" collapsed="false">
      <c r="A24" s="260" t="s">
        <v>2687</v>
      </c>
      <c r="B24" s="334" t="n">
        <f aca="false">$B$6</f>
        <v>1</v>
      </c>
      <c r="C24" s="337" t="n">
        <v>0</v>
      </c>
      <c r="D24" s="336" t="n">
        <f aca="false">B24*(1+C24)</f>
        <v>1</v>
      </c>
      <c r="E24" s="285" t="s">
        <v>2688</v>
      </c>
    </row>
    <row r="25" customFormat="false" ht="15" hidden="false" customHeight="true" outlineLevel="0" collapsed="false">
      <c r="A25" s="1" t="s">
        <v>2689</v>
      </c>
      <c r="B25" s="330" t="n">
        <f aca="false">$B$6</f>
        <v>1</v>
      </c>
      <c r="C25" s="331" t="n">
        <v>0</v>
      </c>
      <c r="D25" s="332" t="n">
        <f aca="false">B25*(1+C25)</f>
        <v>1</v>
      </c>
      <c r="E25" s="333" t="s">
        <v>2690</v>
      </c>
    </row>
    <row r="26" customFormat="false" ht="15" hidden="false" customHeight="true" outlineLevel="0" collapsed="false">
      <c r="A26" s="260" t="s">
        <v>2691</v>
      </c>
      <c r="B26" s="334" t="n">
        <f aca="false">$B$6</f>
        <v>1</v>
      </c>
      <c r="C26" s="335" t="n">
        <v>-0.02</v>
      </c>
      <c r="D26" s="336" t="n">
        <f aca="false">B26*(1+C26)</f>
        <v>0.98</v>
      </c>
      <c r="E26" s="285" t="s">
        <v>2692</v>
      </c>
    </row>
    <row r="29" customFormat="false" ht="15" hidden="false" customHeight="true" outlineLevel="0" collapsed="false">
      <c r="A29" s="328" t="s">
        <v>2693</v>
      </c>
      <c r="B29" s="328"/>
      <c r="C29" s="328"/>
    </row>
    <row r="30" customFormat="false" ht="15" hidden="false" customHeight="true" outlineLevel="0" collapsed="false">
      <c r="A30" s="338" t="s">
        <v>2694</v>
      </c>
      <c r="B30" s="338" t="s">
        <v>2695</v>
      </c>
      <c r="C30" s="338" t="s">
        <v>193</v>
      </c>
      <c r="D30" s="338" t="s">
        <v>2696</v>
      </c>
      <c r="E30" s="338" t="s">
        <v>2697</v>
      </c>
    </row>
    <row r="31" customFormat="false" ht="15" hidden="false" customHeight="true" outlineLevel="0" collapsed="false">
      <c r="A31" s="1" t="s">
        <v>2649</v>
      </c>
      <c r="B31" s="1" t="s">
        <v>2698</v>
      </c>
      <c r="C31" s="330" t="n">
        <v>1</v>
      </c>
      <c r="D31" s="176" t="s">
        <v>2699</v>
      </c>
      <c r="E31" s="339" t="s">
        <v>2700</v>
      </c>
    </row>
    <row r="32" customFormat="false" ht="15" hidden="false" customHeight="true" outlineLevel="0" collapsed="false">
      <c r="A32" s="260" t="s">
        <v>2701</v>
      </c>
      <c r="B32" s="260" t="s">
        <v>2698</v>
      </c>
      <c r="C32" s="334" t="n">
        <v>0.86</v>
      </c>
      <c r="D32" s="176" t="s">
        <v>2702</v>
      </c>
      <c r="E32" s="340" t="s">
        <v>2700</v>
      </c>
    </row>
    <row r="33" customFormat="false" ht="15" hidden="false" customHeight="true" outlineLevel="0" collapsed="false">
      <c r="A33" s="20" t="s">
        <v>2703</v>
      </c>
      <c r="B33" s="20" t="s">
        <v>2698</v>
      </c>
      <c r="C33" s="341" t="n">
        <v>0.86</v>
      </c>
      <c r="D33" s="176" t="s">
        <v>2704</v>
      </c>
      <c r="E33" s="339" t="s">
        <v>2700</v>
      </c>
    </row>
    <row r="34" customFormat="false" ht="15" hidden="false" customHeight="true" outlineLevel="0" collapsed="false">
      <c r="A34" s="260" t="s">
        <v>2705</v>
      </c>
      <c r="B34" s="260" t="s">
        <v>2698</v>
      </c>
      <c r="C34" s="334" t="n">
        <v>0.9</v>
      </c>
      <c r="D34" s="176" t="s">
        <v>2706</v>
      </c>
      <c r="E34" s="340" t="s">
        <v>2700</v>
      </c>
    </row>
    <row r="35" customFormat="false" ht="15" hidden="false" customHeight="true" outlineLevel="0" collapsed="false">
      <c r="A35" s="20" t="s">
        <v>2707</v>
      </c>
      <c r="B35" s="20" t="s">
        <v>2698</v>
      </c>
      <c r="C35" s="341" t="n">
        <v>0.98</v>
      </c>
      <c r="D35" s="176" t="s">
        <v>2708</v>
      </c>
      <c r="E35" s="339" t="s">
        <v>2700</v>
      </c>
    </row>
    <row r="36" customFormat="false" ht="15" hidden="false" customHeight="true" outlineLevel="0" collapsed="false">
      <c r="A36" s="260" t="s">
        <v>2709</v>
      </c>
      <c r="B36" s="260" t="s">
        <v>2698</v>
      </c>
      <c r="C36" s="334" t="n">
        <v>0.82</v>
      </c>
      <c r="D36" s="176" t="s">
        <v>2710</v>
      </c>
      <c r="E36" s="340" t="s">
        <v>2700</v>
      </c>
    </row>
    <row r="37" customFormat="false" ht="15" hidden="false" customHeight="true" outlineLevel="0" collapsed="false">
      <c r="A37" s="20" t="s">
        <v>2711</v>
      </c>
      <c r="B37" s="20" t="s">
        <v>2698</v>
      </c>
      <c r="C37" s="341" t="n">
        <v>0.88</v>
      </c>
      <c r="D37" s="176" t="s">
        <v>2712</v>
      </c>
      <c r="E37" s="339" t="s">
        <v>2700</v>
      </c>
    </row>
    <row r="38" customFormat="false" ht="15" hidden="false" customHeight="true" outlineLevel="0" collapsed="false">
      <c r="A38" s="260" t="s">
        <v>2713</v>
      </c>
      <c r="B38" s="260" t="s">
        <v>2698</v>
      </c>
      <c r="C38" s="334" t="n">
        <v>1.24</v>
      </c>
      <c r="D38" s="176" t="s">
        <v>2714</v>
      </c>
      <c r="E38" s="340" t="s">
        <v>2700</v>
      </c>
    </row>
    <row r="39" customFormat="false" ht="15" hidden="false" customHeight="true" outlineLevel="0" collapsed="false">
      <c r="A39" s="20" t="s">
        <v>2715</v>
      </c>
      <c r="B39" s="20" t="s">
        <v>2698</v>
      </c>
      <c r="C39" s="341" t="n">
        <v>1.03</v>
      </c>
      <c r="D39" s="176" t="s">
        <v>2716</v>
      </c>
      <c r="E39" s="339" t="s">
        <v>2700</v>
      </c>
    </row>
    <row r="40" customFormat="false" ht="15" hidden="false" customHeight="true" outlineLevel="0" collapsed="false">
      <c r="A40" s="260" t="s">
        <v>2717</v>
      </c>
      <c r="B40" s="260" t="s">
        <v>2698</v>
      </c>
      <c r="C40" s="334" t="n">
        <v>0.85</v>
      </c>
      <c r="D40" s="176" t="s">
        <v>2718</v>
      </c>
      <c r="E40" s="340" t="s">
        <v>2700</v>
      </c>
    </row>
    <row r="41" customFormat="false" ht="15" hidden="false" customHeight="true" outlineLevel="0" collapsed="false">
      <c r="A41" s="20" t="s">
        <v>2719</v>
      </c>
      <c r="B41" s="20" t="s">
        <v>2698</v>
      </c>
      <c r="C41" s="341" t="n">
        <v>1.05</v>
      </c>
      <c r="D41" s="176" t="s">
        <v>2720</v>
      </c>
      <c r="E41" s="339" t="s">
        <v>2700</v>
      </c>
    </row>
    <row r="42" customFormat="false" ht="15" hidden="false" customHeight="true" outlineLevel="0" collapsed="false">
      <c r="A42" s="260" t="s">
        <v>2721</v>
      </c>
      <c r="B42" s="260" t="s">
        <v>2698</v>
      </c>
      <c r="C42" s="334" t="n">
        <v>0.95</v>
      </c>
      <c r="D42" s="176" t="s">
        <v>2722</v>
      </c>
      <c r="E42" s="340" t="s">
        <v>2700</v>
      </c>
    </row>
    <row r="43" customFormat="false" ht="15" hidden="false" customHeight="true" outlineLevel="0" collapsed="false">
      <c r="A43" s="20" t="s">
        <v>2723</v>
      </c>
      <c r="B43" s="20" t="s">
        <v>2698</v>
      </c>
      <c r="C43" s="341" t="n">
        <v>0.98</v>
      </c>
      <c r="D43" s="176" t="s">
        <v>2722</v>
      </c>
      <c r="E43" s="339" t="s">
        <v>2700</v>
      </c>
    </row>
    <row r="44" customFormat="false" ht="15" hidden="false" customHeight="true" outlineLevel="0" collapsed="false">
      <c r="A44" s="260" t="s">
        <v>2724</v>
      </c>
      <c r="B44" s="260" t="s">
        <v>2698</v>
      </c>
      <c r="C44" s="334" t="n">
        <v>0.89</v>
      </c>
      <c r="D44" s="176" t="s">
        <v>2722</v>
      </c>
      <c r="E44" s="340" t="s">
        <v>2700</v>
      </c>
    </row>
    <row r="45" customFormat="false" ht="15" hidden="false" customHeight="true" outlineLevel="0" collapsed="false">
      <c r="A45" s="20" t="s">
        <v>2725</v>
      </c>
      <c r="B45" s="20" t="s">
        <v>2698</v>
      </c>
      <c r="C45" s="341" t="n">
        <v>0.87</v>
      </c>
      <c r="D45" s="176" t="s">
        <v>2706</v>
      </c>
      <c r="E45" s="339" t="s">
        <v>2700</v>
      </c>
    </row>
    <row r="46" customFormat="false" ht="15" hidden="false" customHeight="true" outlineLevel="0" collapsed="false">
      <c r="A46" s="260" t="s">
        <v>2726</v>
      </c>
      <c r="B46" s="260" t="s">
        <v>2698</v>
      </c>
      <c r="C46" s="334" t="n">
        <v>0.99</v>
      </c>
      <c r="D46" s="176" t="s">
        <v>2727</v>
      </c>
      <c r="E46" s="340" t="s">
        <v>2700</v>
      </c>
    </row>
    <row r="47" customFormat="false" ht="15" hidden="false" customHeight="true" outlineLevel="0" collapsed="false">
      <c r="A47" s="20" t="s">
        <v>2728</v>
      </c>
      <c r="B47" s="20" t="s">
        <v>2698</v>
      </c>
      <c r="C47" s="341" t="n">
        <v>0.92</v>
      </c>
      <c r="D47" s="176" t="s">
        <v>2729</v>
      </c>
      <c r="E47" s="339" t="s">
        <v>2700</v>
      </c>
    </row>
    <row r="48" customFormat="false" ht="15" hidden="false" customHeight="true" outlineLevel="0" collapsed="false">
      <c r="A48" s="260" t="s">
        <v>2730</v>
      </c>
      <c r="B48" s="260" t="s">
        <v>2698</v>
      </c>
      <c r="C48" s="334" t="n">
        <v>1.02</v>
      </c>
      <c r="D48" s="176" t="s">
        <v>2731</v>
      </c>
      <c r="E48" s="340" t="s">
        <v>2700</v>
      </c>
    </row>
    <row r="49" customFormat="false" ht="15" hidden="false" customHeight="true" outlineLevel="0" collapsed="false">
      <c r="A49" s="20" t="s">
        <v>2732</v>
      </c>
      <c r="B49" s="20" t="s">
        <v>2698</v>
      </c>
      <c r="C49" s="341" t="n">
        <v>0.8</v>
      </c>
      <c r="D49" s="176" t="s">
        <v>2706</v>
      </c>
      <c r="E49" s="339" t="s">
        <v>2700</v>
      </c>
    </row>
    <row r="50" customFormat="false" ht="15" hidden="false" customHeight="true" outlineLevel="0" collapsed="false">
      <c r="A50" s="260" t="s">
        <v>2733</v>
      </c>
      <c r="B50" s="260" t="s">
        <v>2698</v>
      </c>
      <c r="C50" s="334" t="n">
        <v>1.05</v>
      </c>
      <c r="D50" s="176" t="s">
        <v>2734</v>
      </c>
      <c r="E50" s="340" t="s">
        <v>2700</v>
      </c>
    </row>
    <row r="51" customFormat="false" ht="15" hidden="false" customHeight="true" outlineLevel="0" collapsed="false">
      <c r="A51" s="20" t="s">
        <v>2735</v>
      </c>
      <c r="B51" s="20" t="s">
        <v>2698</v>
      </c>
      <c r="C51" s="341" t="n">
        <v>0.93</v>
      </c>
      <c r="D51" s="176" t="s">
        <v>2731</v>
      </c>
      <c r="E51" s="339" t="s">
        <v>2700</v>
      </c>
    </row>
    <row r="52" customFormat="false" ht="15" hidden="false" customHeight="true" outlineLevel="0" collapsed="false">
      <c r="A52" s="260" t="s">
        <v>2736</v>
      </c>
      <c r="B52" s="260" t="s">
        <v>2698</v>
      </c>
      <c r="C52" s="334" t="n">
        <v>1.07</v>
      </c>
      <c r="D52" s="176" t="s">
        <v>2737</v>
      </c>
      <c r="E52" s="340" t="s">
        <v>2700</v>
      </c>
    </row>
    <row r="53" customFormat="false" ht="15" hidden="false" customHeight="true" outlineLevel="0" collapsed="false">
      <c r="A53" s="20" t="s">
        <v>2738</v>
      </c>
      <c r="B53" s="20" t="s">
        <v>2698</v>
      </c>
      <c r="C53" s="341" t="n">
        <v>1.27</v>
      </c>
      <c r="D53" s="176" t="s">
        <v>2739</v>
      </c>
      <c r="E53" s="339" t="s">
        <v>2700</v>
      </c>
    </row>
    <row r="54" customFormat="false" ht="15" hidden="false" customHeight="true" outlineLevel="0" collapsed="false">
      <c r="A54" s="260" t="s">
        <v>2740</v>
      </c>
      <c r="B54" s="260" t="s">
        <v>2698</v>
      </c>
      <c r="C54" s="334" t="n">
        <v>0.89</v>
      </c>
      <c r="D54" s="176" t="s">
        <v>2706</v>
      </c>
      <c r="E54" s="340" t="s">
        <v>2700</v>
      </c>
    </row>
    <row r="55" customFormat="false" ht="15" hidden="false" customHeight="true" outlineLevel="0" collapsed="false">
      <c r="A55" s="20" t="s">
        <v>2741</v>
      </c>
      <c r="B55" s="20" t="s">
        <v>2698</v>
      </c>
      <c r="C55" s="341" t="n">
        <v>0.93</v>
      </c>
      <c r="D55" s="176" t="s">
        <v>2742</v>
      </c>
      <c r="E55" s="339" t="s">
        <v>2700</v>
      </c>
    </row>
    <row r="56" customFormat="false" ht="15" hidden="false" customHeight="true" outlineLevel="0" collapsed="false">
      <c r="A56" s="260" t="s">
        <v>2743</v>
      </c>
      <c r="B56" s="260" t="s">
        <v>2698</v>
      </c>
      <c r="C56" s="334" t="n">
        <v>1.08</v>
      </c>
      <c r="D56" s="176" t="s">
        <v>2734</v>
      </c>
      <c r="E56" s="340" t="s">
        <v>2700</v>
      </c>
    </row>
    <row r="57" customFormat="false" ht="15" hidden="false" customHeight="true" outlineLevel="0" collapsed="false">
      <c r="A57" s="20" t="s">
        <v>2744</v>
      </c>
      <c r="B57" s="20" t="s">
        <v>2698</v>
      </c>
      <c r="C57" s="341" t="n">
        <v>0.84</v>
      </c>
      <c r="D57" s="176" t="s">
        <v>2745</v>
      </c>
      <c r="E57" s="339" t="s">
        <v>2700</v>
      </c>
    </row>
    <row r="58" customFormat="false" ht="15" hidden="false" customHeight="true" outlineLevel="0" collapsed="false">
      <c r="A58" s="260" t="s">
        <v>2746</v>
      </c>
      <c r="B58" s="260" t="s">
        <v>2698</v>
      </c>
      <c r="C58" s="334" t="n">
        <v>0.95</v>
      </c>
      <c r="D58" s="176" t="s">
        <v>2055</v>
      </c>
      <c r="E58" s="340" t="s">
        <v>2700</v>
      </c>
    </row>
    <row r="59" customFormat="false" ht="15" hidden="false" customHeight="true" outlineLevel="0" collapsed="false">
      <c r="A59" s="20" t="s">
        <v>2747</v>
      </c>
      <c r="B59" s="20" t="s">
        <v>2698</v>
      </c>
      <c r="C59" s="341" t="n">
        <v>1</v>
      </c>
      <c r="D59" s="176" t="s">
        <v>2748</v>
      </c>
      <c r="E59" s="339" t="s">
        <v>2700</v>
      </c>
    </row>
    <row r="60" customFormat="false" ht="15" hidden="false" customHeight="true" outlineLevel="0" collapsed="false">
      <c r="A60" s="260" t="s">
        <v>2749</v>
      </c>
      <c r="B60" s="260" t="s">
        <v>2698</v>
      </c>
      <c r="C60" s="334" t="n">
        <v>1.15</v>
      </c>
      <c r="D60" s="176" t="s">
        <v>2734</v>
      </c>
      <c r="E60" s="340" t="s">
        <v>2700</v>
      </c>
    </row>
    <row r="61" customFormat="false" ht="15" hidden="false" customHeight="true" outlineLevel="0" collapsed="false">
      <c r="A61" s="20" t="s">
        <v>2750</v>
      </c>
      <c r="B61" s="20" t="s">
        <v>2698</v>
      </c>
      <c r="C61" s="341" t="n">
        <v>0.91</v>
      </c>
      <c r="D61" s="176" t="s">
        <v>2751</v>
      </c>
      <c r="E61" s="339" t="s">
        <v>2700</v>
      </c>
    </row>
    <row r="62" customFormat="false" ht="15" hidden="false" customHeight="true" outlineLevel="0" collapsed="false">
      <c r="A62" s="260" t="s">
        <v>2752</v>
      </c>
      <c r="B62" s="260" t="s">
        <v>2698</v>
      </c>
      <c r="C62" s="334" t="n">
        <v>0.84</v>
      </c>
      <c r="D62" s="176" t="s">
        <v>2753</v>
      </c>
      <c r="E62" s="340" t="s">
        <v>2700</v>
      </c>
    </row>
    <row r="63" customFormat="false" ht="15" hidden="false" customHeight="true" outlineLevel="0" collapsed="false">
      <c r="A63" s="20" t="s">
        <v>2754</v>
      </c>
      <c r="B63" s="20" t="s">
        <v>2698</v>
      </c>
      <c r="C63" s="341" t="n">
        <v>0.92</v>
      </c>
      <c r="D63" s="176" t="s">
        <v>2745</v>
      </c>
      <c r="E63" s="339" t="s">
        <v>2700</v>
      </c>
    </row>
    <row r="64" customFormat="false" ht="15" hidden="false" customHeight="true" outlineLevel="0" collapsed="false">
      <c r="A64" s="260" t="s">
        <v>2755</v>
      </c>
      <c r="B64" s="260" t="s">
        <v>2698</v>
      </c>
      <c r="C64" s="334" t="n">
        <v>1.04</v>
      </c>
      <c r="D64" s="176" t="s">
        <v>2756</v>
      </c>
      <c r="E64" s="340" t="s">
        <v>2700</v>
      </c>
    </row>
    <row r="65" customFormat="false" ht="15" hidden="false" customHeight="true" outlineLevel="0" collapsed="false">
      <c r="A65" s="20" t="s">
        <v>2757</v>
      </c>
      <c r="B65" s="20" t="s">
        <v>2698</v>
      </c>
      <c r="C65" s="341" t="n">
        <v>1.05</v>
      </c>
      <c r="D65" s="176" t="s">
        <v>2758</v>
      </c>
      <c r="E65" s="339" t="s">
        <v>2700</v>
      </c>
    </row>
    <row r="66" customFormat="false" ht="15" hidden="false" customHeight="true" outlineLevel="0" collapsed="false">
      <c r="A66" s="260" t="s">
        <v>2759</v>
      </c>
      <c r="B66" s="260" t="s">
        <v>2698</v>
      </c>
      <c r="C66" s="334" t="n">
        <v>0.87</v>
      </c>
      <c r="D66" s="176" t="s">
        <v>2753</v>
      </c>
      <c r="E66" s="340" t="s">
        <v>2700</v>
      </c>
    </row>
    <row r="67" customFormat="false" ht="15" hidden="false" customHeight="true" outlineLevel="0" collapsed="false">
      <c r="A67" s="20" t="s">
        <v>2760</v>
      </c>
      <c r="B67" s="20" t="s">
        <v>2698</v>
      </c>
      <c r="C67" s="341" t="n">
        <v>0.88</v>
      </c>
      <c r="D67" s="176" t="s">
        <v>2761</v>
      </c>
      <c r="E67" s="339" t="s">
        <v>2700</v>
      </c>
    </row>
    <row r="68" customFormat="false" ht="15" hidden="false" customHeight="true" outlineLevel="0" collapsed="false">
      <c r="A68" s="260" t="s">
        <v>2762</v>
      </c>
      <c r="B68" s="260" t="s">
        <v>2698</v>
      </c>
      <c r="C68" s="334" t="n">
        <v>1.4</v>
      </c>
      <c r="D68" s="176" t="s">
        <v>2716</v>
      </c>
      <c r="E68" s="340" t="s">
        <v>2700</v>
      </c>
    </row>
    <row r="69" customFormat="false" ht="15" hidden="false" customHeight="true" outlineLevel="0" collapsed="false">
      <c r="A69" s="20" t="s">
        <v>2763</v>
      </c>
      <c r="B69" s="20" t="s">
        <v>2698</v>
      </c>
      <c r="C69" s="341" t="n">
        <v>0.83</v>
      </c>
      <c r="D69" s="176" t="s">
        <v>2764</v>
      </c>
      <c r="E69" s="339" t="s">
        <v>2700</v>
      </c>
    </row>
    <row r="70" customFormat="false" ht="15" hidden="false" customHeight="true" outlineLevel="0" collapsed="false">
      <c r="A70" s="260" t="s">
        <v>2765</v>
      </c>
      <c r="B70" s="260" t="s">
        <v>2698</v>
      </c>
      <c r="C70" s="334" t="n">
        <v>0.9</v>
      </c>
      <c r="D70" s="176" t="s">
        <v>2766</v>
      </c>
      <c r="E70" s="340" t="s">
        <v>2700</v>
      </c>
    </row>
    <row r="71" customFormat="false" ht="15" hidden="false" customHeight="true" outlineLevel="0" collapsed="false">
      <c r="A71" s="20" t="s">
        <v>2767</v>
      </c>
      <c r="B71" s="20" t="s">
        <v>2698</v>
      </c>
      <c r="C71" s="341" t="n">
        <v>0.85</v>
      </c>
      <c r="D71" s="176" t="s">
        <v>2745</v>
      </c>
      <c r="E71" s="339" t="s">
        <v>2700</v>
      </c>
    </row>
    <row r="72" customFormat="false" ht="15" hidden="false" customHeight="true" outlineLevel="0" collapsed="false">
      <c r="A72" s="260" t="s">
        <v>2768</v>
      </c>
      <c r="B72" s="260" t="s">
        <v>2698</v>
      </c>
      <c r="C72" s="334" t="n">
        <v>1.18</v>
      </c>
      <c r="D72" s="176" t="s">
        <v>2769</v>
      </c>
      <c r="E72" s="340" t="s">
        <v>2700</v>
      </c>
    </row>
    <row r="73" customFormat="false" ht="15" hidden="false" customHeight="true" outlineLevel="0" collapsed="false">
      <c r="A73" s="20" t="s">
        <v>2770</v>
      </c>
      <c r="B73" s="20" t="s">
        <v>2698</v>
      </c>
      <c r="C73" s="341" t="n">
        <v>0.88</v>
      </c>
      <c r="D73" s="176" t="s">
        <v>2771</v>
      </c>
      <c r="E73" s="339" t="s">
        <v>2700</v>
      </c>
    </row>
    <row r="74" customFormat="false" ht="15" hidden="false" customHeight="true" outlineLevel="0" collapsed="false">
      <c r="A74" s="260" t="s">
        <v>2772</v>
      </c>
      <c r="B74" s="260" t="s">
        <v>2698</v>
      </c>
      <c r="C74" s="334" t="n">
        <v>1.01</v>
      </c>
      <c r="D74" s="176" t="s">
        <v>2769</v>
      </c>
      <c r="E74" s="340" t="s">
        <v>2700</v>
      </c>
    </row>
    <row r="75" customFormat="false" ht="15" hidden="false" customHeight="true" outlineLevel="0" collapsed="false">
      <c r="A75" s="20" t="s">
        <v>2773</v>
      </c>
      <c r="B75" s="20" t="s">
        <v>2698</v>
      </c>
      <c r="C75" s="341" t="n">
        <v>1.02</v>
      </c>
      <c r="D75" s="176" t="s">
        <v>2774</v>
      </c>
      <c r="E75" s="339" t="s">
        <v>2700</v>
      </c>
    </row>
    <row r="76" customFormat="false" ht="15" hidden="false" customHeight="true" outlineLevel="0" collapsed="false">
      <c r="A76" s="260" t="s">
        <v>2775</v>
      </c>
      <c r="B76" s="260" t="s">
        <v>2698</v>
      </c>
      <c r="C76" s="334" t="n">
        <v>1.07</v>
      </c>
      <c r="D76" s="176" t="s">
        <v>2776</v>
      </c>
      <c r="E76" s="340" t="s">
        <v>2700</v>
      </c>
    </row>
    <row r="77" customFormat="false" ht="15" hidden="false" customHeight="true" outlineLevel="0" collapsed="false">
      <c r="A77" s="20" t="s">
        <v>2777</v>
      </c>
      <c r="B77" s="20" t="s">
        <v>2698</v>
      </c>
      <c r="C77" s="341" t="n">
        <v>0.86</v>
      </c>
      <c r="D77" s="176" t="s">
        <v>2718</v>
      </c>
      <c r="E77" s="339" t="s">
        <v>2700</v>
      </c>
    </row>
    <row r="78" customFormat="false" ht="15" hidden="false" customHeight="true" outlineLevel="0" collapsed="false">
      <c r="A78" s="260" t="s">
        <v>2778</v>
      </c>
      <c r="B78" s="260" t="s">
        <v>2698</v>
      </c>
      <c r="C78" s="334" t="n">
        <v>0.98</v>
      </c>
      <c r="D78" s="176" t="s">
        <v>2748</v>
      </c>
      <c r="E78" s="340" t="s">
        <v>2700</v>
      </c>
    </row>
    <row r="79" customFormat="false" ht="15" hidden="false" customHeight="true" outlineLevel="0" collapsed="false">
      <c r="A79" s="20" t="s">
        <v>2779</v>
      </c>
      <c r="B79" s="20" t="s">
        <v>2698</v>
      </c>
      <c r="C79" s="341" t="n">
        <v>0.91</v>
      </c>
      <c r="D79" s="176" t="s">
        <v>2699</v>
      </c>
      <c r="E79" s="339" t="s">
        <v>2700</v>
      </c>
    </row>
    <row r="80" customFormat="false" ht="15" hidden="false" customHeight="true" outlineLevel="0" collapsed="false">
      <c r="A80" s="260" t="s">
        <v>2780</v>
      </c>
      <c r="B80" s="260" t="s">
        <v>2698</v>
      </c>
      <c r="C80" s="334" t="n">
        <v>1.01</v>
      </c>
      <c r="D80" s="176" t="s">
        <v>2716</v>
      </c>
      <c r="E80" s="340" t="s">
        <v>2700</v>
      </c>
    </row>
    <row r="81" customFormat="false" ht="15" hidden="false" customHeight="true" outlineLevel="0" collapsed="false">
      <c r="A81" s="20" t="s">
        <v>2781</v>
      </c>
      <c r="B81" s="20" t="s">
        <v>2698</v>
      </c>
      <c r="C81" s="341" t="n">
        <v>1.09</v>
      </c>
      <c r="D81" s="176" t="s">
        <v>2734</v>
      </c>
      <c r="E81" s="339" t="s">
        <v>2700</v>
      </c>
    </row>
    <row r="82" customFormat="false" ht="15" hidden="false" customHeight="true" outlineLevel="0" collapsed="false">
      <c r="A82" s="260" t="s">
        <v>2782</v>
      </c>
      <c r="B82" s="260" t="s">
        <v>2698</v>
      </c>
      <c r="C82" s="334" t="n">
        <v>0.84</v>
      </c>
      <c r="D82" s="176" t="s">
        <v>2783</v>
      </c>
      <c r="E82" s="340" t="s">
        <v>2700</v>
      </c>
    </row>
    <row r="83" customFormat="false" ht="15" hidden="false" customHeight="true" outlineLevel="0" collapsed="false">
      <c r="A83" s="20" t="s">
        <v>2784</v>
      </c>
      <c r="B83" s="20" t="s">
        <v>2698</v>
      </c>
      <c r="C83" s="341" t="n">
        <v>0.85</v>
      </c>
      <c r="D83" s="176" t="s">
        <v>2706</v>
      </c>
      <c r="E83" s="339" t="s">
        <v>2700</v>
      </c>
    </row>
    <row r="84" customFormat="false" ht="15" hidden="false" customHeight="true" outlineLevel="0" collapsed="false">
      <c r="A84" s="260" t="s">
        <v>2785</v>
      </c>
      <c r="B84" s="260" t="s">
        <v>2698</v>
      </c>
      <c r="C84" s="334" t="n">
        <v>1.11</v>
      </c>
      <c r="D84" s="176" t="s">
        <v>2734</v>
      </c>
      <c r="E84" s="340" t="s">
        <v>2700</v>
      </c>
    </row>
    <row r="85" customFormat="false" ht="15" hidden="false" customHeight="true" outlineLevel="0" collapsed="false">
      <c r="A85" s="20" t="s">
        <v>2786</v>
      </c>
      <c r="B85" s="20" t="s">
        <v>2698</v>
      </c>
      <c r="C85" s="341" t="n">
        <v>1.36</v>
      </c>
      <c r="D85" s="176" t="s">
        <v>2734</v>
      </c>
      <c r="E85" s="339" t="s">
        <v>2700</v>
      </c>
    </row>
    <row r="86" customFormat="false" ht="15" hidden="false" customHeight="true" outlineLevel="0" collapsed="false">
      <c r="A86" s="260" t="s">
        <v>2787</v>
      </c>
      <c r="B86" s="260" t="s">
        <v>2698</v>
      </c>
      <c r="C86" s="334" t="n">
        <v>1.17</v>
      </c>
      <c r="D86" s="176" t="s">
        <v>2788</v>
      </c>
      <c r="E86" s="340" t="s">
        <v>2700</v>
      </c>
    </row>
    <row r="87" customFormat="false" ht="15" hidden="false" customHeight="true" outlineLevel="0" collapsed="false">
      <c r="A87" s="20" t="s">
        <v>2789</v>
      </c>
      <c r="B87" s="20" t="s">
        <v>2698</v>
      </c>
      <c r="C87" s="341" t="n">
        <v>1.28</v>
      </c>
      <c r="D87" s="176" t="s">
        <v>2734</v>
      </c>
      <c r="E87" s="339" t="s">
        <v>2700</v>
      </c>
    </row>
    <row r="88" customFormat="false" ht="15" hidden="false" customHeight="true" outlineLevel="0" collapsed="false">
      <c r="A88" s="260" t="s">
        <v>2790</v>
      </c>
      <c r="B88" s="260" t="s">
        <v>2698</v>
      </c>
      <c r="C88" s="334" t="n">
        <v>0.97</v>
      </c>
      <c r="D88" s="176" t="s">
        <v>2055</v>
      </c>
      <c r="E88" s="340" t="s">
        <v>2700</v>
      </c>
    </row>
    <row r="89" customFormat="false" ht="15" hidden="false" customHeight="true" outlineLevel="0" collapsed="false">
      <c r="A89" s="20" t="s">
        <v>2791</v>
      </c>
      <c r="B89" s="20" t="s">
        <v>2698</v>
      </c>
      <c r="C89" s="341" t="n">
        <v>0.85</v>
      </c>
      <c r="D89" s="176" t="s">
        <v>2745</v>
      </c>
      <c r="E89" s="339" t="s">
        <v>2700</v>
      </c>
    </row>
    <row r="90" customFormat="false" ht="15" hidden="false" customHeight="true" outlineLevel="0" collapsed="false">
      <c r="A90" s="260" t="s">
        <v>2792</v>
      </c>
      <c r="B90" s="260" t="s">
        <v>2698</v>
      </c>
      <c r="C90" s="334" t="n">
        <v>0.86</v>
      </c>
      <c r="D90" s="176" t="s">
        <v>2771</v>
      </c>
      <c r="E90" s="340" t="s">
        <v>2700</v>
      </c>
    </row>
    <row r="91" customFormat="false" ht="15" hidden="false" customHeight="true" outlineLevel="0" collapsed="false">
      <c r="A91" s="20" t="s">
        <v>2793</v>
      </c>
      <c r="B91" s="20" t="s">
        <v>2698</v>
      </c>
      <c r="C91" s="341" t="n">
        <v>0.82</v>
      </c>
      <c r="D91" s="176" t="s">
        <v>2764</v>
      </c>
      <c r="E91" s="339" t="s">
        <v>2700</v>
      </c>
    </row>
    <row r="92" customFormat="false" ht="15" hidden="false" customHeight="true" outlineLevel="0" collapsed="false">
      <c r="A92" s="260" t="s">
        <v>2794</v>
      </c>
      <c r="B92" s="260" t="s">
        <v>2698</v>
      </c>
      <c r="C92" s="334" t="n">
        <v>0.88</v>
      </c>
      <c r="D92" s="176" t="s">
        <v>2699</v>
      </c>
      <c r="E92" s="340" t="s">
        <v>2700</v>
      </c>
    </row>
    <row r="93" customFormat="false" ht="15" hidden="false" customHeight="true" outlineLevel="0" collapsed="false">
      <c r="A93" s="260" t="s">
        <v>2795</v>
      </c>
      <c r="B93" s="260" t="s">
        <v>2698</v>
      </c>
      <c r="C93" s="334" t="n">
        <v>1.12</v>
      </c>
      <c r="D93" s="176"/>
      <c r="E93" s="339" t="s">
        <v>2796</v>
      </c>
    </row>
    <row r="94" customFormat="false" ht="15" hidden="false" customHeight="true" outlineLevel="0" collapsed="false">
      <c r="A94" s="1" t="s">
        <v>2797</v>
      </c>
      <c r="B94" s="1" t="s">
        <v>2698</v>
      </c>
      <c r="C94" s="330" t="n">
        <v>1.02</v>
      </c>
      <c r="D94" s="176"/>
      <c r="E94" s="340" t="s">
        <v>2796</v>
      </c>
    </row>
    <row r="95" customFormat="false" ht="15" hidden="false" customHeight="true" outlineLevel="0" collapsed="false">
      <c r="A95" s="260" t="s">
        <v>2798</v>
      </c>
      <c r="B95" s="260" t="s">
        <v>2799</v>
      </c>
      <c r="C95" s="334" t="n">
        <v>1.35</v>
      </c>
      <c r="D95" s="176"/>
      <c r="E95" s="339" t="s">
        <v>2800</v>
      </c>
    </row>
    <row r="96" customFormat="false" ht="15" hidden="false" customHeight="true" outlineLevel="0" collapsed="false">
      <c r="A96" s="1" t="s">
        <v>2801</v>
      </c>
      <c r="B96" s="1" t="s">
        <v>2799</v>
      </c>
      <c r="C96" s="330" t="n">
        <v>1.22</v>
      </c>
      <c r="D96" s="176"/>
      <c r="E96" s="340" t="s">
        <v>2802</v>
      </c>
    </row>
    <row r="97" customFormat="false" ht="15" hidden="false" customHeight="true" outlineLevel="0" collapsed="false">
      <c r="A97" s="260" t="s">
        <v>2803</v>
      </c>
      <c r="B97" s="260" t="s">
        <v>2799</v>
      </c>
      <c r="C97" s="334" t="n">
        <v>1.18</v>
      </c>
      <c r="D97" s="176"/>
      <c r="E97" s="339" t="s">
        <v>2804</v>
      </c>
    </row>
    <row r="98" customFormat="false" ht="15" hidden="false" customHeight="true" outlineLevel="0" collapsed="false">
      <c r="A98" s="1" t="s">
        <v>2805</v>
      </c>
      <c r="B98" s="1" t="s">
        <v>2799</v>
      </c>
      <c r="C98" s="330" t="n">
        <v>1.15</v>
      </c>
      <c r="D98" s="176"/>
      <c r="E98" s="340" t="s">
        <v>2806</v>
      </c>
    </row>
    <row r="99" customFormat="false" ht="15" hidden="false" customHeight="true" outlineLevel="0" collapsed="false">
      <c r="A99" s="260" t="s">
        <v>2807</v>
      </c>
      <c r="B99" s="260" t="s">
        <v>2799</v>
      </c>
      <c r="C99" s="334" t="n">
        <v>1.3</v>
      </c>
      <c r="D99" s="176"/>
      <c r="E99" s="339" t="s">
        <v>2808</v>
      </c>
    </row>
    <row r="100" customFormat="false" ht="15" hidden="false" customHeight="true" outlineLevel="0" collapsed="false">
      <c r="A100" s="1" t="s">
        <v>2809</v>
      </c>
      <c r="B100" s="1" t="s">
        <v>2799</v>
      </c>
      <c r="C100" s="330" t="n">
        <v>1.25</v>
      </c>
      <c r="D100" s="176"/>
      <c r="E100" s="340" t="s">
        <v>2810</v>
      </c>
    </row>
    <row r="101" customFormat="false" ht="15" hidden="false" customHeight="true" outlineLevel="0" collapsed="false">
      <c r="A101" s="260" t="s">
        <v>2811</v>
      </c>
      <c r="B101" s="260" t="s">
        <v>2812</v>
      </c>
      <c r="C101" s="334" t="n">
        <v>1.2</v>
      </c>
      <c r="D101" s="176"/>
      <c r="E101" s="339" t="s">
        <v>2811</v>
      </c>
    </row>
    <row r="102" customFormat="false" ht="15" hidden="false" customHeight="true" outlineLevel="0" collapsed="false">
      <c r="A102" s="1" t="s">
        <v>2813</v>
      </c>
      <c r="B102" s="1" t="s">
        <v>2812</v>
      </c>
      <c r="C102" s="330" t="n">
        <v>1.4</v>
      </c>
      <c r="D102" s="176"/>
      <c r="E102" s="340" t="s">
        <v>2814</v>
      </c>
    </row>
    <row r="103" customFormat="false" ht="15" hidden="false" customHeight="true" outlineLevel="0" collapsed="false">
      <c r="A103" s="260" t="s">
        <v>2815</v>
      </c>
      <c r="B103" s="260" t="s">
        <v>2812</v>
      </c>
      <c r="C103" s="334" t="n">
        <v>1.18</v>
      </c>
      <c r="D103" s="176"/>
      <c r="E103" s="339" t="s">
        <v>2816</v>
      </c>
    </row>
    <row r="104" customFormat="false" ht="15" hidden="false" customHeight="true" outlineLevel="0" collapsed="false">
      <c r="A104" s="1" t="s">
        <v>2817</v>
      </c>
      <c r="B104" s="1" t="s">
        <v>2812</v>
      </c>
      <c r="C104" s="330" t="n">
        <v>0.55</v>
      </c>
      <c r="D104" s="342"/>
      <c r="E104" s="340" t="s">
        <v>2818</v>
      </c>
    </row>
    <row r="105" customFormat="false" ht="15" hidden="false" customHeight="true" outlineLevel="0" collapsed="false">
      <c r="A105" s="20" t="s">
        <v>2819</v>
      </c>
      <c r="B105" s="20" t="s">
        <v>2698</v>
      </c>
      <c r="C105" s="343" t="n">
        <v>1.01</v>
      </c>
      <c r="D105" s="176" t="s">
        <v>2748</v>
      </c>
      <c r="E105" s="339" t="s">
        <v>2700</v>
      </c>
    </row>
    <row r="106" customFormat="false" ht="15" hidden="false" customHeight="true" outlineLevel="0" collapsed="false">
      <c r="A106" s="260" t="s">
        <v>2820</v>
      </c>
      <c r="B106" s="260" t="s">
        <v>2698</v>
      </c>
      <c r="C106" s="336" t="n">
        <v>0.79</v>
      </c>
      <c r="D106" s="233" t="s">
        <v>2706</v>
      </c>
      <c r="E106" s="340" t="s">
        <v>2700</v>
      </c>
    </row>
    <row r="107" customFormat="false" ht="15" hidden="false" customHeight="true" outlineLevel="0" collapsed="false">
      <c r="A107" s="20" t="s">
        <v>2821</v>
      </c>
      <c r="B107" s="20" t="s">
        <v>2698</v>
      </c>
      <c r="C107" s="343" t="n">
        <v>0.81</v>
      </c>
      <c r="D107" s="342" t="s">
        <v>2764</v>
      </c>
      <c r="E107" s="339" t="s">
        <v>2700</v>
      </c>
    </row>
    <row r="108" customFormat="false" ht="15" hidden="false" customHeight="true" outlineLevel="0" collapsed="false">
      <c r="A108" s="260" t="s">
        <v>2822</v>
      </c>
      <c r="B108" s="260" t="s">
        <v>2698</v>
      </c>
      <c r="C108" s="336" t="n">
        <v>0.97</v>
      </c>
      <c r="D108" s="233" t="s">
        <v>2788</v>
      </c>
      <c r="E108" s="340" t="s">
        <v>2700</v>
      </c>
    </row>
    <row r="109" customFormat="false" ht="15" hidden="false" customHeight="true" outlineLevel="0" collapsed="false">
      <c r="A109" s="20" t="s">
        <v>2823</v>
      </c>
      <c r="B109" s="20" t="s">
        <v>2698</v>
      </c>
      <c r="C109" s="343" t="n">
        <v>0.85</v>
      </c>
      <c r="D109" s="342" t="s">
        <v>2712</v>
      </c>
      <c r="E109" s="339" t="s">
        <v>2700</v>
      </c>
    </row>
    <row r="110" customFormat="false" ht="15" hidden="false" customHeight="true" outlineLevel="0" collapsed="false">
      <c r="A110" s="260" t="s">
        <v>2824</v>
      </c>
      <c r="B110" s="260" t="s">
        <v>2698</v>
      </c>
      <c r="C110" s="336" t="n">
        <v>0.99</v>
      </c>
      <c r="D110" s="233" t="s">
        <v>2825</v>
      </c>
      <c r="E110" s="340" t="s">
        <v>2700</v>
      </c>
    </row>
    <row r="111" customFormat="false" ht="15" hidden="false" customHeight="true" outlineLevel="0" collapsed="false">
      <c r="A111" s="20" t="s">
        <v>2826</v>
      </c>
      <c r="B111" s="20" t="s">
        <v>2698</v>
      </c>
      <c r="C111" s="343" t="n">
        <v>0.87</v>
      </c>
      <c r="D111" s="342" t="s">
        <v>2766</v>
      </c>
      <c r="E111" s="339" t="s">
        <v>2700</v>
      </c>
    </row>
    <row r="112" customFormat="false" ht="15" hidden="false" customHeight="true" outlineLevel="0" collapsed="false">
      <c r="A112" s="260" t="s">
        <v>2827</v>
      </c>
      <c r="B112" s="260" t="s">
        <v>2698</v>
      </c>
      <c r="C112" s="336" t="n">
        <v>0.96</v>
      </c>
      <c r="D112" s="233" t="s">
        <v>2828</v>
      </c>
      <c r="E112" s="340" t="s">
        <v>2700</v>
      </c>
    </row>
    <row r="113" customFormat="false" ht="15" hidden="false" customHeight="true" outlineLevel="0" collapsed="false">
      <c r="A113" s="20" t="s">
        <v>2829</v>
      </c>
      <c r="B113" s="20" t="s">
        <v>2698</v>
      </c>
      <c r="C113" s="343" t="n">
        <v>0.99</v>
      </c>
      <c r="D113" s="342" t="s">
        <v>2716</v>
      </c>
      <c r="E113" s="339" t="s">
        <v>2700</v>
      </c>
    </row>
    <row r="114" customFormat="false" ht="15" hidden="false" customHeight="true" outlineLevel="0" collapsed="false">
      <c r="A114" s="260" t="s">
        <v>2830</v>
      </c>
      <c r="B114" s="260" t="s">
        <v>2698</v>
      </c>
      <c r="C114" s="336" t="n">
        <v>0.93</v>
      </c>
      <c r="D114" s="233" t="s">
        <v>2731</v>
      </c>
      <c r="E114" s="340" t="s">
        <v>2700</v>
      </c>
    </row>
    <row r="115" customFormat="false" ht="15" hidden="false" customHeight="true" outlineLevel="0" collapsed="false">
      <c r="A115" s="20" t="s">
        <v>2831</v>
      </c>
      <c r="B115" s="20" t="s">
        <v>2698</v>
      </c>
      <c r="C115" s="343" t="n">
        <v>0.89</v>
      </c>
      <c r="D115" s="342" t="s">
        <v>2742</v>
      </c>
      <c r="E115" s="339" t="s">
        <v>2700</v>
      </c>
    </row>
    <row r="116" customFormat="false" ht="15" hidden="false" customHeight="true" outlineLevel="0" collapsed="false">
      <c r="A116" s="260" t="s">
        <v>2832</v>
      </c>
      <c r="B116" s="260" t="s">
        <v>2698</v>
      </c>
      <c r="C116" s="336" t="n">
        <v>0.95</v>
      </c>
      <c r="D116" s="233" t="s">
        <v>2833</v>
      </c>
      <c r="E116" s="340" t="s">
        <v>2700</v>
      </c>
    </row>
    <row r="117" customFormat="false" ht="15" hidden="false" customHeight="true" outlineLevel="0" collapsed="false">
      <c r="A117" s="20" t="s">
        <v>2834</v>
      </c>
      <c r="B117" s="20" t="s">
        <v>2698</v>
      </c>
      <c r="C117" s="343" t="n">
        <v>0.89</v>
      </c>
      <c r="D117" s="342" t="s">
        <v>2742</v>
      </c>
      <c r="E117" s="339" t="s">
        <v>2700</v>
      </c>
    </row>
    <row r="118" customFormat="false" ht="15" hidden="false" customHeight="true" outlineLevel="0" collapsed="false">
      <c r="A118" s="260" t="s">
        <v>2835</v>
      </c>
      <c r="B118" s="260" t="s">
        <v>2698</v>
      </c>
      <c r="C118" s="336" t="n">
        <v>0.92</v>
      </c>
      <c r="D118" s="233" t="s">
        <v>2836</v>
      </c>
      <c r="E118" s="340" t="s">
        <v>2700</v>
      </c>
    </row>
    <row r="119" customFormat="false" ht="15" hidden="false" customHeight="true" outlineLevel="0" collapsed="false">
      <c r="A119" s="20" t="s">
        <v>2837</v>
      </c>
      <c r="B119" s="20" t="s">
        <v>2698</v>
      </c>
      <c r="C119" s="343" t="n">
        <v>1.03</v>
      </c>
      <c r="D119" s="342" t="s">
        <v>2774</v>
      </c>
      <c r="E119" s="339" t="s">
        <v>2700</v>
      </c>
    </row>
    <row r="120" customFormat="false" ht="15" hidden="false" customHeight="true" outlineLevel="0" collapsed="false">
      <c r="A120" s="260" t="s">
        <v>2838</v>
      </c>
      <c r="B120" s="260" t="s">
        <v>2698</v>
      </c>
      <c r="C120" s="336" t="n">
        <v>0.8</v>
      </c>
      <c r="D120" s="233" t="s">
        <v>2704</v>
      </c>
      <c r="E120" s="340" t="s">
        <v>2700</v>
      </c>
    </row>
    <row r="121" customFormat="false" ht="15" hidden="false" customHeight="true" outlineLevel="0" collapsed="false">
      <c r="A121" s="20" t="s">
        <v>2839</v>
      </c>
      <c r="B121" s="20" t="s">
        <v>2698</v>
      </c>
      <c r="C121" s="343" t="n">
        <v>0.9</v>
      </c>
      <c r="D121" s="342" t="s">
        <v>2712</v>
      </c>
      <c r="E121" s="339" t="s">
        <v>2700</v>
      </c>
    </row>
    <row r="122" customFormat="false" ht="15" hidden="false" customHeight="true" outlineLevel="0" collapsed="false">
      <c r="A122" s="260" t="s">
        <v>2840</v>
      </c>
      <c r="B122" s="260" t="s">
        <v>2698</v>
      </c>
      <c r="C122" s="336" t="n">
        <v>1.38</v>
      </c>
      <c r="D122" s="233" t="s">
        <v>2841</v>
      </c>
      <c r="E122" s="340" t="s">
        <v>2700</v>
      </c>
    </row>
    <row r="123" customFormat="false" ht="15" hidden="false" customHeight="true" outlineLevel="0" collapsed="false">
      <c r="A123" s="20" t="s">
        <v>2842</v>
      </c>
      <c r="B123" s="20" t="s">
        <v>2698</v>
      </c>
      <c r="C123" s="343" t="n">
        <v>0.96</v>
      </c>
      <c r="D123" s="342" t="s">
        <v>2833</v>
      </c>
      <c r="E123" s="339" t="s">
        <v>2700</v>
      </c>
    </row>
    <row r="124" customFormat="false" ht="15" hidden="false" customHeight="true" outlineLevel="0" collapsed="false">
      <c r="A124" s="260" t="s">
        <v>2843</v>
      </c>
      <c r="B124" s="260" t="s">
        <v>2698</v>
      </c>
      <c r="C124" s="336" t="n">
        <v>0.92</v>
      </c>
      <c r="D124" s="233" t="s">
        <v>2055</v>
      </c>
      <c r="E124" s="340" t="s">
        <v>2700</v>
      </c>
    </row>
    <row r="125" customFormat="false" ht="15" hidden="false" customHeight="true" outlineLevel="0" collapsed="false">
      <c r="A125" s="20" t="s">
        <v>2844</v>
      </c>
      <c r="B125" s="20" t="s">
        <v>2698</v>
      </c>
      <c r="C125" s="343" t="n">
        <v>1.02</v>
      </c>
      <c r="D125" s="342" t="s">
        <v>2774</v>
      </c>
      <c r="E125" s="339" t="s">
        <v>2700</v>
      </c>
    </row>
    <row r="126" customFormat="false" ht="15" hidden="false" customHeight="true" outlineLevel="0" collapsed="false">
      <c r="A126" s="260" t="s">
        <v>2845</v>
      </c>
      <c r="B126" s="260" t="s">
        <v>2698</v>
      </c>
      <c r="C126" s="336" t="n">
        <v>0.83</v>
      </c>
      <c r="D126" s="233" t="s">
        <v>2706</v>
      </c>
      <c r="E126" s="340" t="s">
        <v>2700</v>
      </c>
    </row>
    <row r="127" customFormat="false" ht="15" hidden="false" customHeight="true" outlineLevel="0" collapsed="false">
      <c r="A127" s="20" t="s">
        <v>2846</v>
      </c>
      <c r="B127" s="20" t="s">
        <v>2698</v>
      </c>
      <c r="C127" s="343" t="n">
        <v>0.89</v>
      </c>
      <c r="D127" s="342" t="s">
        <v>2729</v>
      </c>
      <c r="E127" s="339" t="s">
        <v>2700</v>
      </c>
    </row>
    <row r="128" customFormat="false" ht="15" hidden="false" customHeight="true" outlineLevel="0" collapsed="false">
      <c r="A128" s="260" t="s">
        <v>2847</v>
      </c>
      <c r="B128" s="260" t="s">
        <v>2698</v>
      </c>
      <c r="C128" s="336" t="n">
        <v>0.76</v>
      </c>
      <c r="D128" s="233" t="s">
        <v>2848</v>
      </c>
      <c r="E128" s="340" t="s">
        <v>2700</v>
      </c>
    </row>
    <row r="129" customFormat="false" ht="15" hidden="false" customHeight="true" outlineLevel="0" collapsed="false">
      <c r="A129" s="20" t="s">
        <v>2849</v>
      </c>
      <c r="B129" s="20" t="s">
        <v>2698</v>
      </c>
      <c r="C129" s="343" t="n">
        <v>0.94</v>
      </c>
      <c r="D129" s="342" t="s">
        <v>2720</v>
      </c>
      <c r="E129" s="339" t="s">
        <v>2700</v>
      </c>
    </row>
    <row r="130" customFormat="false" ht="15" hidden="false" customHeight="true" outlineLevel="0" collapsed="false">
      <c r="A130" s="260" t="s">
        <v>2850</v>
      </c>
      <c r="B130" s="260" t="s">
        <v>2698</v>
      </c>
      <c r="C130" s="336" t="n">
        <v>0.91</v>
      </c>
      <c r="D130" s="233" t="s">
        <v>2722</v>
      </c>
      <c r="E130" s="340" t="s">
        <v>2700</v>
      </c>
    </row>
    <row r="131" customFormat="false" ht="15" hidden="false" customHeight="true" outlineLevel="0" collapsed="false">
      <c r="A131" s="20" t="s">
        <v>2851</v>
      </c>
      <c r="B131" s="20" t="s">
        <v>2698</v>
      </c>
      <c r="C131" s="343" t="n">
        <v>0.81</v>
      </c>
      <c r="D131" s="342" t="s">
        <v>2704</v>
      </c>
      <c r="E131" s="339" t="s">
        <v>2700</v>
      </c>
    </row>
    <row r="132" customFormat="false" ht="15" hidden="false" customHeight="true" outlineLevel="0" collapsed="false">
      <c r="A132" s="260" t="s">
        <v>2852</v>
      </c>
      <c r="B132" s="260" t="s">
        <v>2698</v>
      </c>
      <c r="C132" s="336" t="n">
        <v>0.94</v>
      </c>
      <c r="D132" s="233" t="s">
        <v>2828</v>
      </c>
      <c r="E132" s="340" t="s">
        <v>2700</v>
      </c>
    </row>
    <row r="133" customFormat="false" ht="15" hidden="false" customHeight="true" outlineLevel="0" collapsed="false">
      <c r="A133" s="20" t="s">
        <v>2853</v>
      </c>
      <c r="B133" s="20" t="s">
        <v>2698</v>
      </c>
      <c r="C133" s="343" t="n">
        <v>0.86</v>
      </c>
      <c r="D133" s="342" t="s">
        <v>2751</v>
      </c>
      <c r="E133" s="339" t="s">
        <v>2700</v>
      </c>
    </row>
    <row r="134" customFormat="false" ht="15" hidden="false" customHeight="true" outlineLevel="0" collapsed="false">
      <c r="A134" s="260" t="s">
        <v>2854</v>
      </c>
      <c r="B134" s="260" t="s">
        <v>2698</v>
      </c>
      <c r="C134" s="336" t="n">
        <v>0.93</v>
      </c>
      <c r="D134" s="233" t="s">
        <v>2731</v>
      </c>
      <c r="E134" s="340" t="s">
        <v>2700</v>
      </c>
    </row>
    <row r="135" customFormat="false" ht="15" hidden="false" customHeight="true" outlineLevel="0" collapsed="false">
      <c r="A135" s="20" t="s">
        <v>2855</v>
      </c>
      <c r="B135" s="20" t="s">
        <v>2698</v>
      </c>
      <c r="C135" s="343" t="n">
        <v>0.76</v>
      </c>
      <c r="D135" s="342" t="s">
        <v>2710</v>
      </c>
      <c r="E135" s="339" t="s">
        <v>2700</v>
      </c>
    </row>
    <row r="136" customFormat="false" ht="15" hidden="false" customHeight="true" outlineLevel="0" collapsed="false">
      <c r="A136" s="260" t="s">
        <v>2856</v>
      </c>
      <c r="B136" s="260" t="s">
        <v>2698</v>
      </c>
      <c r="C136" s="336" t="n">
        <v>0.97</v>
      </c>
      <c r="D136" s="233" t="s">
        <v>2825</v>
      </c>
      <c r="E136" s="340" t="s">
        <v>2700</v>
      </c>
    </row>
    <row r="137" customFormat="false" ht="15" hidden="false" customHeight="true" outlineLevel="0" collapsed="false">
      <c r="A137" s="20" t="s">
        <v>2857</v>
      </c>
      <c r="B137" s="20" t="s">
        <v>2698</v>
      </c>
      <c r="C137" s="343" t="n">
        <v>0.96</v>
      </c>
      <c r="D137" s="342" t="s">
        <v>2756</v>
      </c>
      <c r="E137" s="339" t="s">
        <v>2700</v>
      </c>
    </row>
    <row r="138" customFormat="false" ht="15" hidden="false" customHeight="true" outlineLevel="0" collapsed="false">
      <c r="A138" s="260" t="s">
        <v>2858</v>
      </c>
      <c r="B138" s="260" t="s">
        <v>2698</v>
      </c>
      <c r="C138" s="336" t="n">
        <v>0.78</v>
      </c>
      <c r="D138" s="233" t="s">
        <v>2859</v>
      </c>
      <c r="E138" s="340" t="s">
        <v>2700</v>
      </c>
    </row>
    <row r="139" customFormat="false" ht="15" hidden="false" customHeight="true" outlineLevel="0" collapsed="false">
      <c r="A139" s="20" t="s">
        <v>2860</v>
      </c>
      <c r="B139" s="20" t="s">
        <v>2698</v>
      </c>
      <c r="C139" s="343" t="n">
        <v>0.97</v>
      </c>
      <c r="D139" s="342" t="s">
        <v>2758</v>
      </c>
      <c r="E139" s="339" t="s">
        <v>2700</v>
      </c>
    </row>
    <row r="140" customFormat="false" ht="15" hidden="false" customHeight="true" outlineLevel="0" collapsed="false">
      <c r="A140" s="260" t="s">
        <v>2861</v>
      </c>
      <c r="B140" s="260" t="s">
        <v>2698</v>
      </c>
      <c r="C140" s="336" t="n">
        <v>1.06</v>
      </c>
      <c r="D140" s="233" t="s">
        <v>2716</v>
      </c>
      <c r="E140" s="340" t="s">
        <v>2700</v>
      </c>
    </row>
    <row r="141" customFormat="false" ht="15" hidden="false" customHeight="true" outlineLevel="0" collapsed="false">
      <c r="A141" s="20" t="s">
        <v>2862</v>
      </c>
      <c r="B141" s="20" t="s">
        <v>2698</v>
      </c>
      <c r="C141" s="343" t="n">
        <v>0.94</v>
      </c>
      <c r="D141" s="342" t="s">
        <v>2720</v>
      </c>
      <c r="E141" s="339" t="s">
        <v>2700</v>
      </c>
    </row>
    <row r="142" customFormat="false" ht="15" hidden="false" customHeight="true" outlineLevel="0" collapsed="false">
      <c r="A142" s="260" t="s">
        <v>2863</v>
      </c>
      <c r="B142" s="260" t="s">
        <v>2698</v>
      </c>
      <c r="C142" s="336" t="n">
        <v>0.96</v>
      </c>
      <c r="D142" s="233" t="s">
        <v>2769</v>
      </c>
      <c r="E142" s="340" t="s">
        <v>2700</v>
      </c>
    </row>
    <row r="143" customFormat="false" ht="15" hidden="false" customHeight="true" outlineLevel="0" collapsed="false">
      <c r="A143" s="20" t="s">
        <v>2864</v>
      </c>
      <c r="B143" s="20" t="s">
        <v>2698</v>
      </c>
      <c r="C143" s="343" t="n">
        <v>0.9</v>
      </c>
      <c r="D143" s="342" t="s">
        <v>2718</v>
      </c>
      <c r="E143" s="339" t="s">
        <v>2700</v>
      </c>
    </row>
    <row r="144" customFormat="false" ht="15" hidden="false" customHeight="true" outlineLevel="0" collapsed="false">
      <c r="A144" s="260" t="s">
        <v>2865</v>
      </c>
      <c r="B144" s="260" t="s">
        <v>2698</v>
      </c>
      <c r="C144" s="336" t="n">
        <v>0.88</v>
      </c>
      <c r="D144" s="233" t="s">
        <v>2745</v>
      </c>
      <c r="E144" s="340" t="s">
        <v>2700</v>
      </c>
    </row>
    <row r="145" customFormat="false" ht="15" hidden="false" customHeight="true" outlineLevel="0" collapsed="false">
      <c r="A145" s="20" t="s">
        <v>2866</v>
      </c>
      <c r="B145" s="20" t="s">
        <v>2698</v>
      </c>
      <c r="C145" s="343" t="n">
        <v>0.92</v>
      </c>
      <c r="D145" s="342" t="s">
        <v>2836</v>
      </c>
      <c r="E145" s="339" t="s">
        <v>2700</v>
      </c>
    </row>
    <row r="146" customFormat="false" ht="15" hidden="false" customHeight="true" outlineLevel="0" collapsed="false">
      <c r="A146" s="260" t="s">
        <v>2867</v>
      </c>
      <c r="B146" s="260" t="s">
        <v>2698</v>
      </c>
      <c r="C146" s="336" t="n">
        <v>0.89</v>
      </c>
      <c r="D146" s="233" t="s">
        <v>2742</v>
      </c>
      <c r="E146" s="340" t="s">
        <v>2700</v>
      </c>
    </row>
    <row r="147" customFormat="false" ht="15" hidden="false" customHeight="true" outlineLevel="0" collapsed="false">
      <c r="A147" s="20" t="s">
        <v>2868</v>
      </c>
      <c r="B147" s="20" t="s">
        <v>2698</v>
      </c>
      <c r="C147" s="343" t="n">
        <v>0.89</v>
      </c>
      <c r="D147" s="342" t="s">
        <v>2742</v>
      </c>
      <c r="E147" s="339" t="s">
        <v>2700</v>
      </c>
    </row>
    <row r="148" customFormat="false" ht="15" hidden="false" customHeight="true" outlineLevel="0" collapsed="false">
      <c r="A148" s="260" t="s">
        <v>2869</v>
      </c>
      <c r="B148" s="260" t="s">
        <v>2698</v>
      </c>
      <c r="C148" s="336" t="n">
        <v>0.99</v>
      </c>
      <c r="D148" s="233" t="s">
        <v>2716</v>
      </c>
      <c r="E148" s="340" t="s">
        <v>2700</v>
      </c>
    </row>
    <row r="149" customFormat="false" ht="15" hidden="false" customHeight="true" outlineLevel="0" collapsed="false">
      <c r="A149" s="20" t="s">
        <v>2870</v>
      </c>
      <c r="B149" s="20" t="s">
        <v>2698</v>
      </c>
      <c r="C149" s="343" t="n">
        <v>0.96</v>
      </c>
      <c r="D149" s="342" t="s">
        <v>2769</v>
      </c>
      <c r="E149" s="339" t="s">
        <v>2700</v>
      </c>
    </row>
    <row r="150" customFormat="false" ht="15" hidden="false" customHeight="true" outlineLevel="0" collapsed="false">
      <c r="A150" s="260" t="s">
        <v>2871</v>
      </c>
      <c r="B150" s="260" t="s">
        <v>2698</v>
      </c>
      <c r="C150" s="336" t="n">
        <v>0.92</v>
      </c>
      <c r="D150" s="233" t="s">
        <v>2836</v>
      </c>
      <c r="E150" s="340" t="s">
        <v>2700</v>
      </c>
    </row>
    <row r="151" customFormat="false" ht="15" hidden="false" customHeight="true" outlineLevel="0" collapsed="false">
      <c r="A151" s="20" t="s">
        <v>2872</v>
      </c>
      <c r="B151" s="20" t="s">
        <v>2698</v>
      </c>
      <c r="C151" s="343" t="n">
        <v>0.91</v>
      </c>
      <c r="D151" s="342" t="s">
        <v>2722</v>
      </c>
      <c r="E151" s="339" t="s">
        <v>2700</v>
      </c>
    </row>
    <row r="152" customFormat="false" ht="15" hidden="false" customHeight="true" outlineLevel="0" collapsed="false">
      <c r="A152" s="260" t="s">
        <v>2873</v>
      </c>
      <c r="B152" s="260" t="s">
        <v>2698</v>
      </c>
      <c r="C152" s="336" t="n">
        <v>0.86</v>
      </c>
      <c r="D152" s="233" t="s">
        <v>2751</v>
      </c>
      <c r="E152" s="340" t="s">
        <v>2700</v>
      </c>
    </row>
    <row r="153" customFormat="false" ht="15" hidden="false" customHeight="true" outlineLevel="0" collapsed="false">
      <c r="A153" s="20" t="s">
        <v>2874</v>
      </c>
      <c r="B153" s="20" t="s">
        <v>2698</v>
      </c>
      <c r="C153" s="343" t="n">
        <v>0.97</v>
      </c>
      <c r="D153" s="342" t="s">
        <v>2788</v>
      </c>
      <c r="E153" s="339" t="s">
        <v>2700</v>
      </c>
    </row>
    <row r="154" customFormat="false" ht="15" hidden="false" customHeight="true" outlineLevel="0" collapsed="false">
      <c r="A154" s="260" t="s">
        <v>2875</v>
      </c>
      <c r="B154" s="260" t="s">
        <v>2698</v>
      </c>
      <c r="C154" s="336" t="n">
        <v>0.95</v>
      </c>
      <c r="D154" s="233" t="s">
        <v>2876</v>
      </c>
      <c r="E154" s="340" t="s">
        <v>2700</v>
      </c>
    </row>
    <row r="155" customFormat="false" ht="15" hidden="false" customHeight="true" outlineLevel="0" collapsed="false">
      <c r="A155" s="20" t="s">
        <v>2877</v>
      </c>
      <c r="B155" s="20" t="s">
        <v>2698</v>
      </c>
      <c r="C155" s="343" t="n">
        <v>0.76</v>
      </c>
      <c r="D155" s="342" t="s">
        <v>2710</v>
      </c>
      <c r="E155" s="339" t="s">
        <v>2700</v>
      </c>
    </row>
    <row r="156" customFormat="false" ht="15" hidden="false" customHeight="true" outlineLevel="0" collapsed="false">
      <c r="A156" s="260" t="s">
        <v>2878</v>
      </c>
      <c r="B156" s="260" t="s">
        <v>2698</v>
      </c>
      <c r="C156" s="336" t="n">
        <v>0.89</v>
      </c>
      <c r="D156" s="233" t="s">
        <v>2704</v>
      </c>
      <c r="E156" s="340" t="s">
        <v>2700</v>
      </c>
    </row>
    <row r="157" customFormat="false" ht="15" hidden="false" customHeight="true" outlineLevel="0" collapsed="false">
      <c r="A157" s="20" t="s">
        <v>2879</v>
      </c>
      <c r="B157" s="20" t="s">
        <v>2698</v>
      </c>
      <c r="C157" s="343" t="n">
        <v>0.96</v>
      </c>
      <c r="D157" s="342" t="s">
        <v>2756</v>
      </c>
      <c r="E157" s="339" t="s">
        <v>2700</v>
      </c>
    </row>
    <row r="158" customFormat="false" ht="15" hidden="false" customHeight="true" outlineLevel="0" collapsed="false">
      <c r="A158" s="260" t="s">
        <v>2880</v>
      </c>
      <c r="B158" s="260" t="s">
        <v>2698</v>
      </c>
      <c r="C158" s="336" t="n">
        <v>0.92</v>
      </c>
      <c r="D158" s="233" t="s">
        <v>2055</v>
      </c>
      <c r="E158" s="340" t="s">
        <v>2700</v>
      </c>
    </row>
    <row r="159" customFormat="false" ht="15" hidden="false" customHeight="true" outlineLevel="0" collapsed="false">
      <c r="A159" s="20" t="s">
        <v>2881</v>
      </c>
      <c r="B159" s="20" t="s">
        <v>2698</v>
      </c>
      <c r="C159" s="343" t="n">
        <v>0.96</v>
      </c>
      <c r="D159" s="342" t="s">
        <v>2769</v>
      </c>
      <c r="E159" s="339" t="s">
        <v>2700</v>
      </c>
    </row>
    <row r="160" customFormat="false" ht="15" hidden="false" customHeight="true" outlineLevel="0" collapsed="false">
      <c r="A160" s="260" t="s">
        <v>2882</v>
      </c>
      <c r="B160" s="260" t="s">
        <v>2698</v>
      </c>
      <c r="C160" s="336" t="n">
        <v>0.8</v>
      </c>
      <c r="D160" s="233" t="s">
        <v>2718</v>
      </c>
      <c r="E160" s="340" t="s">
        <v>2700</v>
      </c>
    </row>
    <row r="161" customFormat="false" ht="15" hidden="false" customHeight="true" outlineLevel="0" collapsed="false">
      <c r="A161" s="20" t="s">
        <v>2883</v>
      </c>
      <c r="B161" s="20" t="s">
        <v>2698</v>
      </c>
      <c r="C161" s="343" t="n">
        <v>0.89</v>
      </c>
      <c r="D161" s="342" t="s">
        <v>2702</v>
      </c>
      <c r="E161" s="339" t="s">
        <v>2700</v>
      </c>
    </row>
    <row r="162" customFormat="false" ht="15" hidden="false" customHeight="true" outlineLevel="0" collapsed="false">
      <c r="A162" s="260" t="s">
        <v>2884</v>
      </c>
      <c r="B162" s="260" t="s">
        <v>2698</v>
      </c>
      <c r="C162" s="336" t="n">
        <v>0.83</v>
      </c>
      <c r="D162" s="233" t="s">
        <v>2706</v>
      </c>
      <c r="E162" s="340" t="s">
        <v>2700</v>
      </c>
    </row>
    <row r="163" customFormat="false" ht="15" hidden="false" customHeight="true" outlineLevel="0" collapsed="false">
      <c r="A163" s="20" t="s">
        <v>2885</v>
      </c>
      <c r="B163" s="20" t="s">
        <v>2698</v>
      </c>
      <c r="C163" s="343" t="n">
        <v>0.9</v>
      </c>
      <c r="D163" s="342" t="s">
        <v>2886</v>
      </c>
      <c r="E163" s="339" t="s">
        <v>2700</v>
      </c>
    </row>
    <row r="164" customFormat="false" ht="15" hidden="false" customHeight="true" outlineLevel="0" collapsed="false">
      <c r="A164" s="260" t="s">
        <v>2887</v>
      </c>
      <c r="B164" s="260" t="s">
        <v>2698</v>
      </c>
      <c r="C164" s="336" t="n">
        <v>0.9</v>
      </c>
      <c r="D164" s="233" t="s">
        <v>2712</v>
      </c>
      <c r="E164" s="340" t="s">
        <v>2700</v>
      </c>
    </row>
    <row r="165" customFormat="false" ht="15" hidden="false" customHeight="true" outlineLevel="0" collapsed="false">
      <c r="A165" s="20" t="s">
        <v>2888</v>
      </c>
      <c r="B165" s="20" t="s">
        <v>2698</v>
      </c>
      <c r="C165" s="343" t="n">
        <v>0.91</v>
      </c>
      <c r="D165" s="342" t="s">
        <v>2722</v>
      </c>
      <c r="E165" s="339" t="s">
        <v>2700</v>
      </c>
    </row>
    <row r="166" customFormat="false" ht="15" hidden="false" customHeight="true" outlineLevel="0" collapsed="false">
      <c r="A166" s="260" t="s">
        <v>2889</v>
      </c>
      <c r="B166" s="260" t="s">
        <v>2698</v>
      </c>
      <c r="C166" s="336" t="n">
        <v>1.04</v>
      </c>
      <c r="D166" s="233" t="s">
        <v>2716</v>
      </c>
      <c r="E166" s="340" t="s">
        <v>2700</v>
      </c>
    </row>
    <row r="167" customFormat="false" ht="15" hidden="false" customHeight="true" outlineLevel="0" collapsed="false">
      <c r="A167" s="20" t="s">
        <v>2890</v>
      </c>
      <c r="B167" s="20" t="s">
        <v>2698</v>
      </c>
      <c r="C167" s="343" t="n">
        <v>0.89</v>
      </c>
      <c r="D167" s="342" t="s">
        <v>2771</v>
      </c>
      <c r="E167" s="339" t="s">
        <v>2700</v>
      </c>
    </row>
    <row r="168" customFormat="false" ht="15" hidden="false" customHeight="true" outlineLevel="0" collapsed="false">
      <c r="A168" s="260" t="s">
        <v>2891</v>
      </c>
      <c r="B168" s="260" t="s">
        <v>2698</v>
      </c>
      <c r="C168" s="336" t="n">
        <v>0.79</v>
      </c>
      <c r="D168" s="233" t="s">
        <v>2764</v>
      </c>
      <c r="E168" s="340" t="s">
        <v>2700</v>
      </c>
    </row>
    <row r="169" customFormat="false" ht="15" hidden="false" customHeight="true" outlineLevel="0" collapsed="false">
      <c r="A169" s="20" t="s">
        <v>2892</v>
      </c>
      <c r="B169" s="20" t="s">
        <v>2698</v>
      </c>
      <c r="C169" s="343" t="n">
        <v>0.82</v>
      </c>
      <c r="D169" s="342" t="s">
        <v>2753</v>
      </c>
      <c r="E169" s="339" t="s">
        <v>2700</v>
      </c>
    </row>
    <row r="170" customFormat="false" ht="15" hidden="false" customHeight="true" outlineLevel="0" collapsed="false">
      <c r="A170" s="260" t="s">
        <v>2893</v>
      </c>
      <c r="B170" s="260" t="s">
        <v>2698</v>
      </c>
      <c r="C170" s="336" t="n">
        <v>1.01</v>
      </c>
      <c r="D170" s="233" t="s">
        <v>2833</v>
      </c>
      <c r="E170" s="340" t="s">
        <v>2700</v>
      </c>
    </row>
    <row r="171" customFormat="false" ht="15" hidden="false" customHeight="true" outlineLevel="0" collapsed="false">
      <c r="A171" s="20" t="s">
        <v>2894</v>
      </c>
      <c r="B171" s="20" t="s">
        <v>2698</v>
      </c>
      <c r="C171" s="343" t="n">
        <v>1.03</v>
      </c>
      <c r="D171" s="342" t="s">
        <v>2788</v>
      </c>
      <c r="E171" s="339" t="s">
        <v>2700</v>
      </c>
    </row>
    <row r="172" customFormat="false" ht="15" hidden="false" customHeight="true" outlineLevel="0" collapsed="false">
      <c r="A172" s="260" t="s">
        <v>2895</v>
      </c>
      <c r="B172" s="260" t="s">
        <v>2698</v>
      </c>
      <c r="C172" s="336" t="n">
        <v>0.97</v>
      </c>
      <c r="D172" s="233" t="s">
        <v>2833</v>
      </c>
      <c r="E172" s="340" t="s">
        <v>2700</v>
      </c>
    </row>
    <row r="173" customFormat="false" ht="15" hidden="false" customHeight="true" outlineLevel="0" collapsed="false">
      <c r="A173" s="20" t="s">
        <v>2896</v>
      </c>
      <c r="B173" s="20" t="s">
        <v>2698</v>
      </c>
      <c r="C173" s="343" t="n">
        <v>0.86</v>
      </c>
      <c r="D173" s="342" t="s">
        <v>2751</v>
      </c>
      <c r="E173" s="339" t="s">
        <v>2700</v>
      </c>
    </row>
    <row r="174" customFormat="false" ht="15" hidden="false" customHeight="true" outlineLevel="0" collapsed="false">
      <c r="A174" s="260" t="s">
        <v>2897</v>
      </c>
      <c r="B174" s="260" t="s">
        <v>2698</v>
      </c>
      <c r="C174" s="336" t="n">
        <v>0.89</v>
      </c>
      <c r="D174" s="233" t="s">
        <v>2699</v>
      </c>
      <c r="E174" s="340" t="s">
        <v>2700</v>
      </c>
    </row>
    <row r="175" customFormat="false" ht="15" hidden="false" customHeight="true" outlineLevel="0" collapsed="false">
      <c r="A175" s="20" t="s">
        <v>2898</v>
      </c>
      <c r="B175" s="20" t="s">
        <v>2698</v>
      </c>
      <c r="C175" s="343" t="n">
        <v>1.22</v>
      </c>
      <c r="D175" s="342" t="s">
        <v>2714</v>
      </c>
      <c r="E175" s="339" t="s">
        <v>2700</v>
      </c>
    </row>
    <row r="176" customFormat="false" ht="15" hidden="false" customHeight="true" outlineLevel="0" collapsed="false">
      <c r="A176" s="260" t="s">
        <v>2899</v>
      </c>
      <c r="B176" s="260" t="s">
        <v>2698</v>
      </c>
      <c r="C176" s="336" t="n">
        <v>0.94</v>
      </c>
      <c r="D176" s="233" t="s">
        <v>2729</v>
      </c>
      <c r="E176" s="340" t="s">
        <v>2700</v>
      </c>
    </row>
    <row r="177" customFormat="false" ht="15" hidden="false" customHeight="true" outlineLevel="0" collapsed="false">
      <c r="A177" s="20" t="s">
        <v>2900</v>
      </c>
      <c r="B177" s="20" t="s">
        <v>2698</v>
      </c>
      <c r="C177" s="343" t="n">
        <v>0.96</v>
      </c>
      <c r="D177" s="342" t="s">
        <v>2769</v>
      </c>
      <c r="E177" s="339" t="s">
        <v>2700</v>
      </c>
    </row>
    <row r="178" customFormat="false" ht="15" hidden="false" customHeight="true" outlineLevel="0" collapsed="false">
      <c r="A178" s="260" t="s">
        <v>2901</v>
      </c>
      <c r="B178" s="260" t="s">
        <v>2698</v>
      </c>
      <c r="C178" s="336" t="n">
        <v>0.94</v>
      </c>
      <c r="D178" s="233" t="s">
        <v>2708</v>
      </c>
      <c r="E178" s="340" t="s">
        <v>2700</v>
      </c>
    </row>
    <row r="179" customFormat="false" ht="15" hidden="false" customHeight="true" outlineLevel="0" collapsed="false">
      <c r="A179" s="20" t="s">
        <v>2902</v>
      </c>
      <c r="B179" s="20" t="s">
        <v>2698</v>
      </c>
      <c r="C179" s="343" t="n">
        <v>0.83</v>
      </c>
      <c r="D179" s="342" t="s">
        <v>2753</v>
      </c>
      <c r="E179" s="339" t="s">
        <v>2700</v>
      </c>
    </row>
    <row r="180" customFormat="false" ht="15" hidden="false" customHeight="true" outlineLevel="0" collapsed="false">
      <c r="A180" s="260" t="s">
        <v>2903</v>
      </c>
      <c r="B180" s="260" t="s">
        <v>2698</v>
      </c>
      <c r="C180" s="336" t="n">
        <v>0.96</v>
      </c>
      <c r="D180" s="233" t="s">
        <v>2774</v>
      </c>
      <c r="E180" s="340" t="s">
        <v>2700</v>
      </c>
    </row>
    <row r="181" customFormat="false" ht="15" hidden="false" customHeight="true" outlineLevel="0" collapsed="false">
      <c r="A181" s="20" t="s">
        <v>2904</v>
      </c>
      <c r="B181" s="20" t="s">
        <v>2698</v>
      </c>
      <c r="C181" s="343" t="n">
        <v>1.19</v>
      </c>
      <c r="D181" s="342" t="s">
        <v>2734</v>
      </c>
      <c r="E181" s="339" t="s">
        <v>2700</v>
      </c>
    </row>
    <row r="182" customFormat="false" ht="15" hidden="false" customHeight="true" outlineLevel="0" collapsed="false">
      <c r="A182" s="260" t="s">
        <v>2905</v>
      </c>
      <c r="B182" s="260" t="s">
        <v>2698</v>
      </c>
      <c r="C182" s="336" t="n">
        <v>1.04</v>
      </c>
      <c r="D182" s="233" t="s">
        <v>2788</v>
      </c>
      <c r="E182" s="340" t="s">
        <v>2700</v>
      </c>
    </row>
    <row r="183" customFormat="false" ht="15" hidden="false" customHeight="true" outlineLevel="0" collapsed="false">
      <c r="A183" s="20" t="s">
        <v>2906</v>
      </c>
      <c r="B183" s="20" t="s">
        <v>2698</v>
      </c>
      <c r="C183" s="343" t="n">
        <v>0.93</v>
      </c>
      <c r="D183" s="342" t="s">
        <v>2731</v>
      </c>
      <c r="E183" s="339" t="s">
        <v>2700</v>
      </c>
    </row>
    <row r="184" customFormat="false" ht="15" hidden="false" customHeight="true" outlineLevel="0" collapsed="false">
      <c r="A184" s="260" t="s">
        <v>2907</v>
      </c>
      <c r="B184" s="260" t="s">
        <v>2698</v>
      </c>
      <c r="C184" s="336" t="n">
        <v>0.9</v>
      </c>
      <c r="D184" s="233" t="s">
        <v>2886</v>
      </c>
      <c r="E184" s="340" t="s">
        <v>2700</v>
      </c>
    </row>
    <row r="185" customFormat="false" ht="15" hidden="false" customHeight="true" outlineLevel="0" collapsed="false">
      <c r="A185" s="20" t="s">
        <v>2908</v>
      </c>
      <c r="B185" s="20" t="s">
        <v>2698</v>
      </c>
      <c r="C185" s="343" t="n">
        <v>0.91</v>
      </c>
      <c r="D185" s="342" t="s">
        <v>2722</v>
      </c>
      <c r="E185" s="339" t="s">
        <v>2700</v>
      </c>
    </row>
    <row r="186" customFormat="false" ht="15" hidden="false" customHeight="true" outlineLevel="0" collapsed="false">
      <c r="A186" s="260" t="s">
        <v>2909</v>
      </c>
      <c r="B186" s="260" t="s">
        <v>2698</v>
      </c>
      <c r="C186" s="336" t="n">
        <v>0.92</v>
      </c>
      <c r="D186" s="233" t="s">
        <v>2836</v>
      </c>
      <c r="E186" s="340" t="s">
        <v>2700</v>
      </c>
    </row>
    <row r="187" customFormat="false" ht="15" hidden="false" customHeight="true" outlineLevel="0" collapsed="false">
      <c r="A187" s="20" t="s">
        <v>2910</v>
      </c>
      <c r="B187" s="20" t="s">
        <v>2698</v>
      </c>
      <c r="C187" s="343" t="n">
        <v>0.76</v>
      </c>
      <c r="D187" s="342" t="s">
        <v>2848</v>
      </c>
      <c r="E187" s="339" t="s">
        <v>2700</v>
      </c>
    </row>
    <row r="188" customFormat="false" ht="15" hidden="false" customHeight="true" outlineLevel="0" collapsed="false">
      <c r="A188" s="260" t="s">
        <v>2911</v>
      </c>
      <c r="B188" s="260" t="s">
        <v>2698</v>
      </c>
      <c r="C188" s="336" t="n">
        <v>0.94</v>
      </c>
      <c r="D188" s="233" t="s">
        <v>2699</v>
      </c>
      <c r="E188" s="340" t="s">
        <v>2700</v>
      </c>
    </row>
    <row r="189" customFormat="false" ht="15" hidden="false" customHeight="true" outlineLevel="0" collapsed="false">
      <c r="A189" s="20" t="s">
        <v>2912</v>
      </c>
      <c r="B189" s="20" t="s">
        <v>2698</v>
      </c>
      <c r="C189" s="343" t="n">
        <v>0.96</v>
      </c>
      <c r="D189" s="342" t="s">
        <v>2756</v>
      </c>
      <c r="E189" s="339" t="s">
        <v>2700</v>
      </c>
    </row>
    <row r="190" customFormat="false" ht="15" hidden="false" customHeight="true" outlineLevel="0" collapsed="false">
      <c r="A190" s="260" t="s">
        <v>2913</v>
      </c>
      <c r="B190" s="260" t="s">
        <v>2698</v>
      </c>
      <c r="C190" s="336" t="n">
        <v>0.97</v>
      </c>
      <c r="D190" s="233" t="s">
        <v>2825</v>
      </c>
      <c r="E190" s="340" t="s">
        <v>2700</v>
      </c>
    </row>
    <row r="191" customFormat="false" ht="15" hidden="false" customHeight="true" outlineLevel="0" collapsed="false">
      <c r="A191" s="20" t="s">
        <v>2914</v>
      </c>
      <c r="B191" s="20" t="s">
        <v>2698</v>
      </c>
      <c r="C191" s="343" t="n">
        <v>0.83</v>
      </c>
      <c r="D191" s="342" t="s">
        <v>2761</v>
      </c>
      <c r="E191" s="339" t="s">
        <v>2700</v>
      </c>
    </row>
    <row r="192" customFormat="false" ht="15" hidden="false" customHeight="true" outlineLevel="0" collapsed="false">
      <c r="A192" s="260" t="s">
        <v>2915</v>
      </c>
      <c r="B192" s="260" t="s">
        <v>2698</v>
      </c>
      <c r="C192" s="336" t="n">
        <v>0.97</v>
      </c>
      <c r="D192" s="233" t="s">
        <v>2836</v>
      </c>
      <c r="E192" s="340" t="s">
        <v>2700</v>
      </c>
    </row>
    <row r="193" customFormat="false" ht="15" hidden="false" customHeight="true" outlineLevel="0" collapsed="false">
      <c r="A193" s="20" t="s">
        <v>2916</v>
      </c>
      <c r="B193" s="20" t="s">
        <v>2698</v>
      </c>
      <c r="C193" s="343" t="n">
        <v>0.93</v>
      </c>
      <c r="D193" s="342" t="s">
        <v>2771</v>
      </c>
      <c r="E193" s="339" t="s">
        <v>2700</v>
      </c>
    </row>
    <row r="194" customFormat="false" ht="15" hidden="false" customHeight="true" outlineLevel="0" collapsed="false">
      <c r="A194" s="260" t="s">
        <v>2917</v>
      </c>
      <c r="B194" s="260" t="s">
        <v>2698</v>
      </c>
      <c r="C194" s="336" t="n">
        <v>0.96</v>
      </c>
      <c r="D194" s="233" t="s">
        <v>2769</v>
      </c>
      <c r="E194" s="340" t="s">
        <v>2700</v>
      </c>
    </row>
    <row r="195" customFormat="false" ht="15" hidden="false" customHeight="true" outlineLevel="0" collapsed="false">
      <c r="A195" s="20" t="s">
        <v>2918</v>
      </c>
      <c r="B195" s="20" t="s">
        <v>2698</v>
      </c>
      <c r="C195" s="343" t="n">
        <v>0.8</v>
      </c>
      <c r="D195" s="342" t="s">
        <v>2704</v>
      </c>
      <c r="E195" s="339" t="s">
        <v>2700</v>
      </c>
    </row>
    <row r="196" customFormat="false" ht="15" hidden="false" customHeight="true" outlineLevel="0" collapsed="false">
      <c r="A196" s="260" t="s">
        <v>2919</v>
      </c>
      <c r="B196" s="260" t="s">
        <v>2698</v>
      </c>
      <c r="C196" s="336" t="n">
        <v>0.81</v>
      </c>
      <c r="D196" s="233" t="s">
        <v>2706</v>
      </c>
      <c r="E196" s="340" t="s">
        <v>2700</v>
      </c>
    </row>
    <row r="197" customFormat="false" ht="15" hidden="false" customHeight="true" outlineLevel="0" collapsed="false">
      <c r="A197" s="20" t="s">
        <v>2920</v>
      </c>
      <c r="B197" s="20" t="s">
        <v>2698</v>
      </c>
      <c r="C197" s="343" t="n">
        <v>0.89</v>
      </c>
      <c r="D197" s="342" t="s">
        <v>2729</v>
      </c>
      <c r="E197" s="339" t="s">
        <v>2700</v>
      </c>
    </row>
    <row r="198" customFormat="false" ht="15" hidden="false" customHeight="true" outlineLevel="0" collapsed="false">
      <c r="A198" s="260" t="s">
        <v>2921</v>
      </c>
      <c r="B198" s="260" t="s">
        <v>2698</v>
      </c>
      <c r="C198" s="336" t="n">
        <v>0.81</v>
      </c>
      <c r="D198" s="233" t="s">
        <v>2704</v>
      </c>
      <c r="E198" s="340" t="s">
        <v>2700</v>
      </c>
    </row>
    <row r="199" customFormat="false" ht="15" hidden="false" customHeight="true" outlineLevel="0" collapsed="false">
      <c r="A199" s="20" t="s">
        <v>2922</v>
      </c>
      <c r="B199" s="20" t="s">
        <v>2698</v>
      </c>
      <c r="C199" s="343" t="n">
        <v>0.8</v>
      </c>
      <c r="D199" s="342" t="s">
        <v>2718</v>
      </c>
      <c r="E199" s="339" t="s">
        <v>2700</v>
      </c>
    </row>
    <row r="200" customFormat="false" ht="15" hidden="false" customHeight="true" outlineLevel="0" collapsed="false">
      <c r="A200" s="260" t="s">
        <v>2923</v>
      </c>
      <c r="B200" s="260" t="s">
        <v>2698</v>
      </c>
      <c r="C200" s="336" t="n">
        <v>0.83</v>
      </c>
      <c r="D200" s="233" t="s">
        <v>2761</v>
      </c>
      <c r="E200" s="340" t="s">
        <v>2700</v>
      </c>
    </row>
    <row r="201" customFormat="false" ht="15" hidden="false" customHeight="true" outlineLevel="0" collapsed="false">
      <c r="A201" s="20" t="s">
        <v>2924</v>
      </c>
      <c r="B201" s="20" t="s">
        <v>2698</v>
      </c>
      <c r="C201" s="343" t="n">
        <v>0.89</v>
      </c>
      <c r="D201" s="342" t="s">
        <v>2699</v>
      </c>
      <c r="E201" s="339" t="s">
        <v>2700</v>
      </c>
    </row>
    <row r="202" customFormat="false" ht="15" hidden="false" customHeight="true" outlineLevel="0" collapsed="false">
      <c r="A202" s="260" t="s">
        <v>2925</v>
      </c>
      <c r="B202" s="260" t="s">
        <v>2698</v>
      </c>
      <c r="C202" s="336" t="n">
        <v>0.83</v>
      </c>
      <c r="D202" s="233" t="s">
        <v>2706</v>
      </c>
      <c r="E202" s="340" t="s">
        <v>2700</v>
      </c>
    </row>
    <row r="203" customFormat="false" ht="15" hidden="false" customHeight="true" outlineLevel="0" collapsed="false">
      <c r="A203" s="20" t="s">
        <v>2926</v>
      </c>
      <c r="B203" s="20" t="s">
        <v>2698</v>
      </c>
      <c r="C203" s="343" t="n">
        <v>0.83</v>
      </c>
      <c r="D203" s="342" t="s">
        <v>2706</v>
      </c>
      <c r="E203" s="339" t="s">
        <v>2700</v>
      </c>
    </row>
    <row r="204" customFormat="false" ht="15" hidden="false" customHeight="true" outlineLevel="0" collapsed="false">
      <c r="A204" s="260" t="s">
        <v>2927</v>
      </c>
      <c r="B204" s="260" t="s">
        <v>2698</v>
      </c>
      <c r="C204" s="336" t="n">
        <v>0.92</v>
      </c>
      <c r="D204" s="233" t="s">
        <v>2055</v>
      </c>
      <c r="E204" s="340" t="s">
        <v>2700</v>
      </c>
    </row>
    <row r="206" customFormat="false" ht="15" hidden="false" customHeight="true" outlineLevel="0" collapsed="false">
      <c r="A206" s="344" t="s">
        <v>2928</v>
      </c>
      <c r="B206" s="345"/>
    </row>
    <row r="207" customFormat="false" ht="15" hidden="false" customHeight="true" outlineLevel="0" collapsed="false">
      <c r="A207" s="338" t="s">
        <v>2696</v>
      </c>
      <c r="B207" s="338" t="s">
        <v>193</v>
      </c>
    </row>
    <row r="208" customFormat="false" ht="15" hidden="false" customHeight="true" outlineLevel="0" collapsed="false">
      <c r="A208" s="176" t="s">
        <v>2841</v>
      </c>
      <c r="B208" s="330" t="n">
        <v>1.25</v>
      </c>
    </row>
    <row r="209" customFormat="false" ht="15" hidden="false" customHeight="true" outlineLevel="0" collapsed="false">
      <c r="A209" s="176" t="s">
        <v>2710</v>
      </c>
      <c r="B209" s="330" t="n">
        <v>0.82</v>
      </c>
    </row>
    <row r="210" customFormat="false" ht="15" hidden="false" customHeight="true" outlineLevel="0" collapsed="false">
      <c r="A210" s="176" t="s">
        <v>2848</v>
      </c>
      <c r="B210" s="330" t="n">
        <v>0.8</v>
      </c>
    </row>
    <row r="211" customFormat="false" ht="15" hidden="false" customHeight="true" outlineLevel="0" collapsed="false">
      <c r="A211" s="176" t="s">
        <v>2771</v>
      </c>
      <c r="B211" s="330" t="n">
        <v>0.87</v>
      </c>
    </row>
    <row r="212" customFormat="false" ht="15" hidden="false" customHeight="true" outlineLevel="0" collapsed="false">
      <c r="A212" s="176" t="s">
        <v>2734</v>
      </c>
      <c r="B212" s="330" t="n">
        <v>1.08</v>
      </c>
    </row>
    <row r="213" customFormat="false" ht="15" hidden="false" customHeight="true" outlineLevel="0" collapsed="false">
      <c r="A213" s="176" t="s">
        <v>2727</v>
      </c>
      <c r="B213" s="330" t="n">
        <v>0.99</v>
      </c>
    </row>
    <row r="214" customFormat="false" ht="15" hidden="false" customHeight="true" outlineLevel="0" collapsed="false">
      <c r="A214" s="176" t="s">
        <v>2737</v>
      </c>
      <c r="B214" s="330" t="n">
        <v>1.07</v>
      </c>
    </row>
    <row r="215" customFormat="false" ht="15" hidden="false" customHeight="true" outlineLevel="0" collapsed="false">
      <c r="A215" s="176" t="s">
        <v>2929</v>
      </c>
      <c r="B215" s="330" t="n">
        <v>1</v>
      </c>
    </row>
    <row r="216" customFormat="false" ht="15" hidden="false" customHeight="true" outlineLevel="0" collapsed="false">
      <c r="A216" s="176" t="s">
        <v>2745</v>
      </c>
      <c r="B216" s="330" t="n">
        <v>0.86</v>
      </c>
    </row>
    <row r="217" customFormat="false" ht="15" hidden="false" customHeight="true" outlineLevel="0" collapsed="false">
      <c r="A217" s="176" t="s">
        <v>2704</v>
      </c>
      <c r="B217" s="330" t="n">
        <v>0.85</v>
      </c>
    </row>
    <row r="218" customFormat="false" ht="15" hidden="false" customHeight="true" outlineLevel="0" collapsed="false">
      <c r="A218" s="176" t="s">
        <v>2739</v>
      </c>
      <c r="B218" s="330" t="n">
        <v>1.27</v>
      </c>
    </row>
    <row r="219" customFormat="false" ht="15" hidden="false" customHeight="true" outlineLevel="0" collapsed="false">
      <c r="A219" s="176" t="s">
        <v>2729</v>
      </c>
      <c r="B219" s="330" t="n">
        <v>0.92</v>
      </c>
    </row>
    <row r="220" customFormat="false" ht="15" hidden="false" customHeight="true" outlineLevel="0" collapsed="false">
      <c r="A220" s="176" t="s">
        <v>2712</v>
      </c>
      <c r="B220" s="330" t="n">
        <v>0.88</v>
      </c>
    </row>
    <row r="221" customFormat="false" ht="15" hidden="false" customHeight="true" outlineLevel="0" collapsed="false">
      <c r="A221" s="176" t="s">
        <v>2720</v>
      </c>
      <c r="B221" s="330" t="n">
        <v>0.97</v>
      </c>
    </row>
    <row r="222" customFormat="false" ht="15" hidden="false" customHeight="true" outlineLevel="0" collapsed="false">
      <c r="A222" s="176" t="s">
        <v>2742</v>
      </c>
      <c r="B222" s="330" t="n">
        <v>0.92</v>
      </c>
    </row>
    <row r="223" customFormat="false" ht="15" hidden="false" customHeight="true" outlineLevel="0" collapsed="false">
      <c r="A223" s="176" t="s">
        <v>2886</v>
      </c>
      <c r="B223" s="330" t="n">
        <v>0.88</v>
      </c>
    </row>
    <row r="224" customFormat="false" ht="15" hidden="false" customHeight="true" outlineLevel="0" collapsed="false">
      <c r="A224" s="176" t="s">
        <v>2751</v>
      </c>
      <c r="B224" s="330" t="n">
        <v>0.9</v>
      </c>
    </row>
    <row r="225" customFormat="false" ht="15" hidden="false" customHeight="true" outlineLevel="0" collapsed="false">
      <c r="A225" s="176" t="s">
        <v>2761</v>
      </c>
      <c r="B225" s="330" t="n">
        <v>0.87</v>
      </c>
    </row>
    <row r="226" customFormat="false" ht="15" hidden="false" customHeight="true" outlineLevel="0" collapsed="false">
      <c r="A226" s="176" t="s">
        <v>2714</v>
      </c>
      <c r="B226" s="330" t="n">
        <v>1.18</v>
      </c>
    </row>
    <row r="227" customFormat="false" ht="15" hidden="false" customHeight="true" outlineLevel="0" collapsed="false">
      <c r="A227" s="176" t="s">
        <v>2708</v>
      </c>
      <c r="B227" s="330" t="n">
        <v>0.97</v>
      </c>
    </row>
    <row r="228" customFormat="false" ht="15" hidden="false" customHeight="true" outlineLevel="0" collapsed="false">
      <c r="A228" s="176" t="s">
        <v>2876</v>
      </c>
      <c r="B228" s="330" t="n">
        <v>0.98</v>
      </c>
    </row>
    <row r="229" customFormat="false" ht="15" hidden="false" customHeight="true" outlineLevel="0" collapsed="false">
      <c r="A229" s="176" t="s">
        <v>2731</v>
      </c>
      <c r="B229" s="330" t="n">
        <v>0.96</v>
      </c>
    </row>
    <row r="230" customFormat="false" ht="15" hidden="false" customHeight="true" outlineLevel="0" collapsed="false">
      <c r="A230" s="176" t="s">
        <v>2758</v>
      </c>
      <c r="B230" s="330" t="n">
        <v>1</v>
      </c>
    </row>
    <row r="231" customFormat="false" ht="15" hidden="false" customHeight="true" outlineLevel="0" collapsed="false">
      <c r="A231" s="176" t="s">
        <v>2055</v>
      </c>
      <c r="B231" s="330" t="n">
        <v>0.95</v>
      </c>
    </row>
    <row r="232" customFormat="false" ht="15" hidden="false" customHeight="true" outlineLevel="0" collapsed="false">
      <c r="A232" s="176" t="s">
        <v>2930</v>
      </c>
      <c r="B232" s="330" t="n">
        <v>0.8</v>
      </c>
    </row>
    <row r="233" customFormat="false" ht="15" hidden="false" customHeight="true" outlineLevel="0" collapsed="false">
      <c r="A233" s="176" t="s">
        <v>2833</v>
      </c>
      <c r="B233" s="330" t="n">
        <v>0.92</v>
      </c>
    </row>
    <row r="234" customFormat="false" ht="15" hidden="false" customHeight="true" outlineLevel="0" collapsed="false">
      <c r="A234" s="176" t="s">
        <v>2718</v>
      </c>
      <c r="B234" s="330" t="n">
        <v>0.85</v>
      </c>
    </row>
    <row r="235" customFormat="false" ht="15" hidden="false" customHeight="true" outlineLevel="0" collapsed="false">
      <c r="A235" s="176" t="s">
        <v>2825</v>
      </c>
      <c r="B235" s="330" t="n">
        <v>0.95</v>
      </c>
    </row>
    <row r="236" customFormat="false" ht="15" hidden="false" customHeight="true" outlineLevel="0" collapsed="false">
      <c r="A236" s="176" t="s">
        <v>2766</v>
      </c>
      <c r="B236" s="330" t="n">
        <v>0.9</v>
      </c>
    </row>
    <row r="237" customFormat="false" ht="15" hidden="false" customHeight="true" outlineLevel="0" collapsed="false">
      <c r="A237" s="176" t="s">
        <v>2931</v>
      </c>
      <c r="B237" s="330" t="n">
        <v>1</v>
      </c>
    </row>
    <row r="238" customFormat="false" ht="15" hidden="false" customHeight="true" outlineLevel="0" collapsed="false">
      <c r="A238" s="176" t="s">
        <v>2932</v>
      </c>
      <c r="B238" s="330" t="n">
        <v>1.2</v>
      </c>
    </row>
    <row r="239" customFormat="false" ht="15" hidden="false" customHeight="true" outlineLevel="0" collapsed="false">
      <c r="A239" s="176" t="s">
        <v>2702</v>
      </c>
      <c r="B239" s="330" t="n">
        <v>0.86</v>
      </c>
    </row>
    <row r="240" customFormat="false" ht="15" hidden="false" customHeight="true" outlineLevel="0" collapsed="false">
      <c r="A240" s="176" t="s">
        <v>2748</v>
      </c>
      <c r="B240" s="330" t="n">
        <v>0.98</v>
      </c>
    </row>
    <row r="241" customFormat="false" ht="15" hidden="false" customHeight="true" outlineLevel="0" collapsed="false">
      <c r="A241" s="176" t="s">
        <v>2716</v>
      </c>
      <c r="B241" s="330" t="n">
        <v>1.02</v>
      </c>
    </row>
    <row r="242" customFormat="false" ht="15" hidden="false" customHeight="true" outlineLevel="0" collapsed="false">
      <c r="A242" s="176" t="s">
        <v>2722</v>
      </c>
      <c r="B242" s="330" t="n">
        <v>0.94</v>
      </c>
    </row>
    <row r="243" customFormat="false" ht="15" hidden="false" customHeight="true" outlineLevel="0" collapsed="false">
      <c r="A243" s="176" t="s">
        <v>2764</v>
      </c>
      <c r="B243" s="330" t="n">
        <v>0.83</v>
      </c>
    </row>
    <row r="244" customFormat="false" ht="15" hidden="false" customHeight="true" outlineLevel="0" collapsed="false">
      <c r="A244" s="176" t="s">
        <v>2774</v>
      </c>
      <c r="B244" s="330" t="n">
        <v>0.99</v>
      </c>
    </row>
    <row r="245" customFormat="false" ht="15" hidden="false" customHeight="true" outlineLevel="0" collapsed="false">
      <c r="A245" s="176" t="s">
        <v>2769</v>
      </c>
      <c r="B245" s="330" t="n">
        <v>0.99</v>
      </c>
    </row>
    <row r="246" customFormat="false" ht="15" hidden="false" customHeight="true" outlineLevel="0" collapsed="false">
      <c r="A246" s="176" t="s">
        <v>2776</v>
      </c>
      <c r="B246" s="330" t="n">
        <v>1.07</v>
      </c>
    </row>
    <row r="247" customFormat="false" ht="15" hidden="false" customHeight="true" outlineLevel="0" collapsed="false">
      <c r="A247" s="176" t="s">
        <v>2859</v>
      </c>
      <c r="B247" s="330" t="n">
        <v>0.83</v>
      </c>
    </row>
    <row r="248" customFormat="false" ht="15" hidden="false" customHeight="true" outlineLevel="0" collapsed="false">
      <c r="A248" s="176" t="s">
        <v>2933</v>
      </c>
      <c r="B248" s="330" t="n">
        <v>0.88</v>
      </c>
    </row>
    <row r="249" customFormat="false" ht="15" hidden="false" customHeight="true" outlineLevel="0" collapsed="false">
      <c r="A249" s="176" t="s">
        <v>2753</v>
      </c>
      <c r="B249" s="330" t="n">
        <v>0.86</v>
      </c>
    </row>
    <row r="250" customFormat="false" ht="15" hidden="false" customHeight="true" outlineLevel="0" collapsed="false">
      <c r="A250" s="176" t="s">
        <v>2706</v>
      </c>
      <c r="B250" s="330" t="n">
        <v>0.86</v>
      </c>
    </row>
    <row r="251" customFormat="false" ht="15" hidden="false" customHeight="true" outlineLevel="0" collapsed="false">
      <c r="A251" s="176" t="s">
        <v>2783</v>
      </c>
      <c r="B251" s="330" t="n">
        <v>0.84</v>
      </c>
    </row>
    <row r="252" customFormat="false" ht="15" hidden="false" customHeight="true" outlineLevel="0" collapsed="false">
      <c r="A252" s="176" t="s">
        <v>2699</v>
      </c>
      <c r="B252" s="330" t="n">
        <v>0.92</v>
      </c>
    </row>
    <row r="253" customFormat="false" ht="15" hidden="false" customHeight="true" outlineLevel="0" collapsed="false">
      <c r="A253" s="176" t="s">
        <v>2934</v>
      </c>
      <c r="B253" s="330" t="n">
        <v>1</v>
      </c>
    </row>
    <row r="254" customFormat="false" ht="15" hidden="false" customHeight="true" outlineLevel="0" collapsed="false">
      <c r="A254" s="176" t="s">
        <v>2788</v>
      </c>
      <c r="B254" s="330" t="n">
        <v>1</v>
      </c>
    </row>
    <row r="255" customFormat="false" ht="15" hidden="false" customHeight="true" outlineLevel="0" collapsed="false">
      <c r="A255" s="176" t="s">
        <v>2756</v>
      </c>
      <c r="B255" s="330" t="n">
        <v>0.99</v>
      </c>
    </row>
    <row r="256" customFormat="false" ht="15" hidden="false" customHeight="true" outlineLevel="0" collapsed="false">
      <c r="A256" s="176" t="s">
        <v>2836</v>
      </c>
      <c r="B256" s="330" t="n">
        <v>0.95</v>
      </c>
    </row>
    <row r="257" customFormat="false" ht="15" hidden="false" customHeight="true" outlineLevel="0" collapsed="false">
      <c r="A257" s="176" t="s">
        <v>2828</v>
      </c>
      <c r="B257" s="330" t="n">
        <v>0.92</v>
      </c>
    </row>
  </sheetData>
  <mergeCells count="3">
    <mergeCell ref="A1:H1"/>
    <mergeCell ref="A8:F8"/>
    <mergeCell ref="A29:C29"/>
  </mergeCells>
  <dataValidations count="1">
    <dataValidation allowBlank="true" errorStyle="stop" operator="between" showDropDown="false" showErrorMessage="true" showInputMessage="true" sqref="B3" type="list">
      <formula1>$A$31:$A$204</formula1>
      <formula2>0</formula2>
    </dataValidation>
  </dataValidations>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N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J6" activeCellId="0" sqref="J6"/>
    </sheetView>
  </sheetViews>
  <sheetFormatPr defaultColWidth="8.57421875" defaultRowHeight="15" zeroHeight="false" outlineLevelRow="0" outlineLevelCol="0"/>
  <cols>
    <col collapsed="false" customWidth="true" hidden="false" outlineLevel="0" max="1" min="1" style="1" width="6.71"/>
    <col collapsed="false" customWidth="true" hidden="false" outlineLevel="0" max="2" min="2" style="1" width="12.43"/>
    <col collapsed="false" customWidth="true" hidden="false" outlineLevel="0" max="3" min="3" style="1" width="62.86"/>
    <col collapsed="false" customWidth="true" hidden="false" outlineLevel="0" max="5" min="4" style="1" width="14.29"/>
    <col collapsed="false" customWidth="true" hidden="false" outlineLevel="0" max="8" min="6" style="1" width="21"/>
    <col collapsed="false" customWidth="true" hidden="false" outlineLevel="0" max="9" min="9" style="1" width="15.29"/>
    <col collapsed="false" customWidth="true" hidden="false" outlineLevel="0" max="10" min="10" style="1" width="21"/>
    <col collapsed="false" customWidth="true" hidden="false" outlineLevel="0" max="11" min="11" style="1" width="24.71"/>
    <col collapsed="false" customWidth="true" hidden="false" outlineLevel="0" max="12" min="12" style="1" width="17.14"/>
    <col collapsed="false" customWidth="true" hidden="false" outlineLevel="0" max="13" min="13" style="1" width="19"/>
    <col collapsed="false" customWidth="true" hidden="false" outlineLevel="0" max="14" min="14" style="1" width="21"/>
  </cols>
  <sheetData>
    <row r="1" customFormat="false" ht="24" hidden="false" customHeight="true" outlineLevel="0" collapsed="false">
      <c r="A1" s="346" t="s">
        <v>2935</v>
      </c>
      <c r="B1" s="346"/>
      <c r="C1" s="346"/>
      <c r="D1" s="346"/>
      <c r="E1" s="346"/>
      <c r="F1" s="346"/>
      <c r="G1" s="346"/>
      <c r="H1" s="346"/>
      <c r="I1" s="346"/>
      <c r="J1" s="346"/>
      <c r="K1" s="346"/>
      <c r="L1" s="346"/>
      <c r="M1" s="346"/>
      <c r="N1" s="346"/>
    </row>
    <row r="3" customFormat="false" ht="15" hidden="false" customHeight="true" outlineLevel="0" collapsed="false">
      <c r="A3" s="347" t="s">
        <v>2936</v>
      </c>
    </row>
    <row r="5" customFormat="false" ht="15" hidden="false" customHeight="true" outlineLevel="0" collapsed="false">
      <c r="A5" s="175" t="s">
        <v>266</v>
      </c>
      <c r="B5" s="175" t="s">
        <v>2712</v>
      </c>
      <c r="C5" s="175" t="s">
        <v>268</v>
      </c>
      <c r="D5" s="175" t="s">
        <v>2937</v>
      </c>
      <c r="E5" s="175" t="s">
        <v>274</v>
      </c>
      <c r="F5" s="175" t="s">
        <v>2606</v>
      </c>
      <c r="G5" s="175" t="s">
        <v>2938</v>
      </c>
      <c r="H5" s="175" t="s">
        <v>2939</v>
      </c>
      <c r="I5" s="175" t="s">
        <v>2940</v>
      </c>
      <c r="J5" s="175" t="s">
        <v>2941</v>
      </c>
      <c r="K5" s="175" t="s">
        <v>2942</v>
      </c>
      <c r="L5" s="175" t="s">
        <v>2572</v>
      </c>
      <c r="M5" s="175" t="s">
        <v>2943</v>
      </c>
      <c r="N5" s="175" t="s">
        <v>2944</v>
      </c>
    </row>
    <row r="6" customFormat="false" ht="30" hidden="false" customHeight="true" outlineLevel="0" collapsed="false">
      <c r="A6" s="342" t="n">
        <v>1</v>
      </c>
      <c r="B6" s="348" t="s">
        <v>2945</v>
      </c>
      <c r="C6" s="348" t="s">
        <v>2946</v>
      </c>
      <c r="D6" s="348" t="n">
        <v>7</v>
      </c>
      <c r="E6" s="348" t="s">
        <v>361</v>
      </c>
      <c r="F6" s="349" t="n">
        <v>1786466</v>
      </c>
      <c r="G6" s="349" t="n">
        <v>1450000</v>
      </c>
      <c r="H6" s="350" t="n">
        <f aca="false">IF(OR(F6=0,G6=0),0,F6-G6)</f>
        <v>336466</v>
      </c>
      <c r="I6" s="351" t="n">
        <f aca="false">IF(F6=0,0,H6/F6)</f>
        <v>0.188341675688202</v>
      </c>
      <c r="J6" s="352" t="s">
        <v>2947</v>
      </c>
      <c r="K6" s="352" t="s">
        <v>2948</v>
      </c>
      <c r="L6" s="353" t="s">
        <v>2949</v>
      </c>
      <c r="M6" s="354"/>
      <c r="N6" s="348"/>
    </row>
    <row r="7" customFormat="false" ht="30" hidden="false" customHeight="true" outlineLevel="0" collapsed="false">
      <c r="A7" s="233" t="n">
        <v>2</v>
      </c>
      <c r="B7" s="234" t="s">
        <v>2950</v>
      </c>
      <c r="C7" s="234" t="s">
        <v>2951</v>
      </c>
      <c r="D7" s="234" t="n">
        <v>3</v>
      </c>
      <c r="E7" s="234" t="s">
        <v>361</v>
      </c>
      <c r="F7" s="303" t="n">
        <v>4500000</v>
      </c>
      <c r="G7" s="303" t="n">
        <v>3825000</v>
      </c>
      <c r="H7" s="355" t="n">
        <f aca="false">IF(OR(F7=0,G7=0),0,F7-G7)</f>
        <v>675000</v>
      </c>
      <c r="I7" s="356" t="n">
        <f aca="false">IF(F7=0,0,H7/F7)</f>
        <v>0.15</v>
      </c>
      <c r="J7" s="357" t="s">
        <v>2622</v>
      </c>
      <c r="K7" s="357" t="s">
        <v>2952</v>
      </c>
      <c r="L7" s="353" t="s">
        <v>2949</v>
      </c>
      <c r="M7" s="358"/>
      <c r="N7" s="234"/>
    </row>
    <row r="8" customFormat="false" ht="30" hidden="false" customHeight="true" outlineLevel="0" collapsed="false">
      <c r="A8" s="342" t="n">
        <v>3</v>
      </c>
      <c r="B8" s="348" t="s">
        <v>2953</v>
      </c>
      <c r="C8" s="348" t="s">
        <v>2954</v>
      </c>
      <c r="D8" s="348" t="n">
        <v>5</v>
      </c>
      <c r="E8" s="348" t="s">
        <v>281</v>
      </c>
      <c r="F8" s="349" t="n">
        <v>34650000</v>
      </c>
      <c r="G8" s="349" t="n">
        <v>32200000</v>
      </c>
      <c r="H8" s="350" t="n">
        <f aca="false">IF(OR(F8=0,G8=0),0,F8-G8)</f>
        <v>2450000</v>
      </c>
      <c r="I8" s="351" t="n">
        <f aca="false">IF(F8=0,0,H8/F8)</f>
        <v>0.0707070707070707</v>
      </c>
      <c r="J8" s="352" t="s">
        <v>2955</v>
      </c>
      <c r="K8" s="352" t="s">
        <v>2956</v>
      </c>
      <c r="L8" s="353" t="s">
        <v>2949</v>
      </c>
      <c r="M8" s="354"/>
      <c r="N8" s="348"/>
    </row>
    <row r="9" customFormat="false" ht="30" hidden="false" customHeight="true" outlineLevel="0" collapsed="false">
      <c r="A9" s="233" t="n">
        <v>4</v>
      </c>
      <c r="B9" s="234" t="s">
        <v>2957</v>
      </c>
      <c r="C9" s="234" t="s">
        <v>2958</v>
      </c>
      <c r="D9" s="234" t="n">
        <v>32</v>
      </c>
      <c r="E9" s="234" t="s">
        <v>281</v>
      </c>
      <c r="F9" s="303" t="n">
        <v>528000</v>
      </c>
      <c r="G9" s="303" t="n">
        <v>0</v>
      </c>
      <c r="H9" s="355" t="n">
        <f aca="false">IF(OR(F9=0,G9=0),0,F9-G9)</f>
        <v>0</v>
      </c>
      <c r="I9" s="356" t="n">
        <f aca="false">IF(F9=0,0,H9/F9)</f>
        <v>0</v>
      </c>
      <c r="J9" s="357" t="s">
        <v>2622</v>
      </c>
      <c r="K9" s="357" t="s">
        <v>2959</v>
      </c>
      <c r="L9" s="353" t="s">
        <v>2949</v>
      </c>
      <c r="M9" s="358"/>
      <c r="N9" s="234"/>
    </row>
    <row r="10" customFormat="false" ht="30" hidden="false" customHeight="true" outlineLevel="0" collapsed="false">
      <c r="A10" s="342" t="n">
        <v>5</v>
      </c>
      <c r="B10" s="348" t="s">
        <v>2960</v>
      </c>
      <c r="C10" s="348" t="s">
        <v>2961</v>
      </c>
      <c r="D10" s="348" t="n">
        <v>8</v>
      </c>
      <c r="E10" s="348" t="s">
        <v>281</v>
      </c>
      <c r="F10" s="349" t="n">
        <v>409398</v>
      </c>
      <c r="G10" s="349" t="n">
        <v>365000</v>
      </c>
      <c r="H10" s="350" t="n">
        <f aca="false">IF(OR(F10=0,G10=0),0,F10-G10)</f>
        <v>44398</v>
      </c>
      <c r="I10" s="351" t="n">
        <f aca="false">IF(F10=0,0,H10/F10)</f>
        <v>0.108447036868768</v>
      </c>
      <c r="J10" s="352" t="s">
        <v>2622</v>
      </c>
      <c r="K10" s="352" t="s">
        <v>2962</v>
      </c>
      <c r="L10" s="353" t="s">
        <v>2949</v>
      </c>
      <c r="M10" s="354"/>
      <c r="N10" s="348"/>
    </row>
    <row r="11" customFormat="false" ht="15" hidden="false" customHeight="true" outlineLevel="0" collapsed="false">
      <c r="A11" s="233" t="n">
        <v>6</v>
      </c>
      <c r="B11" s="348" t="s">
        <v>2963</v>
      </c>
      <c r="C11" s="348" t="s">
        <v>2964</v>
      </c>
      <c r="D11" s="348" t="n">
        <v>26</v>
      </c>
      <c r="E11" s="348" t="s">
        <v>361</v>
      </c>
      <c r="F11" s="349" t="n">
        <v>24000000</v>
      </c>
      <c r="G11" s="349" t="n">
        <v>19500000</v>
      </c>
      <c r="H11" s="355" t="n">
        <f aca="false">IF(OR(F11=0,G11=0),0,F11-G11)</f>
        <v>4500000</v>
      </c>
      <c r="I11" s="356" t="n">
        <f aca="false">IF(F11=0,0,H11/F11)</f>
        <v>0.1875</v>
      </c>
      <c r="J11" s="352" t="s">
        <v>2965</v>
      </c>
      <c r="K11" s="352" t="s">
        <v>2966</v>
      </c>
      <c r="L11" s="353" t="s">
        <v>2949</v>
      </c>
      <c r="M11" s="358"/>
      <c r="N11" s="234"/>
    </row>
    <row r="12" customFormat="false" ht="15" hidden="false" customHeight="true" outlineLevel="0" collapsed="false">
      <c r="A12" s="342" t="n">
        <v>7</v>
      </c>
      <c r="B12" s="348" t="s">
        <v>2967</v>
      </c>
      <c r="C12" s="348" t="s">
        <v>2968</v>
      </c>
      <c r="D12" s="348" t="n">
        <v>23</v>
      </c>
      <c r="E12" s="348" t="s">
        <v>361</v>
      </c>
      <c r="F12" s="349" t="n">
        <v>47500000</v>
      </c>
      <c r="G12" s="349" t="n">
        <v>41000000</v>
      </c>
      <c r="H12" s="350" t="n">
        <f aca="false">IF(OR(F12=0,G12=0),0,F12-G12)</f>
        <v>6500000</v>
      </c>
      <c r="I12" s="351" t="n">
        <f aca="false">IF(F12=0,0,H12/F12)</f>
        <v>0.136842105263158</v>
      </c>
      <c r="J12" s="352" t="s">
        <v>2969</v>
      </c>
      <c r="K12" s="352" t="s">
        <v>2970</v>
      </c>
      <c r="L12" s="359" t="s">
        <v>2575</v>
      </c>
      <c r="M12" s="354"/>
      <c r="N12" s="348"/>
    </row>
    <row r="13" customFormat="false" ht="15" hidden="false" customHeight="true" outlineLevel="0" collapsed="false">
      <c r="A13" s="233" t="n">
        <v>8</v>
      </c>
      <c r="B13" s="348" t="s">
        <v>2971</v>
      </c>
      <c r="C13" s="348" t="s">
        <v>2972</v>
      </c>
      <c r="D13" s="348" t="n">
        <v>26</v>
      </c>
      <c r="E13" s="348" t="s">
        <v>361</v>
      </c>
      <c r="F13" s="349" t="n">
        <v>18000000</v>
      </c>
      <c r="G13" s="349" t="n">
        <v>15200000</v>
      </c>
      <c r="H13" s="355" t="n">
        <f aca="false">IF(OR(F13=0,G13=0),0,F13-G13)</f>
        <v>2800000</v>
      </c>
      <c r="I13" s="356" t="n">
        <f aca="false">IF(F13=0,0,H13/F13)</f>
        <v>0.155555555555556</v>
      </c>
      <c r="J13" s="352" t="s">
        <v>2965</v>
      </c>
      <c r="K13" s="352" t="s">
        <v>2966</v>
      </c>
      <c r="L13" s="353" t="s">
        <v>2949</v>
      </c>
      <c r="M13" s="358"/>
      <c r="N13" s="234"/>
    </row>
    <row r="14" customFormat="false" ht="15" hidden="false" customHeight="true" outlineLevel="0" collapsed="false">
      <c r="A14" s="342" t="n">
        <v>9</v>
      </c>
      <c r="B14" s="348" t="s">
        <v>2973</v>
      </c>
      <c r="C14" s="348" t="s">
        <v>2974</v>
      </c>
      <c r="D14" s="348" t="n">
        <v>23</v>
      </c>
      <c r="E14" s="348" t="s">
        <v>281</v>
      </c>
      <c r="F14" s="349" t="n">
        <v>3200000</v>
      </c>
      <c r="G14" s="349" t="n">
        <v>2400000</v>
      </c>
      <c r="H14" s="350" t="n">
        <f aca="false">IF(OR(F14=0,G14=0),0,F14-G14)</f>
        <v>800000</v>
      </c>
      <c r="I14" s="351" t="n">
        <f aca="false">IF(F14=0,0,H14/F14)</f>
        <v>0.25</v>
      </c>
      <c r="J14" s="352" t="s">
        <v>2969</v>
      </c>
      <c r="K14" s="352" t="s">
        <v>2966</v>
      </c>
      <c r="L14" s="353" t="s">
        <v>2949</v>
      </c>
      <c r="M14" s="354"/>
      <c r="N14" s="348"/>
    </row>
    <row r="15" customFormat="false" ht="15" hidden="false" customHeight="true" outlineLevel="0" collapsed="false">
      <c r="A15" s="233" t="n">
        <v>10</v>
      </c>
      <c r="B15" s="348" t="s">
        <v>2975</v>
      </c>
      <c r="C15" s="348" t="s">
        <v>2976</v>
      </c>
      <c r="D15" s="348" t="n">
        <v>27</v>
      </c>
      <c r="E15" s="348" t="s">
        <v>361</v>
      </c>
      <c r="F15" s="349" t="n">
        <v>12000000</v>
      </c>
      <c r="G15" s="349" t="n">
        <v>10300000</v>
      </c>
      <c r="H15" s="355" t="n">
        <f aca="false">IF(OR(F15=0,G15=0),0,F15-G15)</f>
        <v>1700000</v>
      </c>
      <c r="I15" s="356" t="n">
        <f aca="false">IF(F15=0,0,H15/F15)</f>
        <v>0.141666666666667</v>
      </c>
      <c r="J15" s="352" t="s">
        <v>2969</v>
      </c>
      <c r="K15" s="352" t="s">
        <v>2966</v>
      </c>
      <c r="L15" s="353" t="s">
        <v>2949</v>
      </c>
      <c r="M15" s="358"/>
      <c r="N15" s="234"/>
    </row>
    <row r="16" customFormat="false" ht="30" hidden="false" customHeight="true" outlineLevel="0" collapsed="false">
      <c r="A16" s="342" t="n">
        <v>11</v>
      </c>
      <c r="B16" s="348" t="s">
        <v>2977</v>
      </c>
      <c r="C16" s="348" t="s">
        <v>2978</v>
      </c>
      <c r="D16" s="348" t="n">
        <v>3</v>
      </c>
      <c r="E16" s="348" t="s">
        <v>361</v>
      </c>
      <c r="F16" s="349" t="n">
        <v>18000000</v>
      </c>
      <c r="G16" s="349" t="n">
        <v>14500000</v>
      </c>
      <c r="H16" s="350" t="n">
        <f aca="false">IF(OR(F16=0,G16=0),0,F16-G16)</f>
        <v>3500000</v>
      </c>
      <c r="I16" s="351" t="n">
        <f aca="false">IF(F16=0,0,H16/F16)</f>
        <v>0.194444444444444</v>
      </c>
      <c r="J16" s="352" t="s">
        <v>2979</v>
      </c>
      <c r="K16" s="352" t="s">
        <v>2980</v>
      </c>
      <c r="L16" s="353" t="s">
        <v>2949</v>
      </c>
      <c r="M16" s="354"/>
      <c r="N16" s="348"/>
    </row>
    <row r="17" customFormat="false" ht="45" hidden="false" customHeight="true" outlineLevel="0" collapsed="false">
      <c r="A17" s="233" t="n">
        <v>12</v>
      </c>
      <c r="B17" s="234" t="s">
        <v>2981</v>
      </c>
      <c r="C17" s="234" t="s">
        <v>2982</v>
      </c>
      <c r="D17" s="234" t="n">
        <v>26</v>
      </c>
      <c r="E17" s="234" t="s">
        <v>361</v>
      </c>
      <c r="F17" s="303" t="n">
        <v>38000000</v>
      </c>
      <c r="G17" s="303" t="n">
        <v>31000000</v>
      </c>
      <c r="H17" s="355" t="n">
        <f aca="false">IF(OR(F17=0,G17=0),0,F17-G17)</f>
        <v>7000000</v>
      </c>
      <c r="I17" s="356" t="n">
        <f aca="false">IF(F17=0,0,H17/F17)</f>
        <v>0.184210526315789</v>
      </c>
      <c r="J17" s="357" t="s">
        <v>2622</v>
      </c>
      <c r="K17" s="357" t="s">
        <v>2983</v>
      </c>
      <c r="L17" s="353" t="s">
        <v>2949</v>
      </c>
      <c r="M17" s="358"/>
      <c r="N17" s="234"/>
    </row>
    <row r="18" customFormat="false" ht="30" hidden="false" customHeight="true" outlineLevel="0" collapsed="false">
      <c r="A18" s="342" t="n">
        <v>13</v>
      </c>
      <c r="B18" s="348" t="s">
        <v>2984</v>
      </c>
      <c r="C18" s="348" t="s">
        <v>2985</v>
      </c>
      <c r="D18" s="348" t="n">
        <v>26</v>
      </c>
      <c r="E18" s="348" t="s">
        <v>281</v>
      </c>
      <c r="F18" s="349" t="n">
        <v>26000000</v>
      </c>
      <c r="G18" s="349" t="n">
        <v>22000000</v>
      </c>
      <c r="H18" s="350" t="n">
        <f aca="false">IF(OR(F18=0,G18=0),0,F18-G18)</f>
        <v>4000000</v>
      </c>
      <c r="I18" s="351" t="n">
        <f aca="false">IF(F18=0,0,H18/F18)</f>
        <v>0.153846153846154</v>
      </c>
      <c r="J18" s="352" t="s">
        <v>2979</v>
      </c>
      <c r="K18" s="352" t="s">
        <v>2986</v>
      </c>
      <c r="L18" s="353" t="s">
        <v>2949</v>
      </c>
      <c r="M18" s="354"/>
      <c r="N18" s="348"/>
    </row>
    <row r="19" customFormat="false" ht="30" hidden="false" customHeight="true" outlineLevel="0" collapsed="false">
      <c r="A19" s="233" t="n">
        <v>14</v>
      </c>
      <c r="B19" s="234" t="s">
        <v>2987</v>
      </c>
      <c r="C19" s="234" t="s">
        <v>2988</v>
      </c>
      <c r="D19" s="234" t="n">
        <v>26</v>
      </c>
      <c r="E19" s="234" t="s">
        <v>361</v>
      </c>
      <c r="F19" s="303" t="n">
        <v>14000000</v>
      </c>
      <c r="G19" s="303" t="n">
        <v>9500000</v>
      </c>
      <c r="H19" s="355" t="n">
        <f aca="false">IF(OR(F19=0,G19=0),0,F19-G19)</f>
        <v>4500000</v>
      </c>
      <c r="I19" s="356" t="n">
        <f aca="false">IF(F19=0,0,H19/F19)</f>
        <v>0.321428571428571</v>
      </c>
      <c r="J19" s="357" t="s">
        <v>2622</v>
      </c>
      <c r="K19" s="357" t="s">
        <v>2989</v>
      </c>
      <c r="L19" s="359" t="s">
        <v>2575</v>
      </c>
      <c r="M19" s="358"/>
      <c r="N19" s="234"/>
    </row>
    <row r="20" customFormat="false" ht="30" hidden="false" customHeight="true" outlineLevel="0" collapsed="false">
      <c r="A20" s="342" t="n">
        <v>15</v>
      </c>
      <c r="B20" s="348" t="s">
        <v>2990</v>
      </c>
      <c r="C20" s="348" t="s">
        <v>2991</v>
      </c>
      <c r="D20" s="348" t="n">
        <v>23</v>
      </c>
      <c r="E20" s="348" t="s">
        <v>281</v>
      </c>
      <c r="F20" s="349" t="n">
        <v>42000000</v>
      </c>
      <c r="G20" s="349" t="n">
        <v>34000000</v>
      </c>
      <c r="H20" s="350" t="n">
        <f aca="false">IF(OR(F20=0,G20=0),0,F20-G20)</f>
        <v>8000000</v>
      </c>
      <c r="I20" s="351" t="n">
        <f aca="false">IF(F20=0,0,H20/F20)</f>
        <v>0.19047619047619</v>
      </c>
      <c r="J20" s="352" t="s">
        <v>2947</v>
      </c>
      <c r="K20" s="352" t="s">
        <v>2992</v>
      </c>
      <c r="L20" s="359" t="s">
        <v>2575</v>
      </c>
      <c r="M20" s="354"/>
      <c r="N20" s="348"/>
    </row>
    <row r="21" customFormat="false" ht="30" hidden="false" customHeight="true" outlineLevel="0" collapsed="false">
      <c r="A21" s="233" t="n">
        <v>16</v>
      </c>
      <c r="B21" s="348" t="s">
        <v>2993</v>
      </c>
      <c r="C21" s="348" t="s">
        <v>2994</v>
      </c>
      <c r="D21" s="348" t="n">
        <v>23</v>
      </c>
      <c r="E21" s="348" t="s">
        <v>361</v>
      </c>
      <c r="F21" s="349" t="n">
        <v>30000000</v>
      </c>
      <c r="G21" s="349" t="n">
        <v>26500000</v>
      </c>
      <c r="H21" s="355" t="n">
        <f aca="false">IF(OR(F21=0,G21=0),0,F21-G21)</f>
        <v>3500000</v>
      </c>
      <c r="I21" s="356" t="n">
        <f aca="false">IF(F21=0,0,H21/F21)</f>
        <v>0.116666666666667</v>
      </c>
      <c r="J21" s="352" t="s">
        <v>2622</v>
      </c>
      <c r="K21" s="352" t="s">
        <v>2995</v>
      </c>
      <c r="L21" s="353" t="s">
        <v>2949</v>
      </c>
      <c r="M21" s="358"/>
      <c r="N21" s="234"/>
    </row>
    <row r="22" customFormat="false" ht="30" hidden="false" customHeight="true" outlineLevel="0" collapsed="false">
      <c r="A22" s="342" t="n">
        <v>17</v>
      </c>
      <c r="B22" s="348" t="s">
        <v>2996</v>
      </c>
      <c r="C22" s="348" t="s">
        <v>2997</v>
      </c>
      <c r="D22" s="348" t="n">
        <v>26</v>
      </c>
      <c r="E22" s="348" t="s">
        <v>281</v>
      </c>
      <c r="F22" s="349" t="n">
        <v>60000000</v>
      </c>
      <c r="G22" s="349" t="n">
        <v>48000000</v>
      </c>
      <c r="H22" s="350" t="n">
        <f aca="false">IF(OR(F22=0,G22=0),0,F22-G22)</f>
        <v>12000000</v>
      </c>
      <c r="I22" s="351" t="n">
        <f aca="false">IF(F22=0,0,H22/F22)</f>
        <v>0.2</v>
      </c>
      <c r="J22" s="352" t="s">
        <v>2955</v>
      </c>
      <c r="K22" s="352" t="s">
        <v>2998</v>
      </c>
      <c r="L22" s="359" t="s">
        <v>2575</v>
      </c>
      <c r="M22" s="354"/>
      <c r="N22" s="348"/>
    </row>
    <row r="23" customFormat="false" ht="30" hidden="false" customHeight="true" outlineLevel="0" collapsed="false">
      <c r="A23" s="233" t="n">
        <v>18</v>
      </c>
      <c r="B23" s="348" t="s">
        <v>2999</v>
      </c>
      <c r="C23" s="348" t="s">
        <v>3000</v>
      </c>
      <c r="D23" s="348" t="n">
        <v>26</v>
      </c>
      <c r="E23" s="348" t="s">
        <v>361</v>
      </c>
      <c r="F23" s="349" t="n">
        <v>22000000</v>
      </c>
      <c r="G23" s="349" t="n">
        <v>19800000</v>
      </c>
      <c r="H23" s="355" t="n">
        <f aca="false">IF(OR(F23=0,G23=0),0,F23-G23)</f>
        <v>2200000</v>
      </c>
      <c r="I23" s="356" t="n">
        <f aca="false">IF(F23=0,0,H23/F23)</f>
        <v>0.1</v>
      </c>
      <c r="J23" s="352" t="s">
        <v>2947</v>
      </c>
      <c r="K23" s="352" t="s">
        <v>3001</v>
      </c>
      <c r="L23" s="353" t="s">
        <v>2949</v>
      </c>
      <c r="M23" s="358"/>
      <c r="N23" s="234"/>
    </row>
    <row r="24" customFormat="false" ht="30" hidden="false" customHeight="true" outlineLevel="0" collapsed="false">
      <c r="A24" s="342" t="n">
        <v>19</v>
      </c>
      <c r="B24" s="348" t="s">
        <v>3002</v>
      </c>
      <c r="C24" s="348" t="s">
        <v>3003</v>
      </c>
      <c r="D24" s="348" t="n">
        <v>9</v>
      </c>
      <c r="E24" s="348" t="s">
        <v>361</v>
      </c>
      <c r="F24" s="349" t="n">
        <v>6000000</v>
      </c>
      <c r="G24" s="349" t="n">
        <v>4200000</v>
      </c>
      <c r="H24" s="350" t="n">
        <f aca="false">IF(OR(F24=0,G24=0),0,F24-G24)</f>
        <v>1800000</v>
      </c>
      <c r="I24" s="351" t="n">
        <f aca="false">IF(F24=0,0,H24/F24)</f>
        <v>0.3</v>
      </c>
      <c r="J24" s="352" t="s">
        <v>2979</v>
      </c>
      <c r="K24" s="352" t="s">
        <v>3004</v>
      </c>
      <c r="L24" s="353" t="s">
        <v>2949</v>
      </c>
      <c r="M24" s="354"/>
      <c r="N24" s="348"/>
    </row>
    <row r="25" customFormat="false" ht="30" hidden="false" customHeight="true" outlineLevel="0" collapsed="false">
      <c r="A25" s="233" t="n">
        <v>20</v>
      </c>
      <c r="B25" s="348" t="s">
        <v>3005</v>
      </c>
      <c r="C25" s="348" t="s">
        <v>3006</v>
      </c>
      <c r="D25" s="348" t="n">
        <v>23</v>
      </c>
      <c r="E25" s="348" t="s">
        <v>281</v>
      </c>
      <c r="F25" s="349" t="n">
        <v>8500000</v>
      </c>
      <c r="G25" s="349" t="n">
        <v>6000000</v>
      </c>
      <c r="H25" s="355" t="n">
        <f aca="false">IF(OR(F25=0,G25=0),0,F25-G25)</f>
        <v>2500000</v>
      </c>
      <c r="I25" s="356" t="n">
        <f aca="false">IF(F25=0,0,H25/F25)</f>
        <v>0.294117647058824</v>
      </c>
      <c r="J25" s="352" t="s">
        <v>2622</v>
      </c>
      <c r="K25" s="352" t="s">
        <v>3007</v>
      </c>
      <c r="L25" s="359" t="s">
        <v>2575</v>
      </c>
      <c r="M25" s="358"/>
      <c r="N25" s="234"/>
    </row>
    <row r="26" customFormat="false" ht="15" hidden="false" customHeight="true" outlineLevel="0" collapsed="false">
      <c r="J26" s="360"/>
      <c r="K26" s="360"/>
    </row>
    <row r="27" customFormat="false" ht="15" hidden="false" customHeight="true" outlineLevel="0" collapsed="false">
      <c r="A27" s="117"/>
      <c r="B27" s="117"/>
      <c r="C27" s="117" t="s">
        <v>3008</v>
      </c>
      <c r="D27" s="117"/>
      <c r="E27" s="117"/>
      <c r="F27" s="361" t="n">
        <f aca="false">SUM(F6:F25)</f>
        <v>411073864</v>
      </c>
      <c r="G27" s="361" t="n">
        <f aca="false">SUM(G6:G25)</f>
        <v>341740000</v>
      </c>
      <c r="H27" s="361" t="n">
        <f aca="false">SUM(H6:H25)</f>
        <v>68805864</v>
      </c>
      <c r="I27" s="362" t="n">
        <f aca="false">IF(F27=0,0,H27/F27)</f>
        <v>0.167380780014757</v>
      </c>
      <c r="J27" s="363"/>
      <c r="K27" s="363"/>
      <c r="L27" s="117"/>
      <c r="M27" s="117"/>
      <c r="N27" s="117"/>
    </row>
    <row r="28" customFormat="false" ht="15" hidden="false" customHeight="true" outlineLevel="0" collapsed="false">
      <c r="J28" s="360"/>
      <c r="K28" s="360"/>
    </row>
    <row r="29" customFormat="false" ht="15.75" hidden="false" customHeight="true" outlineLevel="0" collapsed="false">
      <c r="A29" s="364" t="s">
        <v>3009</v>
      </c>
      <c r="B29" s="364"/>
      <c r="C29" s="364"/>
      <c r="D29" s="364"/>
      <c r="E29" s="364"/>
      <c r="F29" s="364"/>
      <c r="G29" s="364"/>
      <c r="H29" s="364"/>
      <c r="I29" s="364"/>
      <c r="J29" s="365"/>
      <c r="K29" s="365"/>
      <c r="L29" s="364"/>
      <c r="M29" s="364"/>
      <c r="N29" s="364"/>
    </row>
    <row r="30" customFormat="false" ht="15" hidden="false" customHeight="true" outlineLevel="0" collapsed="false">
      <c r="A30" s="366" t="s">
        <v>2949</v>
      </c>
      <c r="B30" s="1" t="s">
        <v>3010</v>
      </c>
      <c r="C30" s="176" t="n">
        <f aca="false">COUNTIF(L6:L25,"Accepted")</f>
        <v>15</v>
      </c>
      <c r="D30" s="1" t="s">
        <v>3011</v>
      </c>
      <c r="E30" s="180" t="n">
        <f aca="false">SUMIF(L6:L25,"Accepted",H6:H25)</f>
        <v>35305864</v>
      </c>
      <c r="J30" s="360"/>
      <c r="K30" s="360"/>
    </row>
    <row r="31" customFormat="false" ht="15" hidden="false" customHeight="true" outlineLevel="0" collapsed="false">
      <c r="A31" s="268" t="s">
        <v>3012</v>
      </c>
      <c r="B31" s="1" t="s">
        <v>3010</v>
      </c>
      <c r="C31" s="176" t="n">
        <f aca="false">COUNTIF(L6:L25,"Pending")+COUNTIF(L6:L25,"Under Review")</f>
        <v>5</v>
      </c>
      <c r="D31" s="1" t="s">
        <v>3011</v>
      </c>
      <c r="E31" s="180" t="n">
        <f aca="false">SUMIF(L6:L25,"Pending",H6:H25)+SUMIF(L6:L25,"Under Review",H6:H25)</f>
        <v>33500000</v>
      </c>
      <c r="J31" s="360"/>
      <c r="K31" s="360"/>
    </row>
    <row r="32" customFormat="false" ht="15" hidden="false" customHeight="true" outlineLevel="0" collapsed="false">
      <c r="A32" s="367" t="s">
        <v>3013</v>
      </c>
      <c r="B32" s="1" t="s">
        <v>3010</v>
      </c>
      <c r="C32" s="176" t="n">
        <f aca="false">COUNTIF(L6:L25,"Rejected")</f>
        <v>0</v>
      </c>
      <c r="D32" s="1" t="s">
        <v>3011</v>
      </c>
      <c r="E32" s="180" t="n">
        <f aca="false">SUMIF(L6:L25,"Rejected",H6:H25)</f>
        <v>0</v>
      </c>
      <c r="J32" s="360"/>
      <c r="K32" s="360"/>
    </row>
    <row r="33" customFormat="false" ht="15" hidden="false" customHeight="true" outlineLevel="0" collapsed="false">
      <c r="J33" s="360"/>
      <c r="K33" s="360"/>
    </row>
    <row r="34" customFormat="false" ht="15" hidden="false" customHeight="true" outlineLevel="0" collapsed="false">
      <c r="A34" s="108" t="s">
        <v>3014</v>
      </c>
      <c r="B34" s="108"/>
      <c r="C34" s="108"/>
      <c r="D34" s="108"/>
      <c r="E34" s="108"/>
      <c r="J34" s="360"/>
      <c r="K34" s="360"/>
    </row>
    <row r="35" customFormat="false" ht="15" hidden="false" customHeight="true" outlineLevel="0" collapsed="false">
      <c r="A35" s="368" t="s">
        <v>3015</v>
      </c>
      <c r="B35" s="368"/>
      <c r="C35" s="368"/>
      <c r="D35" s="368"/>
      <c r="E35" s="369" t="n">
        <f aca="false">'Campus Rollup'!H16</f>
        <v>1088341827.06739</v>
      </c>
      <c r="J35" s="360"/>
      <c r="K35" s="360"/>
    </row>
    <row r="36" customFormat="false" ht="15" hidden="false" customHeight="true" outlineLevel="0" collapsed="false">
      <c r="A36" s="368" t="s">
        <v>3016</v>
      </c>
      <c r="B36" s="368"/>
      <c r="C36" s="368"/>
      <c r="D36" s="368"/>
      <c r="E36" s="369" t="n">
        <f aca="false">$L$43</f>
        <v>35305864</v>
      </c>
      <c r="J36" s="360"/>
      <c r="K36" s="360"/>
    </row>
    <row r="37" customFormat="false" ht="15" hidden="false" customHeight="true" outlineLevel="0" collapsed="false">
      <c r="A37" s="368" t="s">
        <v>3017</v>
      </c>
      <c r="B37" s="368"/>
      <c r="C37" s="368"/>
      <c r="D37" s="368"/>
      <c r="E37" s="370" t="n">
        <f aca="false">$E$35-$L$43</f>
        <v>1053035963.06739</v>
      </c>
      <c r="J37" s="360"/>
      <c r="K37" s="360"/>
    </row>
    <row r="38" customFormat="false" ht="15" hidden="false" customHeight="true" outlineLevel="0" collapsed="false">
      <c r="A38" s="368" t="s">
        <v>3018</v>
      </c>
      <c r="B38" s="368"/>
      <c r="C38" s="368"/>
      <c r="D38" s="368"/>
      <c r="E38" s="369" t="n">
        <f aca="false">IF('Campus Rollup'!D16=0,"—",$E$37/'Campus Rollup'!D16)</f>
        <v>11700399.5896377</v>
      </c>
      <c r="J38" s="360"/>
      <c r="K38" s="360"/>
    </row>
    <row r="39" customFormat="false" ht="15" hidden="false" customHeight="true" outlineLevel="0" collapsed="false">
      <c r="J39" s="360"/>
      <c r="K39" s="360"/>
    </row>
    <row r="40" customFormat="false" ht="31.5" hidden="false" customHeight="true" outlineLevel="0" collapsed="false">
      <c r="A40" s="245" t="s">
        <v>3019</v>
      </c>
      <c r="B40" s="149"/>
      <c r="C40" s="149"/>
      <c r="D40" s="149"/>
      <c r="E40" s="149"/>
      <c r="F40" s="149"/>
      <c r="G40" s="149"/>
      <c r="H40" s="149"/>
      <c r="J40" s="371" t="s">
        <v>3020</v>
      </c>
      <c r="K40" s="372"/>
      <c r="L40" s="373"/>
      <c r="M40" s="373"/>
      <c r="N40" s="374"/>
    </row>
    <row r="41" customFormat="false" ht="15" hidden="false" customHeight="true" outlineLevel="0" collapsed="false">
      <c r="A41" s="375" t="s">
        <v>3021</v>
      </c>
      <c r="J41" s="376" t="s">
        <v>3022</v>
      </c>
      <c r="K41" s="377"/>
      <c r="L41" s="378" t="s">
        <v>3023</v>
      </c>
      <c r="M41" s="379"/>
      <c r="N41" s="380"/>
    </row>
    <row r="42" customFormat="false" ht="15" hidden="false" customHeight="true" outlineLevel="0" collapsed="false">
      <c r="A42" s="381"/>
      <c r="B42" s="381" t="s">
        <v>2712</v>
      </c>
      <c r="C42" s="382" t="s">
        <v>268</v>
      </c>
      <c r="D42" s="381" t="s">
        <v>3024</v>
      </c>
      <c r="E42" s="381" t="s">
        <v>3025</v>
      </c>
      <c r="F42" s="381" t="s">
        <v>3026</v>
      </c>
      <c r="G42" s="381" t="s">
        <v>3023</v>
      </c>
      <c r="H42" s="381" t="s">
        <v>3027</v>
      </c>
      <c r="I42" s="381" t="s">
        <v>3028</v>
      </c>
      <c r="J42" s="383" t="s">
        <v>3029</v>
      </c>
      <c r="K42" s="377"/>
      <c r="L42" s="384" t="n">
        <f aca="false">IF(L41="Custom (Status)",$C$30,INDEX($E$64:$I$64,MATCH($L$41,$E$42:$I$42,0)))</f>
        <v>15</v>
      </c>
      <c r="M42" s="379"/>
      <c r="N42" s="380"/>
    </row>
    <row r="43" customFormat="false" ht="15" hidden="false" customHeight="true" outlineLevel="0" collapsed="false">
      <c r="A43" s="385"/>
      <c r="B43" s="386" t="str">
        <f aca="false">B6</f>
        <v>VE-001</v>
      </c>
      <c r="C43" s="387" t="str">
        <f aca="false">C6</f>
        <v>Tilt-up panels in lieu of CMU exterior wall</v>
      </c>
      <c r="D43" s="386" t="str">
        <f aca="false">IF(ISNUMBER(SEARCH("High",K6)),"High",IF(ISNUMBER(SEARCH("Med",K6)),"Med","Low"))</f>
        <v>Low</v>
      </c>
      <c r="E43" s="388" t="n">
        <v>0</v>
      </c>
      <c r="F43" s="388" t="n">
        <v>1</v>
      </c>
      <c r="G43" s="388" t="n">
        <v>1</v>
      </c>
      <c r="H43" s="388" t="n">
        <v>1</v>
      </c>
      <c r="I43" s="388" t="n">
        <v>1</v>
      </c>
      <c r="J43" s="376" t="s">
        <v>3030</v>
      </c>
      <c r="K43" s="377"/>
      <c r="L43" s="389" t="n">
        <f aca="false">IF(L41="Custom (Status)",$E$30,INDEX($E$65:$I$65,MATCH($L$41,$E$42:$I$42,0)))</f>
        <v>35305864</v>
      </c>
      <c r="M43" s="379"/>
      <c r="N43" s="380"/>
    </row>
    <row r="44" customFormat="false" ht="15" hidden="false" customHeight="true" outlineLevel="0" collapsed="false">
      <c r="A44" s="390"/>
      <c r="B44" s="391" t="str">
        <f aca="false">B7</f>
        <v>VE-002</v>
      </c>
      <c r="C44" s="392" t="str">
        <f aca="false">C7</f>
        <v>Reduce slab thickness in admin building</v>
      </c>
      <c r="D44" s="391" t="str">
        <f aca="false">IF(ISNUMBER(SEARCH("High",K7)),"High",IF(ISNUMBER(SEARCH("Med",K7)),"Med","Low"))</f>
        <v>Low</v>
      </c>
      <c r="E44" s="393" t="n">
        <v>0</v>
      </c>
      <c r="F44" s="393" t="n">
        <v>1</v>
      </c>
      <c r="G44" s="393" t="n">
        <v>1</v>
      </c>
      <c r="H44" s="393" t="n">
        <v>1</v>
      </c>
      <c r="I44" s="393" t="n">
        <v>1</v>
      </c>
      <c r="J44" s="376" t="s">
        <v>3031</v>
      </c>
      <c r="K44" s="377"/>
      <c r="L44" s="394" t="n">
        <f aca="false">$E$35-$L$43</f>
        <v>1053035963.06739</v>
      </c>
      <c r="M44" s="379"/>
      <c r="N44" s="380"/>
    </row>
    <row r="45" customFormat="false" ht="15" hidden="false" customHeight="true" outlineLevel="0" collapsed="false">
      <c r="A45" s="385"/>
      <c r="B45" s="386" t="str">
        <f aca="false">B8</f>
        <v>VE-003</v>
      </c>
      <c r="C45" s="387" t="str">
        <f aca="false">C8</f>
        <v>Single-source steel package across campus</v>
      </c>
      <c r="D45" s="386" t="str">
        <f aca="false">IF(ISNUMBER(SEARCH("High",K8)),"High",IF(ISNUMBER(SEARCH("Med",K8)),"Med","Low"))</f>
        <v>Med</v>
      </c>
      <c r="E45" s="388" t="n">
        <v>0</v>
      </c>
      <c r="F45" s="388" t="n">
        <v>0</v>
      </c>
      <c r="G45" s="388" t="n">
        <v>1</v>
      </c>
      <c r="H45" s="388" t="n">
        <v>1</v>
      </c>
      <c r="I45" s="388" t="n">
        <v>1</v>
      </c>
      <c r="J45" s="376" t="s">
        <v>3032</v>
      </c>
      <c r="K45" s="377"/>
      <c r="L45" s="395" t="n">
        <f aca="false">$L$44/'Campus Rollup'!$D$16</f>
        <v>11700399.5896377</v>
      </c>
      <c r="M45" s="379"/>
      <c r="N45" s="380"/>
    </row>
    <row r="46" customFormat="false" ht="15" hidden="false" customHeight="true" outlineLevel="0" collapsed="false">
      <c r="A46" s="390"/>
      <c r="B46" s="391" t="str">
        <f aca="false">B9</f>
        <v>VE-004</v>
      </c>
      <c r="C46" s="392" t="str">
        <f aca="false">C9</f>
        <v>Defer landscaping to post-occupancy</v>
      </c>
      <c r="D46" s="391" t="str">
        <f aca="false">IF(ISNUMBER(SEARCH("High",K9)),"High",IF(ISNUMBER(SEARCH("Med",K9)),"Med","Low"))</f>
        <v>Low</v>
      </c>
      <c r="E46" s="393" t="n">
        <v>0</v>
      </c>
      <c r="F46" s="393" t="n">
        <v>1</v>
      </c>
      <c r="G46" s="393" t="n">
        <v>1</v>
      </c>
      <c r="H46" s="393" t="n">
        <v>1</v>
      </c>
      <c r="I46" s="393" t="n">
        <v>1</v>
      </c>
      <c r="J46" s="376" t="s">
        <v>3033</v>
      </c>
      <c r="K46" s="377"/>
      <c r="L46" s="396" t="n">
        <f aca="false">$L$43/$E$35</f>
        <v>0.0324400506549803</v>
      </c>
      <c r="M46" s="379"/>
      <c r="N46" s="380"/>
    </row>
    <row r="47" customFormat="false" ht="15" hidden="false" customHeight="true" outlineLevel="0" collapsed="false">
      <c r="A47" s="385"/>
      <c r="B47" s="386" t="str">
        <f aca="false">B10</f>
        <v>VE-005</v>
      </c>
      <c r="C47" s="387" t="str">
        <f aca="false">C10</f>
        <v>Standardize door hardware across all buildings</v>
      </c>
      <c r="D47" s="386" t="str">
        <f aca="false">IF(ISNUMBER(SEARCH("High",K10)),"High",IF(ISNUMBER(SEARCH("Med",K10)),"Med","Low"))</f>
        <v>Low</v>
      </c>
      <c r="E47" s="388" t="n">
        <v>0</v>
      </c>
      <c r="F47" s="388" t="n">
        <v>1</v>
      </c>
      <c r="G47" s="388" t="n">
        <v>1</v>
      </c>
      <c r="H47" s="388" t="n">
        <v>1</v>
      </c>
      <c r="I47" s="388" t="n">
        <v>1</v>
      </c>
      <c r="J47" s="397" t="s">
        <v>3034</v>
      </c>
      <c r="K47" s="398"/>
      <c r="L47" s="399" t="n">
        <f aca="false">IF(L41="Custom (Status)",SUMPRODUCT(($D$43:$D$62="Med")*($L$6:$L$25="Accepted")),INDEX($E$69:$I$69,MATCH($L$41,$E$42:$I$42,0)))</f>
        <v>4</v>
      </c>
      <c r="M47" s="400"/>
      <c r="N47" s="401"/>
    </row>
    <row r="48" customFormat="false" ht="15" hidden="false" customHeight="true" outlineLevel="0" collapsed="false">
      <c r="A48" s="390"/>
      <c r="B48" s="391" t="str">
        <f aca="false">B11</f>
        <v>VE-006</v>
      </c>
      <c r="C48" s="392" t="str">
        <f aca="false">C11</f>
        <v>Overhead busway in lieu of conduit + cable whips (data halls)</v>
      </c>
      <c r="D48" s="391" t="str">
        <f aca="false">IF(ISNUMBER(SEARCH("High",K11)),"High",IF(ISNUMBER(SEARCH("Med",K11)),"Med","Low"))</f>
        <v>Low</v>
      </c>
      <c r="E48" s="393" t="n">
        <v>0</v>
      </c>
      <c r="F48" s="393" t="n">
        <v>1</v>
      </c>
      <c r="G48" s="393" t="n">
        <v>1</v>
      </c>
      <c r="H48" s="393" t="n">
        <v>1</v>
      </c>
      <c r="I48" s="393" t="n">
        <v>1</v>
      </c>
      <c r="J48" s="397" t="s">
        <v>3035</v>
      </c>
      <c r="K48" s="360"/>
      <c r="L48" s="399" t="n">
        <f aca="false">IF(L41="Custom (Status)",SUMPRODUCT(($D$43:$D$62="High")*($L$6:$L$25="Accepted")),INDEX($E$70:$I$70,MATCH($L$41,$E$42:$I$42,0)))</f>
        <v>0</v>
      </c>
    </row>
    <row r="49" customFormat="false" ht="15" hidden="false" customHeight="true" outlineLevel="0" collapsed="false">
      <c r="A49" s="385"/>
      <c r="B49" s="386" t="str">
        <f aca="false">B12</f>
        <v>VE-007</v>
      </c>
      <c r="C49" s="387" t="str">
        <f aca="false">C12</f>
        <v>Air-cooled chillers; eliminate cooling towers + CW treatment</v>
      </c>
      <c r="D49" s="386" t="str">
        <f aca="false">IF(ISNUMBER(SEARCH("High",K12)),"High",IF(ISNUMBER(SEARCH("Med",K12)),"Med","Low"))</f>
        <v>Med</v>
      </c>
      <c r="E49" s="388" t="n">
        <v>0</v>
      </c>
      <c r="F49" s="388" t="n">
        <v>0</v>
      </c>
      <c r="G49" s="388" t="n">
        <v>0</v>
      </c>
      <c r="H49" s="388" t="n">
        <v>1</v>
      </c>
      <c r="I49" s="388" t="n">
        <v>1</v>
      </c>
      <c r="J49" s="360"/>
      <c r="K49" s="360"/>
    </row>
    <row r="50" customFormat="false" ht="15" hidden="false" customHeight="true" outlineLevel="0" collapsed="false">
      <c r="A50" s="390"/>
      <c r="B50" s="391" t="str">
        <f aca="false">B13</f>
        <v>VE-008</v>
      </c>
      <c r="C50" s="392" t="str">
        <f aca="false">C13</f>
        <v>Prefabricated electrical skids (modular PDU / RPP)</v>
      </c>
      <c r="D50" s="391" t="str">
        <f aca="false">IF(ISNUMBER(SEARCH("High",K13)),"High",IF(ISNUMBER(SEARCH("Med",K13)),"Med","Low"))</f>
        <v>Low</v>
      </c>
      <c r="E50" s="393" t="n">
        <v>0</v>
      </c>
      <c r="F50" s="393" t="n">
        <v>1</v>
      </c>
      <c r="G50" s="393" t="n">
        <v>1</v>
      </c>
      <c r="H50" s="393" t="n">
        <v>1</v>
      </c>
      <c r="I50" s="393" t="n">
        <v>1</v>
      </c>
      <c r="J50" s="360"/>
      <c r="K50" s="360"/>
    </row>
    <row r="51" customFormat="false" ht="15" hidden="false" customHeight="true" outlineLevel="0" collapsed="false">
      <c r="A51" s="385"/>
      <c r="B51" s="386" t="str">
        <f aca="false">B14</f>
        <v>VE-009</v>
      </c>
      <c r="C51" s="387" t="str">
        <f aca="false">C14</f>
        <v>VRF for office / admin in lieu of chilled-water AHUs</v>
      </c>
      <c r="D51" s="386" t="str">
        <f aca="false">IF(ISNUMBER(SEARCH("High",K14)),"High",IF(ISNUMBER(SEARCH("Med",K14)),"Med","Low"))</f>
        <v>Low</v>
      </c>
      <c r="E51" s="388" t="n">
        <v>0</v>
      </c>
      <c r="F51" s="388" t="n">
        <v>1</v>
      </c>
      <c r="G51" s="388" t="n">
        <v>1</v>
      </c>
      <c r="H51" s="388" t="n">
        <v>1</v>
      </c>
      <c r="I51" s="388" t="n">
        <v>1</v>
      </c>
      <c r="J51" s="360"/>
      <c r="K51" s="360"/>
    </row>
    <row r="52" customFormat="false" ht="15" hidden="false" customHeight="true" outlineLevel="0" collapsed="false">
      <c r="A52" s="402"/>
      <c r="B52" s="403" t="str">
        <f aca="false">B15</f>
        <v>VE-010</v>
      </c>
      <c r="C52" s="404" t="str">
        <f aca="false">C15</f>
        <v>Consolidate IT MDA / IDA rooms (reduce cabling runs)</v>
      </c>
      <c r="D52" s="403" t="str">
        <f aca="false">IF(ISNUMBER(SEARCH("High",K15)),"High",IF(ISNUMBER(SEARCH("Med",K15)),"Med","Low"))</f>
        <v>Low</v>
      </c>
      <c r="E52" s="405" t="n">
        <v>0</v>
      </c>
      <c r="F52" s="405" t="n">
        <v>1</v>
      </c>
      <c r="G52" s="405" t="n">
        <v>1</v>
      </c>
      <c r="H52" s="405" t="n">
        <v>1</v>
      </c>
      <c r="I52" s="405" t="n">
        <v>1</v>
      </c>
      <c r="J52" s="360"/>
      <c r="K52" s="360"/>
    </row>
    <row r="53" customFormat="false" ht="15" hidden="false" customHeight="true" outlineLevel="0" collapsed="false">
      <c r="A53" s="385"/>
      <c r="B53" s="386" t="str">
        <f aca="false">B16</f>
        <v>VE-011</v>
      </c>
      <c r="C53" s="387" t="str">
        <f aca="false">C16</f>
        <v>Eliminate raised access floor; overhead power &amp; cooling distribution</v>
      </c>
      <c r="D53" s="406" t="str">
        <f aca="false">IF(ISNUMBER(SEARCH("High",K16)),"High",IF(ISNUMBER(SEARCH("Med",K16)),"Med","Low"))</f>
        <v>Low</v>
      </c>
      <c r="E53" s="388" t="n">
        <v>0</v>
      </c>
      <c r="F53" s="388" t="n">
        <v>1</v>
      </c>
      <c r="G53" s="388" t="n">
        <v>1</v>
      </c>
      <c r="H53" s="388" t="n">
        <v>1</v>
      </c>
      <c r="I53" s="388" t="n">
        <v>1</v>
      </c>
      <c r="J53" s="360"/>
      <c r="K53" s="360"/>
    </row>
    <row r="54" customFormat="false" ht="15" hidden="false" customHeight="true" outlineLevel="0" collapsed="false">
      <c r="A54" s="390"/>
      <c r="B54" s="391" t="str">
        <f aca="false">B17</f>
        <v>VE-012</v>
      </c>
      <c r="C54" s="392" t="str">
        <f aca="false">C17</f>
        <v>Aluminum feeders &amp; busway in lieu of copper</v>
      </c>
      <c r="D54" s="407" t="str">
        <f aca="false">IF(ISNUMBER(SEARCH("High",K17)),"High",IF(ISNUMBER(SEARCH("Med",K17)),"Med","Low"))</f>
        <v>Med</v>
      </c>
      <c r="E54" s="393" t="n">
        <v>0</v>
      </c>
      <c r="F54" s="393" t="n">
        <v>0</v>
      </c>
      <c r="G54" s="393" t="n">
        <v>1</v>
      </c>
      <c r="H54" s="393" t="n">
        <v>1</v>
      </c>
      <c r="I54" s="393" t="n">
        <v>1</v>
      </c>
      <c r="J54" s="360"/>
      <c r="K54" s="360"/>
    </row>
    <row r="55" customFormat="false" ht="15" hidden="false" customHeight="true" outlineLevel="0" collapsed="false">
      <c r="A55" s="385"/>
      <c r="B55" s="386" t="str">
        <f aca="false">B18</f>
        <v>VE-013</v>
      </c>
      <c r="C55" s="387" t="str">
        <f aca="false">C18</f>
        <v>Medium-voltage reticulation to data halls (reduce LV copper/gear)</v>
      </c>
      <c r="D55" s="407" t="str">
        <f aca="false">IF(ISNUMBER(SEARCH("High",K18)),"High",IF(ISNUMBER(SEARCH("Med",K18)),"Med","Low"))</f>
        <v>Med</v>
      </c>
      <c r="E55" s="388" t="n">
        <v>0</v>
      </c>
      <c r="F55" s="388" t="n">
        <v>0</v>
      </c>
      <c r="G55" s="388" t="n">
        <v>1</v>
      </c>
      <c r="H55" s="388" t="n">
        <v>1</v>
      </c>
      <c r="I55" s="388" t="n">
        <v>1</v>
      </c>
      <c r="J55" s="360"/>
      <c r="K55" s="360"/>
    </row>
    <row r="56" customFormat="false" ht="15" hidden="false" customHeight="true" outlineLevel="0" collapsed="false">
      <c r="A56" s="390"/>
      <c r="B56" s="391" t="str">
        <f aca="false">B19</f>
        <v>VE-014</v>
      </c>
      <c r="C56" s="392" t="str">
        <f aca="false">C19</f>
        <v>Reduce UPS battery autonomy (10 → 5 min)</v>
      </c>
      <c r="D56" s="407" t="str">
        <f aca="false">IF(ISNUMBER(SEARCH("High",K19)),"High",IF(ISNUMBER(SEARCH("Med",K19)),"Med","Low"))</f>
        <v>High</v>
      </c>
      <c r="E56" s="393" t="n">
        <v>0</v>
      </c>
      <c r="F56" s="393" t="n">
        <v>0</v>
      </c>
      <c r="G56" s="393" t="n">
        <v>0</v>
      </c>
      <c r="H56" s="393" t="n">
        <v>0</v>
      </c>
      <c r="I56" s="393" t="n">
        <v>1</v>
      </c>
      <c r="J56" s="360"/>
      <c r="K56" s="360"/>
    </row>
    <row r="57" customFormat="false" ht="15" hidden="false" customHeight="true" outlineLevel="0" collapsed="false">
      <c r="A57" s="385"/>
      <c r="B57" s="386" t="str">
        <f aca="false">B20</f>
        <v>VE-015</v>
      </c>
      <c r="C57" s="387" t="str">
        <f aca="false">C20</f>
        <v>Reduce chilled-water plant redundancy (N+2 → N+1)</v>
      </c>
      <c r="D57" s="407" t="str">
        <f aca="false">IF(ISNUMBER(SEARCH("High",K20)),"High",IF(ISNUMBER(SEARCH("Med",K20)),"Med","Low"))</f>
        <v>High</v>
      </c>
      <c r="E57" s="388" t="n">
        <v>0</v>
      </c>
      <c r="F57" s="388" t="n">
        <v>0</v>
      </c>
      <c r="G57" s="388" t="n">
        <v>0</v>
      </c>
      <c r="H57" s="388" t="n">
        <v>0</v>
      </c>
      <c r="I57" s="388" t="n">
        <v>1</v>
      </c>
      <c r="J57" s="360"/>
      <c r="K57" s="360"/>
    </row>
    <row r="58" customFormat="false" ht="15" hidden="false" customHeight="true" outlineLevel="0" collapsed="false">
      <c r="A58" s="390"/>
      <c r="B58" s="391" t="str">
        <f aca="false">B21</f>
        <v>VE-016</v>
      </c>
      <c r="C58" s="392" t="str">
        <f aca="false">C21</f>
        <v>Raise supply-air / CHW setpoints (ASHRAE A1→A3); downsize cooling</v>
      </c>
      <c r="D58" s="406" t="str">
        <f aca="false">IF(ISNUMBER(SEARCH("High",K21)),"High",IF(ISNUMBER(SEARCH("Med",K21)),"Med","Low"))</f>
        <v>Low</v>
      </c>
      <c r="E58" s="393" t="n">
        <v>0</v>
      </c>
      <c r="F58" s="393" t="n">
        <v>1</v>
      </c>
      <c r="G58" s="393" t="n">
        <v>1</v>
      </c>
      <c r="H58" s="393" t="n">
        <v>1</v>
      </c>
      <c r="I58" s="393" t="n">
        <v>1</v>
      </c>
      <c r="J58" s="360"/>
      <c r="K58" s="360"/>
    </row>
    <row r="59" customFormat="false" ht="15" hidden="false" customHeight="true" outlineLevel="0" collapsed="false">
      <c r="A59" s="385"/>
      <c r="B59" s="386" t="str">
        <f aca="false">B22</f>
        <v>VE-017</v>
      </c>
      <c r="C59" s="387" t="str">
        <f aca="false">C22</f>
        <v>Right-size standby generation (N+1 vs 2N)</v>
      </c>
      <c r="D59" s="407" t="str">
        <f aca="false">IF(ISNUMBER(SEARCH("High",K22)),"High",IF(ISNUMBER(SEARCH("Med",K22)),"Med","Low"))</f>
        <v>High</v>
      </c>
      <c r="E59" s="388" t="n">
        <v>0</v>
      </c>
      <c r="F59" s="388" t="n">
        <v>0</v>
      </c>
      <c r="G59" s="388" t="n">
        <v>0</v>
      </c>
      <c r="H59" s="388" t="n">
        <v>0</v>
      </c>
      <c r="I59" s="388" t="n">
        <v>1</v>
      </c>
      <c r="J59" s="360"/>
      <c r="K59" s="360"/>
    </row>
    <row r="60" customFormat="false" ht="15" hidden="false" customHeight="true" outlineLevel="0" collapsed="false">
      <c r="A60" s="390"/>
      <c r="B60" s="391" t="str">
        <f aca="false">B23</f>
        <v>VE-018</v>
      </c>
      <c r="C60" s="392" t="str">
        <f aca="false">C23</f>
        <v>Single-vendor standardized switchgear package</v>
      </c>
      <c r="D60" s="407" t="str">
        <f aca="false">IF(ISNUMBER(SEARCH("High",K23)),"High",IF(ISNUMBER(SEARCH("Med",K23)),"Med","Low"))</f>
        <v>Med</v>
      </c>
      <c r="E60" s="393" t="n">
        <v>0</v>
      </c>
      <c r="F60" s="393" t="n">
        <v>0</v>
      </c>
      <c r="G60" s="393" t="n">
        <v>1</v>
      </c>
      <c r="H60" s="393" t="n">
        <v>1</v>
      </c>
      <c r="I60" s="393" t="n">
        <v>1</v>
      </c>
      <c r="J60" s="360"/>
      <c r="K60" s="360"/>
    </row>
    <row r="61" customFormat="false" ht="15" hidden="false" customHeight="true" outlineLevel="0" collapsed="false">
      <c r="A61" s="385"/>
      <c r="B61" s="386" t="str">
        <f aca="false">B24</f>
        <v>VE-019</v>
      </c>
      <c r="C61" s="387" t="str">
        <f aca="false">C24</f>
        <v>Exposed structure; minimize data-hall finishes</v>
      </c>
      <c r="D61" s="406" t="str">
        <f aca="false">IF(ISNUMBER(SEARCH("High",K24)),"High",IF(ISNUMBER(SEARCH("Med",K24)),"Med","Low"))</f>
        <v>Low</v>
      </c>
      <c r="E61" s="388" t="n">
        <v>0</v>
      </c>
      <c r="F61" s="388" t="n">
        <v>1</v>
      </c>
      <c r="G61" s="388" t="n">
        <v>1</v>
      </c>
      <c r="H61" s="388" t="n">
        <v>1</v>
      </c>
      <c r="I61" s="388" t="n">
        <v>1</v>
      </c>
      <c r="J61" s="360"/>
      <c r="K61" s="360"/>
    </row>
    <row r="62" customFormat="false" ht="15" hidden="false" customHeight="true" outlineLevel="0" collapsed="false">
      <c r="A62" s="402"/>
      <c r="B62" s="403" t="str">
        <f aca="false">B25</f>
        <v>VE-020</v>
      </c>
      <c r="C62" s="404" t="str">
        <f aca="false">C25</f>
        <v>Reduce on-site generator fuel storage (24h → 12h)</v>
      </c>
      <c r="D62" s="408" t="str">
        <f aca="false">IF(ISNUMBER(SEARCH("High",K25)),"High",IF(ISNUMBER(SEARCH("Med",K25)),"Med","Low"))</f>
        <v>High</v>
      </c>
      <c r="E62" s="405" t="n">
        <v>0</v>
      </c>
      <c r="F62" s="405" t="n">
        <v>0</v>
      </c>
      <c r="G62" s="405" t="n">
        <v>0</v>
      </c>
      <c r="H62" s="405" t="n">
        <v>0</v>
      </c>
      <c r="I62" s="405" t="n">
        <v>1</v>
      </c>
      <c r="J62" s="360"/>
      <c r="K62" s="360"/>
    </row>
    <row r="63" customFormat="false" ht="15" hidden="false" customHeight="true" outlineLevel="0" collapsed="false">
      <c r="A63" s="409" t="s">
        <v>3036</v>
      </c>
      <c r="E63" s="195"/>
      <c r="F63" s="195"/>
      <c r="G63" s="195"/>
      <c r="H63" s="195"/>
      <c r="J63" s="360"/>
      <c r="K63" s="360"/>
    </row>
    <row r="64" customFormat="false" ht="15" hidden="false" customHeight="true" outlineLevel="0" collapsed="false">
      <c r="A64" s="163" t="s">
        <v>3037</v>
      </c>
      <c r="E64" s="410" t="n">
        <f aca="false">SUM(E43:E62)</f>
        <v>0</v>
      </c>
      <c r="F64" s="410" t="n">
        <f aca="false">SUM(F43:F62)</f>
        <v>11</v>
      </c>
      <c r="G64" s="410" t="n">
        <f aca="false">SUM(G43:G62)</f>
        <v>15</v>
      </c>
      <c r="H64" s="410" t="n">
        <f aca="false">SUM(H43:H62)</f>
        <v>16</v>
      </c>
      <c r="I64" s="410" t="n">
        <f aca="false">SUM(I43:I62)</f>
        <v>20</v>
      </c>
      <c r="J64" s="360"/>
      <c r="K64" s="360"/>
    </row>
    <row r="65" customFormat="false" ht="15" hidden="false" customHeight="true" outlineLevel="0" collapsed="false">
      <c r="A65" s="163" t="s">
        <v>3038</v>
      </c>
      <c r="E65" s="180" t="n">
        <f aca="false">SUMPRODUCT(E43:E62,$H$6:$H$25)</f>
        <v>0</v>
      </c>
      <c r="F65" s="180" t="n">
        <f aca="false">SUMPRODUCT(F43:F62,$H$6:$H$25)</f>
        <v>19655864</v>
      </c>
      <c r="G65" s="180" t="n">
        <f aca="false">SUMPRODUCT(G43:G62,$H$6:$H$25)</f>
        <v>35305864</v>
      </c>
      <c r="H65" s="180" t="n">
        <f aca="false">SUMPRODUCT(H43:H62,$H$6:$H$25)</f>
        <v>41805864</v>
      </c>
      <c r="I65" s="180" t="n">
        <f aca="false">SUMPRODUCT(I43:I62,$H$6:$H$25)</f>
        <v>68805864</v>
      </c>
      <c r="J65" s="360"/>
      <c r="K65" s="360"/>
    </row>
    <row r="66" customFormat="false" ht="15" hidden="false" customHeight="true" outlineLevel="0" collapsed="false">
      <c r="A66" s="163" t="s">
        <v>3039</v>
      </c>
      <c r="E66" s="370" t="n">
        <f aca="false">$E$35-E65</f>
        <v>1088341827.06739</v>
      </c>
      <c r="F66" s="370" t="n">
        <f aca="false">$E$35-F65</f>
        <v>1068685963.06739</v>
      </c>
      <c r="G66" s="370" t="n">
        <f aca="false">$E$35-G65</f>
        <v>1053035963.06739</v>
      </c>
      <c r="H66" s="370" t="n">
        <f aca="false">$E$35-H65</f>
        <v>1046535963.06739</v>
      </c>
      <c r="I66" s="370" t="n">
        <f aca="false">$E$35-I65</f>
        <v>1019535963.06739</v>
      </c>
      <c r="J66" s="360"/>
      <c r="K66" s="360"/>
    </row>
    <row r="67" customFormat="false" ht="15" hidden="false" customHeight="true" outlineLevel="0" collapsed="false">
      <c r="A67" s="163" t="s">
        <v>3040</v>
      </c>
      <c r="E67" s="323" t="n">
        <f aca="false">E66/'Campus Rollup'!$D$16</f>
        <v>12092686.9674155</v>
      </c>
      <c r="F67" s="323" t="n">
        <f aca="false">F66/'Campus Rollup'!$D$16</f>
        <v>11874288.4785266</v>
      </c>
      <c r="G67" s="323" t="n">
        <f aca="false">G66/'Campus Rollup'!$D$16</f>
        <v>11700399.5896377</v>
      </c>
      <c r="H67" s="323" t="n">
        <f aca="false">H66/'Campus Rollup'!$D$16</f>
        <v>11628177.3674155</v>
      </c>
      <c r="I67" s="323" t="n">
        <f aca="false">I66/'Campus Rollup'!$D$16</f>
        <v>11328177.3674155</v>
      </c>
      <c r="J67" s="360"/>
      <c r="K67" s="360"/>
    </row>
    <row r="68" customFormat="false" ht="15" hidden="false" customHeight="true" outlineLevel="0" collapsed="false">
      <c r="A68" s="163" t="s">
        <v>3041</v>
      </c>
      <c r="E68" s="411" t="n">
        <f aca="false">E65/$E$35</f>
        <v>0</v>
      </c>
      <c r="F68" s="411" t="n">
        <f aca="false">F65/$E$35</f>
        <v>0.0180603772740813</v>
      </c>
      <c r="G68" s="411" t="n">
        <f aca="false">G65/$E$35</f>
        <v>0.0324400506549803</v>
      </c>
      <c r="H68" s="411" t="n">
        <f aca="false">H65/$E$35</f>
        <v>0.038412438960146</v>
      </c>
      <c r="I68" s="411" t="n">
        <f aca="false">I65/$E$35</f>
        <v>0.0632208211508345</v>
      </c>
      <c r="J68" s="360"/>
      <c r="K68" s="360"/>
    </row>
    <row r="69" customFormat="false" ht="15" hidden="false" customHeight="true" outlineLevel="0" collapsed="false">
      <c r="A69" s="163" t="s">
        <v>3042</v>
      </c>
      <c r="E69" s="410" t="n">
        <f aca="false" t="array" ref="E69:E69">SUMPRODUCT((($D$43:$D$62)="Med")*E43:E62)</f>
        <v>0</v>
      </c>
      <c r="F69" s="410" t="n">
        <f aca="false" t="array" ref="F69:F69">SUMPRODUCT((($D$43:$D$62)="Med")*F43:F62)</f>
        <v>0</v>
      </c>
      <c r="G69" s="410" t="n">
        <f aca="false" t="array" ref="G69:G69">SUMPRODUCT((($D$43:$D$62)="Med")*G43:G62)</f>
        <v>4</v>
      </c>
      <c r="H69" s="410" t="n">
        <f aca="false" t="array" ref="H69:H69">SUMPRODUCT((($D$43:$D$62)="Med")*H43:H62)</f>
        <v>5</v>
      </c>
      <c r="I69" s="410" t="n">
        <f aca="false">SUMPRODUCT((($D$43:$D$62)="Med")*I43:I62)</f>
        <v>5</v>
      </c>
      <c r="J69" s="360"/>
      <c r="K69" s="360"/>
    </row>
    <row r="70" customFormat="false" ht="15" hidden="false" customHeight="true" outlineLevel="0" collapsed="false">
      <c r="A70" s="163" t="s">
        <v>3043</v>
      </c>
      <c r="E70" s="410" t="n">
        <f aca="false">SUMPRODUCT((($D$43:$D$62)="High")*E43:E62)</f>
        <v>0</v>
      </c>
      <c r="F70" s="410" t="n">
        <f aca="false">SUMPRODUCT((($D$43:$D$62)="High")*F43:F62)</f>
        <v>0</v>
      </c>
      <c r="G70" s="410" t="n">
        <f aca="false">SUMPRODUCT((($D$43:$D$62)="High")*G43:G62)</f>
        <v>0</v>
      </c>
      <c r="H70" s="410" t="n">
        <f aca="false">SUMPRODUCT((($D$43:$D$62)="High")*H43:H62)</f>
        <v>0</v>
      </c>
      <c r="I70" s="410" t="n">
        <f aca="false">SUMPRODUCT((($D$43:$D$62)="High")*I43:I62)</f>
        <v>4</v>
      </c>
    </row>
  </sheetData>
  <mergeCells count="9">
    <mergeCell ref="A1:D1"/>
    <mergeCell ref="E1:H1"/>
    <mergeCell ref="I1:L1"/>
    <mergeCell ref="M1:N1"/>
    <mergeCell ref="A34:E34"/>
    <mergeCell ref="A35:D35"/>
    <mergeCell ref="A36:D36"/>
    <mergeCell ref="A37:D37"/>
    <mergeCell ref="A38:D38"/>
  </mergeCells>
  <conditionalFormatting sqref="L6:L25">
    <cfRule type="expression" priority="2" aboveAverage="0" equalAverage="0" bottom="0" percent="0" rank="0" text="" dxfId="3">
      <formula>$L6="Accepted"</formula>
    </cfRule>
    <cfRule type="expression" priority="3" aboveAverage="0" equalAverage="0" bottom="0" percent="0" rank="0" text="" dxfId="4">
      <formula>$L6="Pending"</formula>
    </cfRule>
    <cfRule type="expression" priority="4" aboveAverage="0" equalAverage="0" bottom="0" percent="0" rank="0" text="" dxfId="5">
      <formula>$L6="Under Review"</formula>
    </cfRule>
    <cfRule type="expression" priority="5" aboveAverage="0" equalAverage="0" bottom="0" percent="0" rank="0" text="" dxfId="6">
      <formula>$L6="Rejected"</formula>
    </cfRule>
  </conditionalFormatting>
  <conditionalFormatting sqref="E43:H69">
    <cfRule type="expression" priority="6" aboveAverage="0" equalAverage="0" bottom="0" percent="0" rank="0" text="" dxfId="7">
      <formula>E$42=$L$41</formula>
    </cfRule>
  </conditionalFormatting>
  <conditionalFormatting sqref="D43:D62">
    <cfRule type="expression" priority="7" aboveAverage="0" equalAverage="0" bottom="0" percent="0" rank="0" text="" dxfId="8">
      <formula>$D43="Med"</formula>
    </cfRule>
    <cfRule type="expression" priority="8" aboveAverage="0" equalAverage="0" bottom="0" percent="0" rank="0" text="" dxfId="9">
      <formula>$D43="Low"</formula>
    </cfRule>
  </conditionalFormatting>
  <dataValidations count="4">
    <dataValidation allowBlank="true" errorStyle="stop" operator="between" showDropDown="false" showErrorMessage="true" showInputMessage="true" sqref="E6:E25" type="list">
      <formula1>"All Buildings,Shared,B1,B2,B3,B4,B5,B6,Multi"</formula1>
      <formula2>0</formula2>
    </dataValidation>
    <dataValidation allowBlank="true" errorStyle="stop" operator="between" showDropDown="false" showErrorMessage="true" showInputMessage="true" sqref="L41" type="list">
      <formula1>"As-Designed,Conservative,Balanced,Aggressive,Accept All,Custom (Status)"</formula1>
      <formula2>0</formula2>
    </dataValidation>
    <dataValidation allowBlank="true" errorStyle="stop" operator="between" showDropDown="false" showErrorMessage="true" showInputMessage="true" sqref="L6:L25" type="list">
      <formula1>"Accepted,Pending,Under Review,Rejected"</formula1>
      <formula2>0</formula2>
    </dataValidation>
    <dataValidation allowBlank="true" error="Only 0 or 1 allowed." errorStyle="stop" errorTitle="Invalid entry" operator="between" prompt="Enter 1 to accept this item, 0 to reject." promptTitle="VE toggle" showDropDown="false" showErrorMessage="true" showInputMessage="true" sqref="E43:I62" type="whole">
      <formula1>0</formula1>
      <formula2>1</formula2>
    </dataValidation>
  </dataValidations>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F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421875" defaultRowHeight="15" zeroHeight="false" outlineLevelRow="0" outlineLevelCol="0"/>
  <cols>
    <col collapsed="false" customWidth="true" hidden="false" outlineLevel="0" max="1" min="1" style="1" width="16.72"/>
    <col collapsed="false" customWidth="true" hidden="false" outlineLevel="0" max="2" min="2" style="1" width="38.14"/>
    <col collapsed="false" customWidth="true" hidden="false" outlineLevel="0" max="3" min="3" style="1" width="13.72"/>
    <col collapsed="false" customWidth="true" hidden="false" outlineLevel="0" max="4" min="4" style="1" width="30.14"/>
    <col collapsed="false" customWidth="true" hidden="false" outlineLevel="0" max="5" min="5" style="1" width="28.57"/>
    <col collapsed="false" customWidth="true" hidden="false" outlineLevel="0" max="6" min="6" style="1" width="19"/>
  </cols>
  <sheetData>
    <row r="1" customFormat="false" ht="24" hidden="false" customHeight="true" outlineLevel="0" collapsed="false">
      <c r="A1" s="161" t="s">
        <v>3044</v>
      </c>
      <c r="B1" s="161"/>
      <c r="C1" s="161"/>
      <c r="D1" s="161"/>
      <c r="E1" s="161"/>
      <c r="F1" s="161"/>
    </row>
    <row r="3" customFormat="false" ht="15" hidden="false" customHeight="true" outlineLevel="0" collapsed="false">
      <c r="A3" s="412" t="s">
        <v>3045</v>
      </c>
      <c r="B3" s="413" t="str">
        <f aca="false">'Construction Budget'!C3</f>
        <v>Data Center Template, Northern Virginia</v>
      </c>
      <c r="C3" s="413"/>
      <c r="D3" s="412" t="s">
        <v>1837</v>
      </c>
      <c r="E3" s="413" t="str">
        <f aca="false">'Campus Rollup'!H3</f>
        <v>Class 3 (DD)</v>
      </c>
      <c r="F3" s="413"/>
    </row>
    <row r="4" customFormat="false" ht="15" hidden="false" customHeight="true" outlineLevel="0" collapsed="false">
      <c r="A4" s="412" t="s">
        <v>261</v>
      </c>
      <c r="B4" s="414" t="n">
        <f aca="false">'Construction Budget'!F3</f>
        <v>46143</v>
      </c>
      <c r="C4" s="414"/>
      <c r="D4" s="412" t="s">
        <v>1840</v>
      </c>
      <c r="E4" s="413" t="str">
        <f aca="false">'Campus Rollup'!H4</f>
        <v>−20% / +30%</v>
      </c>
      <c r="F4" s="413"/>
    </row>
    <row r="5" customFormat="false" ht="15" hidden="false" customHeight="true" outlineLevel="0" collapsed="false">
      <c r="A5" s="412" t="s">
        <v>3046</v>
      </c>
      <c r="B5" s="415" t="str">
        <f aca="false">IF($B$6="","Senior Cost Estimator","Senior Cost Estimator, "&amp;$B$6)</f>
        <v>Senior Cost Estimator</v>
      </c>
      <c r="C5" s="415"/>
      <c r="D5" s="412" t="s">
        <v>3047</v>
      </c>
      <c r="E5" s="415" t="str">
        <f aca="false">IF($B$6="","Estimating Lead","Estimating Lead, "&amp;$B$6)</f>
        <v>Estimating Lead</v>
      </c>
      <c r="F5" s="415"/>
    </row>
    <row r="6" customFormat="false" ht="15.75" hidden="false" customHeight="true" outlineLevel="0" collapsed="false">
      <c r="A6" s="416" t="s">
        <v>3048</v>
      </c>
      <c r="B6" s="417"/>
      <c r="C6" s="417"/>
    </row>
    <row r="7" customFormat="false" ht="15.75" hidden="false" customHeight="true" outlineLevel="0" collapsed="false">
      <c r="A7" s="418" t="s">
        <v>3049</v>
      </c>
      <c r="B7" s="418"/>
      <c r="C7" s="418"/>
      <c r="D7" s="418"/>
      <c r="E7" s="418"/>
      <c r="F7" s="418"/>
    </row>
    <row r="8" customFormat="false" ht="15" hidden="false" customHeight="true" outlineLevel="0" collapsed="false">
      <c r="A8" s="419" t="s">
        <v>3050</v>
      </c>
      <c r="B8" s="420" t="s">
        <v>3051</v>
      </c>
      <c r="C8" s="420"/>
      <c r="D8" s="420"/>
      <c r="E8" s="420"/>
      <c r="F8" s="420"/>
    </row>
    <row r="9" customFormat="false" ht="15" hidden="false" customHeight="true" outlineLevel="0" collapsed="false">
      <c r="A9" s="412" t="s">
        <v>3052</v>
      </c>
      <c r="B9" s="421" t="s">
        <v>3053</v>
      </c>
      <c r="C9" s="421"/>
      <c r="D9" s="421"/>
      <c r="E9" s="421"/>
      <c r="F9" s="421"/>
    </row>
    <row r="10" customFormat="false" ht="30" hidden="false" customHeight="true" outlineLevel="0" collapsed="false">
      <c r="A10" s="419" t="s">
        <v>3054</v>
      </c>
      <c r="B10" s="420" t="s">
        <v>3055</v>
      </c>
      <c r="C10" s="420"/>
      <c r="D10" s="420"/>
      <c r="E10" s="420"/>
      <c r="F10" s="420"/>
    </row>
    <row r="11" customFormat="false" ht="15" hidden="false" customHeight="true" outlineLevel="0" collapsed="false">
      <c r="A11" s="412" t="s">
        <v>3056</v>
      </c>
      <c r="B11" s="421" t="s">
        <v>3057</v>
      </c>
      <c r="C11" s="421"/>
      <c r="D11" s="421"/>
      <c r="E11" s="421"/>
      <c r="F11" s="421"/>
    </row>
    <row r="12" customFormat="false" ht="30" hidden="false" customHeight="true" outlineLevel="0" collapsed="false">
      <c r="A12" s="419" t="s">
        <v>3058</v>
      </c>
      <c r="B12" s="420" t="s">
        <v>3059</v>
      </c>
      <c r="C12" s="420"/>
      <c r="D12" s="420"/>
      <c r="E12" s="420"/>
      <c r="F12" s="420"/>
    </row>
    <row r="13" customFormat="false" ht="15" hidden="false" customHeight="true" outlineLevel="0" collapsed="false">
      <c r="A13" s="412" t="s">
        <v>3060</v>
      </c>
      <c r="B13" s="421" t="s">
        <v>3061</v>
      </c>
      <c r="C13" s="421"/>
      <c r="D13" s="421"/>
      <c r="E13" s="421"/>
      <c r="F13" s="421"/>
    </row>
    <row r="15" customFormat="false" ht="15.75" hidden="false" customHeight="true" outlineLevel="0" collapsed="false">
      <c r="A15" s="418" t="s">
        <v>3062</v>
      </c>
      <c r="B15" s="418"/>
      <c r="C15" s="418"/>
      <c r="D15" s="418"/>
      <c r="E15" s="418"/>
      <c r="F15" s="418"/>
    </row>
    <row r="16" customFormat="false" ht="30" hidden="false" customHeight="true" outlineLevel="0" collapsed="false">
      <c r="A16" s="422" t="s">
        <v>3063</v>
      </c>
      <c r="B16" s="423" t="s">
        <v>3064</v>
      </c>
      <c r="C16" s="423"/>
      <c r="D16" s="423"/>
      <c r="E16" s="423"/>
      <c r="F16" s="423"/>
    </row>
    <row r="17" customFormat="false" ht="15" hidden="false" customHeight="true" outlineLevel="0" collapsed="false">
      <c r="A17" s="424" t="s">
        <v>3065</v>
      </c>
      <c r="B17" s="425" t="s">
        <v>3066</v>
      </c>
      <c r="C17" s="425"/>
      <c r="D17" s="425"/>
      <c r="E17" s="425"/>
      <c r="F17" s="425"/>
    </row>
    <row r="18" customFormat="false" ht="15" hidden="false" customHeight="true" outlineLevel="0" collapsed="false">
      <c r="A18" s="422" t="s">
        <v>3067</v>
      </c>
      <c r="B18" s="423" t="s">
        <v>3068</v>
      </c>
      <c r="C18" s="423"/>
      <c r="D18" s="423"/>
      <c r="E18" s="423"/>
      <c r="F18" s="423"/>
    </row>
    <row r="19" customFormat="false" ht="15" hidden="false" customHeight="true" outlineLevel="0" collapsed="false">
      <c r="A19" s="424" t="s">
        <v>3069</v>
      </c>
      <c r="B19" s="425" t="s">
        <v>3070</v>
      </c>
      <c r="C19" s="425"/>
      <c r="D19" s="425"/>
      <c r="E19" s="425"/>
      <c r="F19" s="425"/>
    </row>
    <row r="20" customFormat="false" ht="15" hidden="false" customHeight="true" outlineLevel="0" collapsed="false">
      <c r="A20" s="422" t="s">
        <v>3071</v>
      </c>
      <c r="B20" s="423" t="s">
        <v>3072</v>
      </c>
      <c r="C20" s="423"/>
      <c r="D20" s="423"/>
      <c r="E20" s="423"/>
      <c r="F20" s="423"/>
    </row>
    <row r="21" customFormat="false" ht="15" hidden="false" customHeight="true" outlineLevel="0" collapsed="false">
      <c r="A21" s="424" t="s">
        <v>3073</v>
      </c>
      <c r="B21" s="425" t="s">
        <v>3074</v>
      </c>
      <c r="C21" s="425"/>
      <c r="D21" s="425"/>
      <c r="E21" s="425"/>
      <c r="F21" s="425"/>
    </row>
    <row r="22" customFormat="false" ht="15" hidden="false" customHeight="true" outlineLevel="0" collapsed="false">
      <c r="A22" s="422" t="s">
        <v>3075</v>
      </c>
      <c r="B22" s="423" t="s">
        <v>3076</v>
      </c>
      <c r="C22" s="423"/>
      <c r="D22" s="423"/>
      <c r="E22" s="423"/>
      <c r="F22" s="423"/>
    </row>
    <row r="23" customFormat="false" ht="15" hidden="false" customHeight="true" outlineLevel="0" collapsed="false">
      <c r="A23" s="424" t="s">
        <v>3077</v>
      </c>
      <c r="B23" s="425" t="s">
        <v>3078</v>
      </c>
      <c r="C23" s="425"/>
      <c r="D23" s="425"/>
      <c r="E23" s="425"/>
      <c r="F23" s="425"/>
    </row>
    <row r="24" customFormat="false" ht="15" hidden="false" customHeight="true" outlineLevel="0" collapsed="false">
      <c r="A24" s="422" t="s">
        <v>3079</v>
      </c>
      <c r="B24" s="423" t="s">
        <v>3080</v>
      </c>
      <c r="C24" s="423"/>
      <c r="D24" s="423"/>
      <c r="E24" s="423"/>
      <c r="F24" s="423"/>
    </row>
    <row r="25" customFormat="false" ht="15" hidden="false" customHeight="true" outlineLevel="0" collapsed="false">
      <c r="A25" s="424" t="s">
        <v>3081</v>
      </c>
      <c r="B25" s="425" t="s">
        <v>3082</v>
      </c>
      <c r="C25" s="425"/>
      <c r="D25" s="425"/>
      <c r="E25" s="425"/>
      <c r="F25" s="425"/>
    </row>
    <row r="26" customFormat="false" ht="15" hidden="false" customHeight="true" outlineLevel="0" collapsed="false">
      <c r="A26" s="424" t="s">
        <v>3083</v>
      </c>
      <c r="B26" s="426" t="str">
        <f aca="false">"Design basis: "&amp;TEXT('Campus Rollup'!D16,"0")&amp;" MW total IT load across "&amp;TEXT('Campus Rollup'!C16/1000,"#,##0")&amp;"K SF gross; resiliency "&amp;'Scenario &amp; Presets'!B17&amp;", redundancy "&amp;'Scenario &amp; Presets'!B18&amp;", rack density "&amp;'Scenario &amp; Presets'!B19&amp;"."</f>
        <v>Design basis: 90 MW total IT load across 800K SF gross; resiliency Tier III, redundancy N+1, rack density High (15–30 kW).</v>
      </c>
      <c r="C26" s="426"/>
      <c r="D26" s="426"/>
      <c r="E26" s="426"/>
      <c r="F26" s="426"/>
    </row>
    <row r="27" customFormat="false" ht="30" hidden="false" customHeight="true" outlineLevel="0" collapsed="false">
      <c r="A27" s="422" t="s">
        <v>3084</v>
      </c>
      <c r="B27" s="427" t="str">
        <f aca="false">"Cooling design basis: "&amp;'Scenario &amp; Presets'!B16&amp;"; Division 23 air / chilled-water / liquid scope scales from the active cooling preset on the Scenario &amp; Presets tab."</f>
        <v>Cooling design basis: Liquid-Cooled (DLC); Division 23 air / chilled-water / liquid scope scales from the active cooling preset on the Scenario &amp; Presets tab.</v>
      </c>
      <c r="C27" s="427"/>
      <c r="D27" s="427"/>
      <c r="E27" s="427"/>
      <c r="F27" s="427"/>
    </row>
    <row r="28" customFormat="false" ht="30" hidden="false" customHeight="true" outlineLevel="0" collapsed="false">
      <c r="A28" s="424" t="s">
        <v>3085</v>
      </c>
      <c r="B28" s="426" t="str">
        <f aca="false">"Location basis: pricing indexed to "&amp;'Location Factors'!B3&amp;" at a location factor of "&amp;TEXT('Location Factors'!B6,"0.00")&amp;" relative to the Northern Virginia baseline; set on the Location Factors tab and applied in the Construction Budget."</f>
        <v>Location basis: pricing indexed to Northern Virginia at a location factor of 1.00 relative to the Northern Virginia baseline; set on the Location Factors tab and applied in the Construction Budget.</v>
      </c>
      <c r="C28" s="426"/>
      <c r="D28" s="426"/>
      <c r="E28" s="426"/>
      <c r="F28" s="426"/>
    </row>
    <row r="30" customFormat="false" ht="15.75" hidden="false" customHeight="true" outlineLevel="0" collapsed="false">
      <c r="A30" s="418" t="s">
        <v>3086</v>
      </c>
      <c r="B30" s="418"/>
      <c r="C30" s="418"/>
      <c r="D30" s="418"/>
      <c r="E30" s="418"/>
      <c r="F30" s="418"/>
    </row>
    <row r="31" customFormat="false" ht="15" hidden="false" customHeight="true" outlineLevel="0" collapsed="false">
      <c r="A31" s="428" t="s">
        <v>3087</v>
      </c>
      <c r="B31" s="429" t="s">
        <v>3088</v>
      </c>
      <c r="C31" s="429"/>
      <c r="D31" s="429"/>
      <c r="E31" s="429"/>
      <c r="F31" s="429"/>
    </row>
    <row r="32" customFormat="false" ht="15" hidden="false" customHeight="true" outlineLevel="0" collapsed="false">
      <c r="A32" s="424" t="s">
        <v>3089</v>
      </c>
      <c r="B32" s="425" t="s">
        <v>3090</v>
      </c>
      <c r="C32" s="425"/>
      <c r="D32" s="425"/>
      <c r="E32" s="425"/>
      <c r="F32" s="425"/>
    </row>
    <row r="33" customFormat="false" ht="15" hidden="false" customHeight="true" outlineLevel="0" collapsed="false">
      <c r="A33" s="428" t="s">
        <v>3091</v>
      </c>
      <c r="B33" s="429" t="s">
        <v>3092</v>
      </c>
      <c r="C33" s="429"/>
      <c r="D33" s="429"/>
      <c r="E33" s="429"/>
      <c r="F33" s="429"/>
    </row>
    <row r="34" customFormat="false" ht="15" hidden="false" customHeight="true" outlineLevel="0" collapsed="false">
      <c r="A34" s="424" t="s">
        <v>3093</v>
      </c>
      <c r="B34" s="425" t="s">
        <v>3094</v>
      </c>
      <c r="C34" s="425"/>
      <c r="D34" s="425"/>
      <c r="E34" s="425"/>
      <c r="F34" s="425"/>
    </row>
    <row r="35" customFormat="false" ht="15" hidden="false" customHeight="true" outlineLevel="0" collapsed="false">
      <c r="A35" s="428" t="s">
        <v>3095</v>
      </c>
      <c r="B35" s="429" t="s">
        <v>3096</v>
      </c>
      <c r="C35" s="429"/>
      <c r="D35" s="429"/>
      <c r="E35" s="429"/>
      <c r="F35" s="429"/>
    </row>
    <row r="36" customFormat="false" ht="15" hidden="false" customHeight="true" outlineLevel="0" collapsed="false">
      <c r="A36" s="424" t="s">
        <v>3097</v>
      </c>
      <c r="B36" s="425" t="s">
        <v>3098</v>
      </c>
      <c r="C36" s="425"/>
      <c r="D36" s="425"/>
      <c r="E36" s="425"/>
      <c r="F36" s="425"/>
    </row>
    <row r="37" customFormat="false" ht="15" hidden="false" customHeight="true" outlineLevel="0" collapsed="false">
      <c r="A37" s="428" t="s">
        <v>3099</v>
      </c>
      <c r="B37" s="429" t="s">
        <v>3100</v>
      </c>
      <c r="C37" s="429"/>
      <c r="D37" s="429"/>
      <c r="E37" s="429"/>
      <c r="F37" s="429"/>
    </row>
    <row r="38" customFormat="false" ht="15" hidden="false" customHeight="true" outlineLevel="0" collapsed="false">
      <c r="A38" s="424" t="s">
        <v>3101</v>
      </c>
      <c r="B38" s="425" t="s">
        <v>3102</v>
      </c>
      <c r="C38" s="425"/>
      <c r="D38" s="425"/>
      <c r="E38" s="425"/>
      <c r="F38" s="425"/>
    </row>
    <row r="39" customFormat="false" ht="30" hidden="false" customHeight="true" outlineLevel="0" collapsed="false">
      <c r="A39" s="428" t="s">
        <v>3103</v>
      </c>
      <c r="B39" s="429" t="s">
        <v>3104</v>
      </c>
      <c r="C39" s="429"/>
      <c r="D39" s="429"/>
      <c r="E39" s="429"/>
      <c r="F39" s="429"/>
    </row>
    <row r="40" customFormat="false" ht="15" hidden="false" customHeight="true" outlineLevel="0" collapsed="false">
      <c r="A40" s="424" t="s">
        <v>3105</v>
      </c>
      <c r="B40" s="425" t="s">
        <v>3106</v>
      </c>
      <c r="C40" s="425"/>
      <c r="D40" s="425"/>
      <c r="E40" s="425"/>
      <c r="F40" s="425"/>
    </row>
    <row r="41" customFormat="false" ht="15" hidden="false" customHeight="true" outlineLevel="0" collapsed="false"/>
    <row r="42" customFormat="false" ht="19.5" hidden="false" customHeight="true" outlineLevel="0" collapsed="false">
      <c r="A42" s="418" t="s">
        <v>3107</v>
      </c>
      <c r="B42" s="418"/>
      <c r="C42" s="418"/>
      <c r="D42" s="418"/>
      <c r="E42" s="418"/>
      <c r="F42" s="418"/>
    </row>
    <row r="43" customFormat="false" ht="15" hidden="false" customHeight="true" outlineLevel="0" collapsed="false">
      <c r="A43" s="430" t="s">
        <v>3108</v>
      </c>
      <c r="B43" s="338" t="s">
        <v>3109</v>
      </c>
      <c r="C43" s="338"/>
      <c r="D43" s="338"/>
      <c r="E43" s="430" t="s">
        <v>2572</v>
      </c>
      <c r="F43" s="431" t="s">
        <v>3110</v>
      </c>
    </row>
    <row r="44" customFormat="false" ht="15" hidden="false" customHeight="true" outlineLevel="0" collapsed="false">
      <c r="A44" s="432" t="n">
        <v>1</v>
      </c>
      <c r="B44" s="260" t="s">
        <v>3111</v>
      </c>
      <c r="C44" s="260"/>
      <c r="D44" s="260"/>
      <c r="E44" s="233" t="s">
        <v>3112</v>
      </c>
      <c r="F44" s="433" t="n">
        <f aca="false">'Construction Budget'!H58</f>
        <v>42983030.6038756</v>
      </c>
    </row>
    <row r="45" customFormat="false" ht="15" hidden="false" customHeight="true" outlineLevel="0" collapsed="false">
      <c r="A45" s="434" t="s">
        <v>358</v>
      </c>
      <c r="B45" s="20" t="s">
        <v>3113</v>
      </c>
      <c r="C45" s="20"/>
      <c r="D45" s="20"/>
      <c r="E45" s="342" t="s">
        <v>3112</v>
      </c>
      <c r="F45" s="435" t="n">
        <f aca="false">'Construction Budget'!H75</f>
        <v>47367292.5</v>
      </c>
    </row>
    <row r="46" customFormat="false" ht="15" hidden="false" customHeight="true" outlineLevel="0" collapsed="false">
      <c r="A46" s="432" t="n">
        <v>3</v>
      </c>
      <c r="B46" s="260" t="s">
        <v>2661</v>
      </c>
      <c r="C46" s="260"/>
      <c r="D46" s="260"/>
      <c r="E46" s="233" t="s">
        <v>3112</v>
      </c>
      <c r="F46" s="433" t="n">
        <f aca="false">'Construction Budget'!H112</f>
        <v>33466040.3875851</v>
      </c>
    </row>
    <row r="47" customFormat="false" ht="15" hidden="false" customHeight="true" outlineLevel="0" collapsed="false">
      <c r="A47" s="434" t="n">
        <v>4</v>
      </c>
      <c r="B47" s="20" t="s">
        <v>3114</v>
      </c>
      <c r="C47" s="20"/>
      <c r="D47" s="20"/>
      <c r="E47" s="342" t="s">
        <v>3112</v>
      </c>
      <c r="F47" s="435" t="n">
        <f aca="false">'Construction Budget'!H126</f>
        <v>5656068</v>
      </c>
    </row>
    <row r="48" customFormat="false" ht="15" hidden="false" customHeight="true" outlineLevel="0" collapsed="false">
      <c r="A48" s="432" t="n">
        <v>5</v>
      </c>
      <c r="B48" s="260" t="s">
        <v>3115</v>
      </c>
      <c r="C48" s="260"/>
      <c r="D48" s="260"/>
      <c r="E48" s="233" t="s">
        <v>3112</v>
      </c>
      <c r="F48" s="433" t="n">
        <f aca="false">'Construction Budget'!H164</f>
        <v>40836399.7619533</v>
      </c>
    </row>
    <row r="49" customFormat="false" ht="15" hidden="false" customHeight="true" outlineLevel="0" collapsed="false">
      <c r="A49" s="434" t="n">
        <v>6</v>
      </c>
      <c r="B49" s="20" t="s">
        <v>3116</v>
      </c>
      <c r="C49" s="20"/>
      <c r="D49" s="20"/>
      <c r="E49" s="342" t="s">
        <v>3112</v>
      </c>
      <c r="F49" s="435" t="n">
        <f aca="false">'Construction Budget'!H174</f>
        <v>1233678.6</v>
      </c>
    </row>
    <row r="50" customFormat="false" ht="15" hidden="false" customHeight="true" outlineLevel="0" collapsed="false">
      <c r="A50" s="432" t="n">
        <v>7</v>
      </c>
      <c r="B50" s="260" t="s">
        <v>3117</v>
      </c>
      <c r="C50" s="260"/>
      <c r="D50" s="260"/>
      <c r="E50" s="233" t="s">
        <v>3112</v>
      </c>
      <c r="F50" s="433" t="n">
        <f aca="false">'Construction Budget'!H212</f>
        <v>38165650.875</v>
      </c>
    </row>
    <row r="51" customFormat="false" ht="15" hidden="false" customHeight="true" outlineLevel="0" collapsed="false">
      <c r="A51" s="434" t="n">
        <v>8</v>
      </c>
      <c r="B51" s="20" t="s">
        <v>3118</v>
      </c>
      <c r="C51" s="20"/>
      <c r="D51" s="20"/>
      <c r="E51" s="342" t="s">
        <v>3112</v>
      </c>
      <c r="F51" s="435" t="n">
        <f aca="false">'Construction Budget'!H239</f>
        <v>13742209.9773727</v>
      </c>
    </row>
    <row r="52" customFormat="false" ht="15" hidden="false" customHeight="true" outlineLevel="0" collapsed="false">
      <c r="A52" s="432" t="n">
        <v>9</v>
      </c>
      <c r="B52" s="260" t="s">
        <v>2685</v>
      </c>
      <c r="C52" s="260"/>
      <c r="D52" s="260"/>
      <c r="E52" s="233" t="s">
        <v>3112</v>
      </c>
      <c r="F52" s="433" t="n">
        <f aca="false">'Construction Budget'!H272</f>
        <v>33189552</v>
      </c>
    </row>
    <row r="53" customFormat="false" ht="15" hidden="false" customHeight="true" outlineLevel="0" collapsed="false">
      <c r="A53" s="434" t="n">
        <v>10</v>
      </c>
      <c r="B53" s="20" t="s">
        <v>2687</v>
      </c>
      <c r="C53" s="20"/>
      <c r="D53" s="20"/>
      <c r="E53" s="342" t="s">
        <v>3112</v>
      </c>
      <c r="F53" s="435" t="n">
        <f aca="false">'Construction Budget'!H292</f>
        <v>4010233.425</v>
      </c>
    </row>
    <row r="54" customFormat="false" ht="15" hidden="false" customHeight="true" outlineLevel="0" collapsed="false">
      <c r="A54" s="432" t="n">
        <v>11</v>
      </c>
      <c r="B54" s="260" t="s">
        <v>3119</v>
      </c>
      <c r="C54" s="260"/>
      <c r="D54" s="260"/>
      <c r="E54" s="233" t="s">
        <v>3112</v>
      </c>
      <c r="F54" s="433" t="n">
        <f aca="false">'Construction Budget'!H305</f>
        <v>1525590</v>
      </c>
    </row>
    <row r="55" customFormat="false" ht="15" hidden="false" customHeight="true" outlineLevel="0" collapsed="false">
      <c r="A55" s="434" t="n">
        <v>12</v>
      </c>
      <c r="B55" s="20" t="s">
        <v>3120</v>
      </c>
      <c r="C55" s="20"/>
      <c r="D55" s="20"/>
      <c r="E55" s="342" t="s">
        <v>3112</v>
      </c>
      <c r="F55" s="435" t="n">
        <f aca="false">'Construction Budget'!H315</f>
        <v>1217056.5</v>
      </c>
    </row>
    <row r="56" customFormat="false" ht="15" hidden="false" customHeight="true" outlineLevel="0" collapsed="false">
      <c r="A56" s="432" t="n">
        <v>14</v>
      </c>
      <c r="B56" s="260" t="s">
        <v>3121</v>
      </c>
      <c r="C56" s="260"/>
      <c r="D56" s="260"/>
      <c r="E56" s="233" t="s">
        <v>3112</v>
      </c>
      <c r="F56" s="433" t="n">
        <f aca="false">'Construction Budget'!H324</f>
        <v>4104292.5</v>
      </c>
    </row>
    <row r="57" customFormat="false" ht="15" hidden="false" customHeight="true" outlineLevel="0" collapsed="false">
      <c r="A57" s="434" t="n">
        <v>21</v>
      </c>
      <c r="B57" s="20" t="s">
        <v>2669</v>
      </c>
      <c r="C57" s="20"/>
      <c r="D57" s="20"/>
      <c r="E57" s="342" t="s">
        <v>3112</v>
      </c>
      <c r="F57" s="435" t="n">
        <f aca="false">'Construction Budget'!H359</f>
        <v>22577593.5</v>
      </c>
    </row>
    <row r="58" customFormat="false" ht="15" hidden="false" customHeight="true" outlineLevel="0" collapsed="false">
      <c r="A58" s="432" t="n">
        <v>22</v>
      </c>
      <c r="B58" s="260" t="s">
        <v>2667</v>
      </c>
      <c r="C58" s="260"/>
      <c r="D58" s="260"/>
      <c r="E58" s="233" t="s">
        <v>3112</v>
      </c>
      <c r="F58" s="433" t="n">
        <f aca="false">'Construction Budget'!H387</f>
        <v>22312498.51875</v>
      </c>
    </row>
    <row r="59" customFormat="false" ht="15" hidden="false" customHeight="true" outlineLevel="0" collapsed="false">
      <c r="A59" s="434" t="n">
        <v>23</v>
      </c>
      <c r="B59" s="20" t="s">
        <v>3122</v>
      </c>
      <c r="C59" s="20"/>
      <c r="D59" s="20"/>
      <c r="E59" s="342" t="s">
        <v>3112</v>
      </c>
      <c r="F59" s="435" t="n">
        <f aca="false">'Construction Budget'!H495</f>
        <v>226484248.001927</v>
      </c>
    </row>
    <row r="60" customFormat="false" ht="15" hidden="false" customHeight="true" outlineLevel="0" collapsed="false">
      <c r="A60" s="432" t="n">
        <v>25</v>
      </c>
      <c r="B60" s="260" t="s">
        <v>3123</v>
      </c>
      <c r="C60" s="260"/>
      <c r="D60" s="260"/>
      <c r="E60" s="233" t="s">
        <v>3112</v>
      </c>
      <c r="F60" s="433" t="n">
        <f aca="false">'Construction Budget'!H517</f>
        <v>13470732</v>
      </c>
    </row>
    <row r="61" customFormat="false" ht="15" hidden="false" customHeight="true" outlineLevel="0" collapsed="false">
      <c r="A61" s="434" t="n">
        <v>26</v>
      </c>
      <c r="B61" s="20" t="s">
        <v>2673</v>
      </c>
      <c r="C61" s="20"/>
      <c r="D61" s="20"/>
      <c r="E61" s="342" t="s">
        <v>3112</v>
      </c>
      <c r="F61" s="435" t="n">
        <f aca="false">'Construction Budget'!H665</f>
        <v>248147784.950389</v>
      </c>
    </row>
    <row r="62" customFormat="false" ht="15" hidden="false" customHeight="true" outlineLevel="0" collapsed="false">
      <c r="A62" s="432" t="n">
        <v>27</v>
      </c>
      <c r="B62" s="260" t="s">
        <v>3124</v>
      </c>
      <c r="C62" s="260"/>
      <c r="D62" s="260"/>
      <c r="E62" s="233" t="s">
        <v>3112</v>
      </c>
      <c r="F62" s="433" t="n">
        <f aca="false">'Construction Budget'!H714</f>
        <v>60417387.7013327</v>
      </c>
    </row>
    <row r="63" customFormat="false" ht="15" hidden="false" customHeight="true" outlineLevel="0" collapsed="false">
      <c r="A63" s="434" t="n">
        <v>28</v>
      </c>
      <c r="B63" s="20" t="s">
        <v>3125</v>
      </c>
      <c r="C63" s="20"/>
      <c r="D63" s="20"/>
      <c r="E63" s="342" t="s">
        <v>3112</v>
      </c>
      <c r="F63" s="435" t="n">
        <f aca="false">'Construction Budget'!H742</f>
        <v>15750753.4249814</v>
      </c>
    </row>
    <row r="64" customFormat="false" ht="15" hidden="false" customHeight="true" outlineLevel="0" collapsed="false">
      <c r="A64" s="432" t="n">
        <v>31</v>
      </c>
      <c r="B64" s="260" t="s">
        <v>3126</v>
      </c>
      <c r="C64" s="260"/>
      <c r="D64" s="260"/>
      <c r="E64" s="233" t="s">
        <v>3112</v>
      </c>
      <c r="F64" s="433" t="n">
        <f aca="false">'Construction Budget'!H772</f>
        <v>25614732</v>
      </c>
    </row>
    <row r="65" customFormat="false" ht="15" hidden="false" customHeight="true" outlineLevel="0" collapsed="false">
      <c r="A65" s="434" t="n">
        <v>32</v>
      </c>
      <c r="B65" s="20" t="s">
        <v>3127</v>
      </c>
      <c r="C65" s="20"/>
      <c r="D65" s="20"/>
      <c r="E65" s="342" t="s">
        <v>3112</v>
      </c>
      <c r="F65" s="435" t="n">
        <f aca="false">'Construction Budget'!H792</f>
        <v>9371809.46422509</v>
      </c>
    </row>
    <row r="66" customFormat="false" ht="15" hidden="false" customHeight="true" outlineLevel="0" collapsed="false">
      <c r="A66" s="432" t="n">
        <v>33</v>
      </c>
      <c r="B66" s="260" t="s">
        <v>3128</v>
      </c>
      <c r="C66" s="260"/>
      <c r="D66" s="260"/>
      <c r="E66" s="233" t="s">
        <v>3112</v>
      </c>
      <c r="F66" s="433" t="n">
        <f aca="false">'Construction Budget'!H835</f>
        <v>63598602.375</v>
      </c>
    </row>
    <row r="67" customFormat="false" ht="15" hidden="false" customHeight="true" outlineLevel="0" collapsed="false">
      <c r="A67" s="436"/>
      <c r="B67" s="436" t="s">
        <v>3129</v>
      </c>
      <c r="C67" s="436"/>
      <c r="D67" s="436"/>
      <c r="E67" s="436"/>
      <c r="F67" s="437" t="n">
        <f aca="false">SUM(F44:F66)</f>
        <v>975243237.067392</v>
      </c>
    </row>
    <row r="68" customFormat="false" ht="43.5" hidden="false" customHeight="true" outlineLevel="0" collapsed="false">
      <c r="A68" s="438" t="s">
        <v>3130</v>
      </c>
      <c r="B68" s="438"/>
      <c r="C68" s="438"/>
      <c r="D68" s="438"/>
      <c r="E68" s="438"/>
      <c r="F68" s="438"/>
    </row>
    <row r="70" customFormat="false" ht="15.75" hidden="false" customHeight="true" outlineLevel="0" collapsed="false">
      <c r="A70" s="418" t="s">
        <v>3131</v>
      </c>
      <c r="B70" s="418"/>
      <c r="C70" s="418"/>
      <c r="D70" s="418"/>
      <c r="E70" s="418"/>
      <c r="F70" s="418"/>
    </row>
    <row r="71" customFormat="false" ht="15" hidden="false" customHeight="true" outlineLevel="0" collapsed="false">
      <c r="A71" s="439" t="s">
        <v>3132</v>
      </c>
      <c r="B71" s="440" t="s">
        <v>3133</v>
      </c>
      <c r="C71" s="440"/>
      <c r="D71" s="440"/>
      <c r="E71" s="440"/>
      <c r="F71" s="440"/>
    </row>
    <row r="72" customFormat="false" ht="15" hidden="false" customHeight="true" outlineLevel="0" collapsed="false">
      <c r="A72" s="424" t="s">
        <v>3134</v>
      </c>
      <c r="B72" s="425" t="s">
        <v>3135</v>
      </c>
      <c r="C72" s="425"/>
      <c r="D72" s="425"/>
      <c r="E72" s="425"/>
      <c r="F72" s="425"/>
    </row>
    <row r="73" customFormat="false" ht="15" hidden="false" customHeight="true" outlineLevel="0" collapsed="false">
      <c r="A73" s="439" t="s">
        <v>3136</v>
      </c>
      <c r="B73" s="440" t="s">
        <v>3137</v>
      </c>
      <c r="C73" s="440"/>
      <c r="D73" s="440"/>
      <c r="E73" s="440"/>
      <c r="F73" s="440"/>
    </row>
    <row r="74" customFormat="false" ht="15" hidden="false" customHeight="true" outlineLevel="0" collapsed="false">
      <c r="A74" s="424" t="s">
        <v>3138</v>
      </c>
      <c r="B74" s="425" t="s">
        <v>3139</v>
      </c>
      <c r="C74" s="425"/>
      <c r="D74" s="425"/>
      <c r="E74" s="425"/>
      <c r="F74" s="425"/>
    </row>
    <row r="75" customFormat="false" ht="15" hidden="false" customHeight="true" outlineLevel="0" collapsed="false">
      <c r="A75" s="439" t="s">
        <v>3140</v>
      </c>
      <c r="B75" s="440" t="s">
        <v>3141</v>
      </c>
      <c r="C75" s="440"/>
      <c r="D75" s="440"/>
      <c r="E75" s="440"/>
      <c r="F75" s="440"/>
    </row>
    <row r="76" customFormat="false" ht="15" hidden="false" customHeight="true" outlineLevel="0" collapsed="false">
      <c r="A76" s="424" t="s">
        <v>3142</v>
      </c>
      <c r="B76" s="425" t="s">
        <v>3143</v>
      </c>
      <c r="C76" s="425"/>
      <c r="D76" s="425"/>
      <c r="E76" s="425"/>
      <c r="F76" s="425"/>
    </row>
    <row r="77" customFormat="false" ht="15" hidden="false" customHeight="true" outlineLevel="0" collapsed="false">
      <c r="A77" s="439" t="s">
        <v>3144</v>
      </c>
      <c r="B77" s="440" t="s">
        <v>3145</v>
      </c>
      <c r="C77" s="440"/>
      <c r="D77" s="440"/>
      <c r="E77" s="440"/>
      <c r="F77" s="440"/>
    </row>
    <row r="78" customFormat="false" ht="30" hidden="false" customHeight="true" outlineLevel="0" collapsed="false">
      <c r="A78" s="424" t="s">
        <v>3146</v>
      </c>
      <c r="B78" s="425" t="s">
        <v>3147</v>
      </c>
      <c r="C78" s="425"/>
      <c r="D78" s="425"/>
      <c r="E78" s="425"/>
      <c r="F78" s="425"/>
    </row>
    <row r="79" customFormat="false" ht="15" hidden="false" customHeight="true" outlineLevel="0" collapsed="false">
      <c r="A79" s="439" t="s">
        <v>3148</v>
      </c>
      <c r="B79" s="440" t="s">
        <v>3149</v>
      </c>
      <c r="C79" s="440"/>
      <c r="D79" s="440"/>
      <c r="E79" s="440"/>
      <c r="F79" s="440"/>
    </row>
    <row r="80" customFormat="false" ht="15" hidden="false" customHeight="true" outlineLevel="0" collapsed="false">
      <c r="A80" s="424" t="s">
        <v>3150</v>
      </c>
      <c r="B80" s="425" t="s">
        <v>3151</v>
      </c>
      <c r="C80" s="425"/>
      <c r="D80" s="425"/>
      <c r="E80" s="425"/>
      <c r="F80" s="425"/>
    </row>
    <row r="81" customFormat="false" ht="15" hidden="false" customHeight="true" outlineLevel="0" collapsed="false">
      <c r="A81" s="439" t="s">
        <v>3152</v>
      </c>
      <c r="B81" s="440" t="s">
        <v>3153</v>
      </c>
      <c r="C81" s="440"/>
      <c r="D81" s="440"/>
      <c r="E81" s="440"/>
      <c r="F81" s="440"/>
    </row>
    <row r="82" customFormat="false" ht="30" hidden="false" customHeight="true" outlineLevel="0" collapsed="false">
      <c r="A82" s="424" t="s">
        <v>3154</v>
      </c>
      <c r="B82" s="425" t="s">
        <v>3155</v>
      </c>
      <c r="C82" s="425"/>
      <c r="D82" s="425"/>
      <c r="E82" s="425"/>
      <c r="F82" s="425"/>
    </row>
    <row r="84" customFormat="false" ht="15.75" hidden="false" customHeight="true" outlineLevel="0" collapsed="false">
      <c r="A84" s="418" t="s">
        <v>3156</v>
      </c>
      <c r="B84" s="418"/>
      <c r="C84" s="418"/>
      <c r="D84" s="418"/>
      <c r="E84" s="418"/>
      <c r="F84" s="418"/>
    </row>
    <row r="85" customFormat="false" ht="15" hidden="false" customHeight="true" outlineLevel="0" collapsed="false">
      <c r="A85" s="441" t="s">
        <v>266</v>
      </c>
      <c r="B85" s="441" t="s">
        <v>3157</v>
      </c>
      <c r="C85" s="441" t="s">
        <v>3158</v>
      </c>
      <c r="D85" s="441" t="s">
        <v>3159</v>
      </c>
      <c r="E85" s="441" t="s">
        <v>3160</v>
      </c>
      <c r="F85" s="441" t="s">
        <v>2944</v>
      </c>
    </row>
    <row r="86" customFormat="false" ht="45" hidden="false" customHeight="true" outlineLevel="0" collapsed="false">
      <c r="A86" s="442" t="s">
        <v>3161</v>
      </c>
      <c r="B86" s="443" t="s">
        <v>3162</v>
      </c>
      <c r="C86" s="444" t="s">
        <v>184</v>
      </c>
      <c r="D86" s="443" t="s">
        <v>3163</v>
      </c>
      <c r="E86" s="443" t="s">
        <v>3164</v>
      </c>
      <c r="F86" s="443" t="s">
        <v>3165</v>
      </c>
    </row>
    <row r="87" customFormat="false" ht="30" hidden="false" customHeight="true" outlineLevel="0" collapsed="false">
      <c r="A87" s="445" t="s">
        <v>3166</v>
      </c>
      <c r="B87" s="446" t="s">
        <v>3167</v>
      </c>
      <c r="C87" s="447" t="s">
        <v>184</v>
      </c>
      <c r="D87" s="446" t="s">
        <v>3168</v>
      </c>
      <c r="E87" s="446" t="s">
        <v>3169</v>
      </c>
      <c r="F87" s="446" t="s">
        <v>3170</v>
      </c>
    </row>
    <row r="88" customFormat="false" ht="30" hidden="false" customHeight="true" outlineLevel="0" collapsed="false">
      <c r="A88" s="442" t="s">
        <v>3171</v>
      </c>
      <c r="B88" s="443" t="s">
        <v>3172</v>
      </c>
      <c r="C88" s="444" t="s">
        <v>3173</v>
      </c>
      <c r="D88" s="443" t="s">
        <v>3174</v>
      </c>
      <c r="E88" s="443" t="s">
        <v>3175</v>
      </c>
      <c r="F88" s="443" t="s">
        <v>3176</v>
      </c>
    </row>
    <row r="89" customFormat="false" ht="30" hidden="false" customHeight="true" outlineLevel="0" collapsed="false">
      <c r="A89" s="445" t="s">
        <v>3177</v>
      </c>
      <c r="B89" s="446" t="s">
        <v>3178</v>
      </c>
      <c r="C89" s="447" t="s">
        <v>3173</v>
      </c>
      <c r="D89" s="446" t="s">
        <v>3179</v>
      </c>
      <c r="E89" s="446" t="s">
        <v>3180</v>
      </c>
      <c r="F89" s="446" t="s">
        <v>3181</v>
      </c>
    </row>
    <row r="90" customFormat="false" ht="30" hidden="false" customHeight="true" outlineLevel="0" collapsed="false">
      <c r="A90" s="442" t="s">
        <v>3182</v>
      </c>
      <c r="B90" s="443" t="s">
        <v>3183</v>
      </c>
      <c r="C90" s="444" t="s">
        <v>3173</v>
      </c>
      <c r="D90" s="443" t="s">
        <v>3184</v>
      </c>
      <c r="E90" s="443" t="s">
        <v>3185</v>
      </c>
      <c r="F90" s="443" t="s">
        <v>3186</v>
      </c>
    </row>
    <row r="91" customFormat="false" ht="30" hidden="false" customHeight="true" outlineLevel="0" collapsed="false">
      <c r="A91" s="445" t="s">
        <v>3187</v>
      </c>
      <c r="B91" s="446" t="s">
        <v>3188</v>
      </c>
      <c r="C91" s="447" t="s">
        <v>3189</v>
      </c>
      <c r="D91" s="446" t="s">
        <v>3190</v>
      </c>
      <c r="E91" s="446" t="s">
        <v>3191</v>
      </c>
      <c r="F91" s="446" t="s">
        <v>3186</v>
      </c>
    </row>
    <row r="92" customFormat="false" ht="30" hidden="false" customHeight="true" outlineLevel="0" collapsed="false">
      <c r="A92" s="442" t="s">
        <v>3192</v>
      </c>
      <c r="B92" s="443" t="s">
        <v>3193</v>
      </c>
      <c r="C92" s="444" t="s">
        <v>3173</v>
      </c>
      <c r="D92" s="443" t="s">
        <v>3194</v>
      </c>
      <c r="E92" s="443" t="s">
        <v>3195</v>
      </c>
      <c r="F92" s="443" t="s">
        <v>3196</v>
      </c>
    </row>
    <row r="93" customFormat="false" ht="30" hidden="false" customHeight="true" outlineLevel="0" collapsed="false">
      <c r="A93" s="445" t="s">
        <v>3197</v>
      </c>
      <c r="B93" s="446" t="s">
        <v>3198</v>
      </c>
      <c r="C93" s="447" t="s">
        <v>3173</v>
      </c>
      <c r="D93" s="446" t="s">
        <v>3199</v>
      </c>
      <c r="E93" s="446" t="s">
        <v>3200</v>
      </c>
      <c r="F93" s="446" t="s">
        <v>3170</v>
      </c>
    </row>
    <row r="94" customFormat="false" ht="45" hidden="false" customHeight="true" outlineLevel="0" collapsed="false">
      <c r="A94" s="442" t="s">
        <v>3201</v>
      </c>
      <c r="B94" s="443" t="s">
        <v>3202</v>
      </c>
      <c r="C94" s="448" t="s">
        <v>184</v>
      </c>
      <c r="D94" s="443" t="s">
        <v>3203</v>
      </c>
      <c r="E94" s="443" t="s">
        <v>3204</v>
      </c>
      <c r="F94" s="443" t="s">
        <v>3205</v>
      </c>
    </row>
    <row r="95" customFormat="false" ht="45" hidden="false" customHeight="true" outlineLevel="0" collapsed="false">
      <c r="A95" s="445" t="s">
        <v>3206</v>
      </c>
      <c r="B95" s="446" t="s">
        <v>3207</v>
      </c>
      <c r="C95" s="449" t="s">
        <v>3173</v>
      </c>
      <c r="D95" s="446" t="s">
        <v>3208</v>
      </c>
      <c r="E95" s="446" t="s">
        <v>3209</v>
      </c>
      <c r="F95" s="446" t="s">
        <v>3210</v>
      </c>
    </row>
    <row r="97" customFormat="false" ht="15.75" hidden="false" customHeight="true" outlineLevel="0" collapsed="false">
      <c r="A97" s="418" t="s">
        <v>3211</v>
      </c>
      <c r="B97" s="197"/>
      <c r="C97" s="197"/>
      <c r="D97" s="197"/>
      <c r="E97" s="197"/>
      <c r="F97" s="197"/>
    </row>
    <row r="98" customFormat="false" ht="19.5" hidden="false" customHeight="true" outlineLevel="0" collapsed="false">
      <c r="A98" s="450" t="s">
        <v>3212</v>
      </c>
      <c r="B98" s="450"/>
      <c r="C98" s="451" t="s">
        <v>3213</v>
      </c>
      <c r="D98" s="451" t="s">
        <v>3214</v>
      </c>
      <c r="E98" s="451" t="s">
        <v>3215</v>
      </c>
    </row>
    <row r="99" customFormat="false" ht="19.5" hidden="false" customHeight="true" outlineLevel="0" collapsed="false">
      <c r="A99" s="452" t="s">
        <v>3216</v>
      </c>
      <c r="B99" s="452"/>
      <c r="C99" s="453"/>
      <c r="D99" s="453"/>
      <c r="E99" s="454"/>
    </row>
    <row r="100" customFormat="false" ht="19.5" hidden="false" customHeight="true" outlineLevel="0" collapsed="false">
      <c r="A100" s="455" t="s">
        <v>3217</v>
      </c>
      <c r="B100" s="455"/>
      <c r="C100" s="456"/>
      <c r="D100" s="456"/>
      <c r="E100" s="457"/>
    </row>
    <row r="101" customFormat="false" ht="15" hidden="false" customHeight="true" outlineLevel="0" collapsed="false"/>
    <row r="102" customFormat="false" ht="15" hidden="false" customHeight="true" outlineLevel="0" collapsed="false">
      <c r="A102" s="418" t="s">
        <v>3218</v>
      </c>
      <c r="B102" s="197"/>
      <c r="C102" s="197"/>
      <c r="D102" s="197"/>
      <c r="E102" s="197"/>
      <c r="F102" s="197"/>
    </row>
    <row r="103" customFormat="false" ht="31.5" hidden="false" customHeight="true" outlineLevel="0" collapsed="false">
      <c r="A103" s="458" t="s">
        <v>3219</v>
      </c>
      <c r="B103" s="458"/>
      <c r="C103" s="458"/>
      <c r="D103" s="458"/>
      <c r="E103" s="458"/>
      <c r="F103" s="458"/>
    </row>
    <row r="104" customFormat="false" ht="31.5" hidden="false" customHeight="true" outlineLevel="0" collapsed="false">
      <c r="A104" s="459" t="s">
        <v>3220</v>
      </c>
      <c r="B104" s="459"/>
      <c r="C104" s="459"/>
      <c r="D104" s="459"/>
      <c r="E104" s="459"/>
      <c r="F104" s="459"/>
    </row>
    <row r="105" customFormat="false" ht="31.5" hidden="false" customHeight="true" outlineLevel="0" collapsed="false">
      <c r="A105" s="458" t="s">
        <v>3221</v>
      </c>
      <c r="B105" s="458"/>
      <c r="C105" s="458"/>
      <c r="D105" s="458"/>
      <c r="E105" s="458"/>
      <c r="F105" s="458"/>
    </row>
    <row r="106" customFormat="false" ht="48" hidden="false" customHeight="true" outlineLevel="0" collapsed="false">
      <c r="A106" s="459" t="s">
        <v>3222</v>
      </c>
      <c r="B106" s="459"/>
      <c r="C106" s="459"/>
      <c r="D106" s="459"/>
      <c r="E106" s="459"/>
      <c r="F106" s="459"/>
    </row>
    <row r="107" customFormat="false" ht="48" hidden="false" customHeight="true" outlineLevel="0" collapsed="false">
      <c r="A107" s="458" t="s">
        <v>3223</v>
      </c>
      <c r="B107" s="458"/>
      <c r="C107" s="458"/>
      <c r="D107" s="458"/>
      <c r="E107" s="458"/>
      <c r="F107" s="458"/>
    </row>
  </sheetData>
  <mergeCells count="57">
    <mergeCell ref="B3:C3"/>
    <mergeCell ref="E3:F3"/>
    <mergeCell ref="B4:C4"/>
    <mergeCell ref="E4:F4"/>
    <mergeCell ref="B5:C5"/>
    <mergeCell ref="E5:F5"/>
    <mergeCell ref="B6:C6"/>
    <mergeCell ref="B8:F8"/>
    <mergeCell ref="B9:F9"/>
    <mergeCell ref="B10:F10"/>
    <mergeCell ref="B11:F11"/>
    <mergeCell ref="B12:F12"/>
    <mergeCell ref="B13:F13"/>
    <mergeCell ref="B16:F16"/>
    <mergeCell ref="B17:F17"/>
    <mergeCell ref="B18:F18"/>
    <mergeCell ref="B19:F19"/>
    <mergeCell ref="B20:F20"/>
    <mergeCell ref="B21:F21"/>
    <mergeCell ref="B22:F22"/>
    <mergeCell ref="B23:F23"/>
    <mergeCell ref="B24:F24"/>
    <mergeCell ref="B25:F25"/>
    <mergeCell ref="B26:F26"/>
    <mergeCell ref="B27:F27"/>
    <mergeCell ref="B28:F28"/>
    <mergeCell ref="B31:F31"/>
    <mergeCell ref="B32:F32"/>
    <mergeCell ref="B33:F33"/>
    <mergeCell ref="B34:F34"/>
    <mergeCell ref="B35:F35"/>
    <mergeCell ref="B36:F36"/>
    <mergeCell ref="B37:F37"/>
    <mergeCell ref="B38:F38"/>
    <mergeCell ref="B39:F39"/>
    <mergeCell ref="B40:F40"/>
    <mergeCell ref="A68:F68"/>
    <mergeCell ref="B71:F71"/>
    <mergeCell ref="B72:F72"/>
    <mergeCell ref="B73:F73"/>
    <mergeCell ref="B74:F74"/>
    <mergeCell ref="B75:F75"/>
    <mergeCell ref="B76:F76"/>
    <mergeCell ref="B77:F77"/>
    <mergeCell ref="B78:F78"/>
    <mergeCell ref="B79:F79"/>
    <mergeCell ref="B80:F80"/>
    <mergeCell ref="B81:F81"/>
    <mergeCell ref="B82:F82"/>
    <mergeCell ref="A98:B98"/>
    <mergeCell ref="A99:B99"/>
    <mergeCell ref="A100:B100"/>
    <mergeCell ref="A103:F103"/>
    <mergeCell ref="A104:F104"/>
    <mergeCell ref="A105:F105"/>
    <mergeCell ref="A106:F106"/>
    <mergeCell ref="A107:F107"/>
  </mergeCells>
  <conditionalFormatting sqref="C86:C95">
    <cfRule type="cellIs" priority="2" operator="equal" aboveAverage="0" equalAverage="0" bottom="0" percent="0" rank="0" text="" dxfId="10">
      <formula>"High"</formula>
    </cfRule>
    <cfRule type="cellIs" priority="3" operator="equal" aboveAverage="0" equalAverage="0" bottom="0" percent="0" rank="0" text="" dxfId="11">
      <formula>"Med"</formula>
    </cfRule>
    <cfRule type="cellIs" priority="4" operator="equal" aboveAverage="0" equalAverage="0" bottom="0" percent="0" rank="0" text="" dxfId="12">
      <formula>"Low"</formula>
    </cfRule>
  </conditionalFormatting>
  <dataValidations count="1">
    <dataValidation allowBlank="true" errorStyle="stop" operator="between" showDropDown="false" showErrorMessage="true" showInputMessage="true" sqref="C86:C95" type="list">
      <formula1>"Low,Low–Med,Med,Med–High,High"</formula1>
      <formula2>0</formula2>
    </dataValidation>
  </dataValidations>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N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7421875" defaultRowHeight="15" zeroHeight="false" outlineLevelRow="0" outlineLevelCol="0"/>
  <cols>
    <col collapsed="false" customWidth="true" hidden="false" outlineLevel="0" max="1" min="1" style="1" width="6.71"/>
    <col collapsed="false" customWidth="true" hidden="false" outlineLevel="0" max="2" min="2" style="1" width="45.71"/>
    <col collapsed="false" customWidth="true" hidden="false" outlineLevel="0" max="3" min="3" style="1" width="30.43"/>
    <col collapsed="false" customWidth="true" hidden="false" outlineLevel="0" max="4" min="4" style="1" width="11.43"/>
    <col collapsed="false" customWidth="true" hidden="false" outlineLevel="0" max="5" min="5" style="1" width="15.29"/>
    <col collapsed="false" customWidth="true" hidden="false" outlineLevel="0" max="6" min="6" style="1" width="14.29"/>
    <col collapsed="false" customWidth="true" hidden="false" outlineLevel="0" max="7" min="7" style="1" width="19"/>
    <col collapsed="false" customWidth="true" hidden="false" outlineLevel="0" max="8" min="8" style="1" width="17.14"/>
    <col collapsed="false" customWidth="true" hidden="false" outlineLevel="0" max="13" min="9" style="1" width="21"/>
    <col collapsed="false" customWidth="true" hidden="false" outlineLevel="0" max="14" min="14" style="1" width="45.71"/>
  </cols>
  <sheetData>
    <row r="1" customFormat="false" ht="24" hidden="false" customHeight="true" outlineLevel="0" collapsed="false">
      <c r="A1" s="161" t="n">
        <v>0.0175</v>
      </c>
      <c r="B1" s="161"/>
      <c r="C1" s="161"/>
      <c r="D1" s="161"/>
      <c r="E1" s="161"/>
      <c r="F1" s="161"/>
      <c r="G1" s="161"/>
      <c r="H1" s="161"/>
      <c r="I1" s="161"/>
      <c r="J1" s="161"/>
      <c r="K1" s="161"/>
      <c r="L1" s="161"/>
      <c r="M1" s="161"/>
      <c r="N1" s="161"/>
    </row>
    <row r="3" customFormat="false" ht="15" hidden="false" customHeight="true" outlineLevel="0" collapsed="false">
      <c r="A3" s="347" t="s">
        <v>3224</v>
      </c>
    </row>
    <row r="4" customFormat="false" ht="15.75" hidden="false" customHeight="true" outlineLevel="0" collapsed="false">
      <c r="A4" s="163" t="s">
        <v>3225</v>
      </c>
      <c r="B4" s="460" t="s">
        <v>2637</v>
      </c>
      <c r="C4" s="163" t="s">
        <v>3226</v>
      </c>
      <c r="D4" s="461" t="n">
        <f aca="false" t="array" ref="D4:D4">IFERROR(IF($B$4="All",J20,_xlfn.AGGREGATE(17,6,J6:J15/(E6:E15=$B$4),5)),"—")</f>
        <v>1430000</v>
      </c>
      <c r="E4" s="163" t="s">
        <v>3227</v>
      </c>
      <c r="F4" s="424" t="n">
        <f aca="false">IF($B$4="All",10,COUNTIF(E6:E15,$B$4))</f>
        <v>10</v>
      </c>
    </row>
    <row r="5" customFormat="false" ht="15" hidden="false" customHeight="true" outlineLevel="0" collapsed="false">
      <c r="A5" s="175" t="s">
        <v>266</v>
      </c>
      <c r="B5" s="175" t="s">
        <v>3228</v>
      </c>
      <c r="C5" s="175" t="s">
        <v>2695</v>
      </c>
      <c r="D5" s="175" t="s">
        <v>3229</v>
      </c>
      <c r="E5" s="175" t="s">
        <v>168</v>
      </c>
      <c r="F5" s="175" t="s">
        <v>3230</v>
      </c>
      <c r="G5" s="175" t="s">
        <v>1842</v>
      </c>
      <c r="H5" s="175" t="s">
        <v>1843</v>
      </c>
      <c r="I5" s="175" t="s">
        <v>1911</v>
      </c>
      <c r="J5" s="175" t="s">
        <v>3231</v>
      </c>
      <c r="K5" s="175" t="s">
        <v>3232</v>
      </c>
      <c r="L5" s="175" t="s">
        <v>3233</v>
      </c>
      <c r="M5" s="175" t="s">
        <v>3234</v>
      </c>
      <c r="N5" s="175" t="s">
        <v>1921</v>
      </c>
    </row>
    <row r="6" customFormat="false" ht="15" hidden="false" customHeight="true" outlineLevel="0" collapsed="false">
      <c r="A6" s="342" t="n">
        <v>1</v>
      </c>
      <c r="B6" s="20" t="s">
        <v>3235</v>
      </c>
      <c r="C6" s="20" t="s">
        <v>2649</v>
      </c>
      <c r="D6" s="20" t="n">
        <v>2023</v>
      </c>
      <c r="E6" s="20" t="s">
        <v>155</v>
      </c>
      <c r="F6" s="342" t="n">
        <v>4</v>
      </c>
      <c r="G6" s="462" t="n">
        <v>1200000</v>
      </c>
      <c r="H6" s="463" t="n">
        <v>96</v>
      </c>
      <c r="I6" s="464" t="n">
        <v>220</v>
      </c>
      <c r="J6" s="464" t="n">
        <v>1450000</v>
      </c>
      <c r="K6" s="464" t="n">
        <v>880</v>
      </c>
      <c r="L6" s="464" t="n">
        <v>11500000</v>
      </c>
      <c r="M6" s="465" t="n">
        <v>11.5</v>
      </c>
      <c r="N6" s="466" t="s">
        <v>3236</v>
      </c>
    </row>
    <row r="7" customFormat="false" ht="15" hidden="false" customHeight="true" outlineLevel="0" collapsed="false">
      <c r="A7" s="233" t="n">
        <v>2</v>
      </c>
      <c r="B7" s="260" t="s">
        <v>3237</v>
      </c>
      <c r="C7" s="260" t="s">
        <v>3238</v>
      </c>
      <c r="D7" s="260" t="n">
        <v>2024</v>
      </c>
      <c r="E7" s="260" t="s">
        <v>155</v>
      </c>
      <c r="F7" s="233" t="n">
        <v>2</v>
      </c>
      <c r="G7" s="467" t="n">
        <v>480000</v>
      </c>
      <c r="H7" s="468" t="n">
        <v>36</v>
      </c>
      <c r="I7" s="469" t="n">
        <v>240</v>
      </c>
      <c r="J7" s="469" t="n">
        <v>1620000</v>
      </c>
      <c r="K7" s="469" t="n">
        <v>920</v>
      </c>
      <c r="L7" s="469" t="n">
        <v>12200000</v>
      </c>
      <c r="M7" s="470" t="n">
        <v>12.2</v>
      </c>
      <c r="N7" s="471" t="s">
        <v>3239</v>
      </c>
    </row>
    <row r="8" customFormat="false" ht="15" hidden="false" customHeight="true" outlineLevel="0" collapsed="false">
      <c r="A8" s="342" t="n">
        <v>3</v>
      </c>
      <c r="B8" s="20" t="s">
        <v>3240</v>
      </c>
      <c r="C8" s="20" t="s">
        <v>3241</v>
      </c>
      <c r="D8" s="20" t="n">
        <v>2022</v>
      </c>
      <c r="E8" s="20" t="s">
        <v>176</v>
      </c>
      <c r="F8" s="342" t="n">
        <v>3</v>
      </c>
      <c r="G8" s="462" t="n">
        <v>850000</v>
      </c>
      <c r="H8" s="463" t="n">
        <v>72</v>
      </c>
      <c r="I8" s="464" t="n">
        <v>205</v>
      </c>
      <c r="J8" s="464" t="n">
        <v>1380000</v>
      </c>
      <c r="K8" s="464" t="n">
        <v>850</v>
      </c>
      <c r="L8" s="464" t="n">
        <v>11000000</v>
      </c>
      <c r="M8" s="465" t="n">
        <v>11</v>
      </c>
      <c r="N8" s="466" t="s">
        <v>3242</v>
      </c>
    </row>
    <row r="9" customFormat="false" ht="15" hidden="false" customHeight="true" outlineLevel="0" collapsed="false">
      <c r="A9" s="233" t="n">
        <v>4</v>
      </c>
      <c r="B9" s="260" t="s">
        <v>3243</v>
      </c>
      <c r="C9" s="260" t="s">
        <v>3244</v>
      </c>
      <c r="D9" s="260" t="n">
        <v>2023</v>
      </c>
      <c r="E9" s="260" t="s">
        <v>180</v>
      </c>
      <c r="F9" s="233" t="n">
        <v>6</v>
      </c>
      <c r="G9" s="467" t="n">
        <v>1800000</v>
      </c>
      <c r="H9" s="468" t="n">
        <v>144</v>
      </c>
      <c r="I9" s="469" t="n">
        <v>195</v>
      </c>
      <c r="J9" s="469" t="n">
        <v>1310000</v>
      </c>
      <c r="K9" s="469" t="n">
        <v>780</v>
      </c>
      <c r="L9" s="469" t="n">
        <v>10200000</v>
      </c>
      <c r="M9" s="470" t="n">
        <v>10.2</v>
      </c>
      <c r="N9" s="471" t="s">
        <v>3245</v>
      </c>
    </row>
    <row r="10" customFormat="false" ht="15" hidden="false" customHeight="true" outlineLevel="0" collapsed="false">
      <c r="A10" s="342" t="n">
        <v>5</v>
      </c>
      <c r="B10" s="20" t="s">
        <v>3246</v>
      </c>
      <c r="C10" s="20" t="s">
        <v>3247</v>
      </c>
      <c r="D10" s="20" t="n">
        <v>2024</v>
      </c>
      <c r="E10" s="20" t="s">
        <v>2614</v>
      </c>
      <c r="F10" s="342" t="n">
        <v>1</v>
      </c>
      <c r="G10" s="462" t="n">
        <v>280000</v>
      </c>
      <c r="H10" s="463" t="n">
        <v>24</v>
      </c>
      <c r="I10" s="464" t="n">
        <v>280</v>
      </c>
      <c r="J10" s="464" t="n">
        <v>1900000</v>
      </c>
      <c r="K10" s="464" t="n">
        <v>1080</v>
      </c>
      <c r="L10" s="464" t="n">
        <v>14500000</v>
      </c>
      <c r="M10" s="465" t="n">
        <v>14.5</v>
      </c>
      <c r="N10" s="466" t="s">
        <v>3248</v>
      </c>
    </row>
    <row r="11" customFormat="false" ht="15" hidden="false" customHeight="true" outlineLevel="0" collapsed="false">
      <c r="A11" s="233" t="n">
        <v>6</v>
      </c>
      <c r="B11" s="260" t="s">
        <v>3249</v>
      </c>
      <c r="C11" s="260" t="s">
        <v>3250</v>
      </c>
      <c r="D11" s="260" t="n">
        <v>2024</v>
      </c>
      <c r="E11" s="260" t="s">
        <v>155</v>
      </c>
      <c r="F11" s="233" t="n">
        <v>5</v>
      </c>
      <c r="G11" s="467" t="n">
        <v>1450000</v>
      </c>
      <c r="H11" s="468" t="n">
        <v>120</v>
      </c>
      <c r="I11" s="469" t="n">
        <v>215</v>
      </c>
      <c r="J11" s="469" t="n">
        <v>1410000</v>
      </c>
      <c r="K11" s="469" t="n">
        <v>870</v>
      </c>
      <c r="L11" s="469" t="n">
        <v>11300000</v>
      </c>
      <c r="M11" s="470" t="n">
        <v>11.3</v>
      </c>
      <c r="N11" s="471" t="s">
        <v>3251</v>
      </c>
    </row>
    <row r="12" customFormat="false" ht="15" hidden="false" customHeight="true" outlineLevel="0" collapsed="false">
      <c r="A12" s="342" t="n">
        <v>7</v>
      </c>
      <c r="B12" s="20" t="s">
        <v>3252</v>
      </c>
      <c r="C12" s="20" t="s">
        <v>3253</v>
      </c>
      <c r="D12" s="20" t="n">
        <v>2022</v>
      </c>
      <c r="E12" s="20" t="s">
        <v>155</v>
      </c>
      <c r="F12" s="342" t="n">
        <v>2</v>
      </c>
      <c r="G12" s="462" t="n">
        <v>620000</v>
      </c>
      <c r="H12" s="463" t="n">
        <v>48</v>
      </c>
      <c r="I12" s="464" t="n">
        <v>185</v>
      </c>
      <c r="J12" s="464" t="n">
        <v>1240000</v>
      </c>
      <c r="K12" s="464" t="n">
        <v>760</v>
      </c>
      <c r="L12" s="464" t="n">
        <v>9800000</v>
      </c>
      <c r="M12" s="465" t="n">
        <v>9.8</v>
      </c>
      <c r="N12" s="466" t="s">
        <v>3254</v>
      </c>
    </row>
    <row r="13" customFormat="false" ht="15" hidden="false" customHeight="true" outlineLevel="0" collapsed="false">
      <c r="A13" s="233" t="n">
        <v>8</v>
      </c>
      <c r="B13" s="260" t="s">
        <v>3255</v>
      </c>
      <c r="C13" s="260" t="s">
        <v>3256</v>
      </c>
      <c r="D13" s="260" t="n">
        <v>2023</v>
      </c>
      <c r="E13" s="260" t="s">
        <v>155</v>
      </c>
      <c r="F13" s="233" t="n">
        <v>1</v>
      </c>
      <c r="G13" s="467" t="n">
        <v>220000</v>
      </c>
      <c r="H13" s="468" t="n">
        <v>18</v>
      </c>
      <c r="I13" s="469" t="n">
        <v>340</v>
      </c>
      <c r="J13" s="469" t="n">
        <v>2280000</v>
      </c>
      <c r="K13" s="469" t="n">
        <v>1310</v>
      </c>
      <c r="L13" s="469" t="n">
        <v>17800000</v>
      </c>
      <c r="M13" s="470" t="n">
        <v>17.8</v>
      </c>
      <c r="N13" s="471" t="s">
        <v>3257</v>
      </c>
    </row>
    <row r="14" customFormat="false" ht="15" hidden="false" customHeight="true" outlineLevel="0" collapsed="false">
      <c r="A14" s="342" t="n">
        <v>9</v>
      </c>
      <c r="B14" s="20" t="s">
        <v>3258</v>
      </c>
      <c r="C14" s="20" t="s">
        <v>3259</v>
      </c>
      <c r="D14" s="20" t="n">
        <v>2023</v>
      </c>
      <c r="E14" s="20" t="s">
        <v>155</v>
      </c>
      <c r="F14" s="342" t="n">
        <v>3</v>
      </c>
      <c r="G14" s="462" t="n">
        <v>720000</v>
      </c>
      <c r="H14" s="463" t="n">
        <v>60</v>
      </c>
      <c r="I14" s="464" t="n">
        <v>205</v>
      </c>
      <c r="J14" s="464" t="n">
        <v>1380000</v>
      </c>
      <c r="K14" s="464" t="n">
        <v>840</v>
      </c>
      <c r="L14" s="464" t="n">
        <v>10900000</v>
      </c>
      <c r="M14" s="465" t="n">
        <v>10.9</v>
      </c>
      <c r="N14" s="466" t="s">
        <v>3260</v>
      </c>
    </row>
    <row r="15" customFormat="false" ht="15" hidden="false" customHeight="true" outlineLevel="0" collapsed="false">
      <c r="A15" s="233" t="n">
        <v>10</v>
      </c>
      <c r="B15" s="260" t="s">
        <v>3261</v>
      </c>
      <c r="C15" s="260" t="s">
        <v>3262</v>
      </c>
      <c r="D15" s="260" t="n">
        <v>2024</v>
      </c>
      <c r="E15" s="260" t="s">
        <v>176</v>
      </c>
      <c r="F15" s="233" t="n">
        <v>4</v>
      </c>
      <c r="G15" s="467" t="n">
        <v>1100000</v>
      </c>
      <c r="H15" s="468" t="n">
        <v>96</v>
      </c>
      <c r="I15" s="469" t="n">
        <v>225</v>
      </c>
      <c r="J15" s="469" t="n">
        <v>1510000</v>
      </c>
      <c r="K15" s="469" t="n">
        <v>900</v>
      </c>
      <c r="L15" s="469" t="n">
        <v>11700000</v>
      </c>
      <c r="M15" s="470" t="n">
        <v>11.7</v>
      </c>
      <c r="N15" s="471" t="s">
        <v>3263</v>
      </c>
    </row>
    <row r="17" customFormat="false" ht="15.75" hidden="false" customHeight="true" outlineLevel="0" collapsed="false">
      <c r="A17" s="364" t="s">
        <v>3264</v>
      </c>
      <c r="B17" s="364"/>
      <c r="C17" s="364"/>
      <c r="D17" s="364"/>
      <c r="E17" s="364"/>
      <c r="F17" s="364"/>
      <c r="G17" s="364"/>
      <c r="H17" s="364"/>
      <c r="I17" s="364"/>
      <c r="J17" s="364"/>
      <c r="K17" s="364"/>
      <c r="L17" s="364"/>
      <c r="M17" s="364"/>
      <c r="N17" s="364"/>
    </row>
    <row r="18" customFormat="false" ht="15" hidden="false" customHeight="true" outlineLevel="0" collapsed="false">
      <c r="A18" s="338" t="s">
        <v>3265</v>
      </c>
      <c r="B18" s="338"/>
      <c r="C18" s="338"/>
      <c r="D18" s="338"/>
      <c r="E18" s="338"/>
      <c r="F18" s="338"/>
      <c r="G18" s="338"/>
      <c r="H18" s="338"/>
      <c r="I18" s="338" t="s">
        <v>1911</v>
      </c>
      <c r="J18" s="338" t="s">
        <v>3231</v>
      </c>
      <c r="K18" s="338" t="s">
        <v>3232</v>
      </c>
      <c r="L18" s="338" t="s">
        <v>3233</v>
      </c>
      <c r="M18" s="338" t="s">
        <v>3234</v>
      </c>
      <c r="N18" s="338"/>
    </row>
    <row r="19" customFormat="false" ht="15" hidden="false" customHeight="true" outlineLevel="0" collapsed="false">
      <c r="A19" s="163" t="s">
        <v>3266</v>
      </c>
      <c r="I19" s="323" t="n">
        <f aca="false">MIN(I6:I15)</f>
        <v>185</v>
      </c>
      <c r="J19" s="323" t="n">
        <f aca="false">MIN(J6:J15)</f>
        <v>1240000</v>
      </c>
      <c r="K19" s="323" t="n">
        <f aca="false">MIN(K6:K15)</f>
        <v>760</v>
      </c>
      <c r="L19" s="323" t="n">
        <f aca="false">MIN(L6:L15)</f>
        <v>9800000</v>
      </c>
      <c r="M19" s="244" t="n">
        <f aca="false">MIN(M6:M15)</f>
        <v>9.8</v>
      </c>
    </row>
    <row r="20" customFormat="false" ht="15" hidden="false" customHeight="true" outlineLevel="0" collapsed="false">
      <c r="A20" s="163" t="s">
        <v>3267</v>
      </c>
      <c r="I20" s="323" t="n">
        <f aca="false">MEDIAN(I6:I15)</f>
        <v>217.5</v>
      </c>
      <c r="J20" s="323" t="n">
        <f aca="false">MEDIAN(J6:J15)</f>
        <v>1430000</v>
      </c>
      <c r="K20" s="323" t="n">
        <f aca="false">MEDIAN(K6:K15)</f>
        <v>875</v>
      </c>
      <c r="L20" s="323" t="n">
        <f aca="false">MEDIAN(L6:L15)</f>
        <v>11400000</v>
      </c>
      <c r="M20" s="244" t="n">
        <f aca="false">MEDIAN(M6:M15)</f>
        <v>11.4</v>
      </c>
    </row>
    <row r="21" customFormat="false" ht="15" hidden="false" customHeight="true" outlineLevel="0" collapsed="false">
      <c r="A21" s="163" t="s">
        <v>3268</v>
      </c>
      <c r="I21" s="323" t="n">
        <f aca="false">AVERAGE(I6:I15)</f>
        <v>231</v>
      </c>
      <c r="J21" s="323" t="n">
        <f aca="false">AVERAGE(J6:J15)</f>
        <v>1548000</v>
      </c>
      <c r="K21" s="323" t="n">
        <f aca="false">AVERAGE(K6:K15)</f>
        <v>919</v>
      </c>
      <c r="L21" s="323" t="n">
        <f aca="false">AVERAGE(L6:L15)</f>
        <v>12090000</v>
      </c>
      <c r="M21" s="244" t="n">
        <f aca="false">AVERAGE(M6:M15)</f>
        <v>12.09</v>
      </c>
    </row>
    <row r="22" customFormat="false" ht="15" hidden="false" customHeight="true" outlineLevel="0" collapsed="false">
      <c r="A22" s="163" t="s">
        <v>3269</v>
      </c>
      <c r="I22" s="323" t="n">
        <f aca="false">MAX(I6:I15)</f>
        <v>340</v>
      </c>
      <c r="J22" s="323" t="n">
        <f aca="false">MAX(J6:J15)</f>
        <v>2280000</v>
      </c>
      <c r="K22" s="323" t="n">
        <f aca="false">MAX(K6:K15)</f>
        <v>1310</v>
      </c>
      <c r="L22" s="323" t="n">
        <f aca="false">MAX(L6:L15)</f>
        <v>17800000</v>
      </c>
      <c r="M22" s="244" t="n">
        <f aca="false">MAX(M6:M15)</f>
        <v>17.8</v>
      </c>
    </row>
    <row r="24" customFormat="false" ht="15.75" hidden="false" customHeight="true" outlineLevel="0" collapsed="false">
      <c r="A24" s="364" t="s">
        <v>3270</v>
      </c>
      <c r="B24" s="364"/>
      <c r="C24" s="364"/>
      <c r="D24" s="364"/>
      <c r="E24" s="364"/>
      <c r="F24" s="364"/>
      <c r="G24" s="364"/>
      <c r="H24" s="364"/>
      <c r="I24" s="364"/>
      <c r="J24" s="364"/>
      <c r="K24" s="364"/>
      <c r="L24" s="364"/>
      <c r="M24" s="364"/>
      <c r="N24" s="364"/>
    </row>
    <row r="25" customFormat="false" ht="15" hidden="false" customHeight="true" outlineLevel="0" collapsed="false">
      <c r="A25" s="163" t="s">
        <v>3271</v>
      </c>
      <c r="I25" s="323" t="n">
        <f aca="false">IF('Campus Rollup'!C16=0,0,'CSA Summary'!I21/'Campus Rollup'!C16)</f>
        <v>0</v>
      </c>
      <c r="J25" s="180" t="n">
        <f aca="false">IF('Campus Rollup'!D16=0,0,'CSA Summary'!I21/'Campus Rollup'!D16)</f>
        <v>0</v>
      </c>
      <c r="K25" s="180" t="n">
        <f aca="false">'Campus Rollup'!I16</f>
        <v>1360.42728383424</v>
      </c>
      <c r="L25" s="180" t="n">
        <f aca="false">'Campus Rollup'!J16</f>
        <v>12092686.9674155</v>
      </c>
      <c r="M25" s="472" t="n">
        <f aca="false">'Campus Rollup'!H21</f>
        <v>12.0926869674155</v>
      </c>
    </row>
    <row r="26" customFormat="false" ht="15" hidden="false" customHeight="true" outlineLevel="0" collapsed="false">
      <c r="A26" s="163" t="s">
        <v>3272</v>
      </c>
      <c r="I26" s="180" t="n">
        <f aca="false">I20</f>
        <v>217.5</v>
      </c>
      <c r="J26" s="180" t="n">
        <f aca="false">J20</f>
        <v>1430000</v>
      </c>
      <c r="K26" s="180" t="n">
        <f aca="false">K20</f>
        <v>875</v>
      </c>
      <c r="L26" s="180" t="n">
        <f aca="false">L20</f>
        <v>11400000</v>
      </c>
      <c r="M26" s="472" t="n">
        <f aca="false">M20</f>
        <v>11.4</v>
      </c>
    </row>
    <row r="27" customFormat="false" ht="15" hidden="false" customHeight="true" outlineLevel="0" collapsed="false">
      <c r="A27" s="268" t="s">
        <v>3273</v>
      </c>
      <c r="B27" s="473"/>
      <c r="C27" s="473"/>
      <c r="D27" s="473"/>
      <c r="E27" s="473"/>
      <c r="F27" s="473"/>
      <c r="G27" s="473"/>
      <c r="H27" s="473"/>
      <c r="I27" s="474" t="n">
        <f aca="false">IFERROR(I25-I26,"—")</f>
        <v>-217.5</v>
      </c>
      <c r="J27" s="474" t="n">
        <f aca="false">IFERROR(J25-J26,"—")</f>
        <v>-1430000</v>
      </c>
      <c r="K27" s="474" t="n">
        <f aca="false">IFERROR(K25-K26,"—")</f>
        <v>485.427283834239</v>
      </c>
      <c r="L27" s="474" t="n">
        <f aca="false">IFERROR(L25-L26,"—")</f>
        <v>692686.967415463</v>
      </c>
      <c r="M27" s="475" t="n">
        <f aca="false">IFERROR(M25-M26,"—")</f>
        <v>0.692686967415462</v>
      </c>
      <c r="N27" s="473"/>
    </row>
    <row r="28" customFormat="false" ht="15" hidden="false" customHeight="true" outlineLevel="0" collapsed="false">
      <c r="A28" s="268" t="s">
        <v>3274</v>
      </c>
      <c r="B28" s="473"/>
      <c r="C28" s="473"/>
      <c r="D28" s="473"/>
      <c r="E28" s="473"/>
      <c r="F28" s="473"/>
      <c r="G28" s="473"/>
      <c r="H28" s="473"/>
      <c r="I28" s="476" t="n">
        <f aca="false">IFERROR(I25/I26-1,"—")</f>
        <v>-1</v>
      </c>
      <c r="J28" s="476" t="n">
        <f aca="false">IFERROR(J25/J26-1,"—")</f>
        <v>-1</v>
      </c>
      <c r="K28" s="476" t="n">
        <f aca="false">IFERROR(K25/K26-1,"—")</f>
        <v>0.554774038667702</v>
      </c>
      <c r="L28" s="476" t="n">
        <f aca="false">IFERROR(L25/L26-1,"—")</f>
        <v>0.060762014685567</v>
      </c>
      <c r="M28" s="476" t="n">
        <f aca="false">IFERROR(M25/M26-1,"—")</f>
        <v>0.0607620146855667</v>
      </c>
      <c r="N28" s="473"/>
    </row>
    <row r="31" customFormat="false" ht="15.75" hidden="false" customHeight="true" outlineLevel="0" collapsed="false">
      <c r="A31" s="364" t="s">
        <v>3275</v>
      </c>
      <c r="B31" s="364"/>
      <c r="C31" s="364"/>
      <c r="D31" s="364"/>
      <c r="E31" s="364"/>
      <c r="F31" s="364"/>
      <c r="G31" s="364"/>
      <c r="H31" s="364"/>
      <c r="I31" s="364"/>
      <c r="J31" s="364"/>
      <c r="K31" s="364"/>
      <c r="L31" s="364"/>
      <c r="M31" s="364"/>
      <c r="N31" s="364"/>
    </row>
    <row r="32" customFormat="false" ht="15" hidden="false" customHeight="true" outlineLevel="0" collapsed="false">
      <c r="A32" s="477" t="s">
        <v>3276</v>
      </c>
    </row>
    <row r="33" customFormat="false" ht="15" hidden="false" customHeight="true" outlineLevel="0" collapsed="false">
      <c r="A33" s="117"/>
      <c r="B33" s="117" t="s">
        <v>3277</v>
      </c>
      <c r="C33" s="117"/>
      <c r="D33" s="117"/>
      <c r="E33" s="117"/>
      <c r="F33" s="175" t="s">
        <v>3278</v>
      </c>
      <c r="G33" s="175" t="s">
        <v>3267</v>
      </c>
      <c r="H33" s="175" t="s">
        <v>184</v>
      </c>
      <c r="I33" s="175" t="s">
        <v>3279</v>
      </c>
      <c r="J33" s="117"/>
      <c r="K33" s="175" t="s">
        <v>3280</v>
      </c>
      <c r="L33" s="117"/>
      <c r="M33" s="117"/>
      <c r="N33" s="117"/>
    </row>
    <row r="34" customFormat="false" ht="15" hidden="false" customHeight="true" outlineLevel="0" collapsed="false">
      <c r="A34" s="478"/>
      <c r="B34" s="478" t="s">
        <v>3281</v>
      </c>
      <c r="C34" s="478"/>
      <c r="D34" s="478"/>
      <c r="E34" s="478"/>
      <c r="F34" s="478"/>
      <c r="G34" s="478"/>
      <c r="H34" s="478"/>
      <c r="I34" s="478"/>
      <c r="J34" s="478"/>
      <c r="K34" s="478"/>
      <c r="L34" s="478"/>
      <c r="M34" s="478"/>
      <c r="N34" s="478"/>
    </row>
    <row r="35" customFormat="false" ht="15" hidden="false" customHeight="true" outlineLevel="0" collapsed="false">
      <c r="B35" s="1" t="s">
        <v>3282</v>
      </c>
      <c r="F35" s="479" t="n">
        <v>13000000</v>
      </c>
      <c r="G35" s="479" t="n">
        <v>16000000</v>
      </c>
      <c r="H35" s="479" t="n">
        <v>22000000</v>
      </c>
      <c r="I35" s="480" t="n">
        <f aca="false">'Total Development Cost'!C38</f>
        <v>16809708.6700885</v>
      </c>
      <c r="K35" s="1" t="str">
        <f aca="false">IF($I35="","",IF($I35&gt;$H35,"▲ Above market",IF($I35&lt;$F35,"▼ Below market","● In market range")))</f>
        <v>● In market range</v>
      </c>
    </row>
    <row r="36" customFormat="false" ht="15" hidden="false" customHeight="true" outlineLevel="0" collapsed="false">
      <c r="A36" s="260"/>
      <c r="B36" s="260" t="s">
        <v>3283</v>
      </c>
      <c r="C36" s="260"/>
      <c r="D36" s="260"/>
      <c r="E36" s="260"/>
      <c r="F36" s="481" t="n">
        <v>9800000</v>
      </c>
      <c r="G36" s="481" t="n">
        <v>11400000</v>
      </c>
      <c r="H36" s="481" t="n">
        <v>17800000</v>
      </c>
      <c r="I36" s="482" t="n">
        <f aca="false">'Campus Rollup'!J16</f>
        <v>12092686.9674155</v>
      </c>
      <c r="J36" s="260"/>
      <c r="K36" s="260" t="str">
        <f aca="false">IF($I36="","",IF($I36&gt;$H36,"▲ Above market",IF($I36&lt;$F36,"▼ Below market","● In market range")))</f>
        <v>● In market range</v>
      </c>
      <c r="L36" s="260"/>
      <c r="M36" s="260"/>
      <c r="N36" s="260"/>
    </row>
    <row r="37" customFormat="false" ht="15" hidden="false" customHeight="true" outlineLevel="0" collapsed="false">
      <c r="B37" s="1" t="s">
        <v>3284</v>
      </c>
      <c r="F37" s="483" t="n">
        <v>0.65</v>
      </c>
      <c r="G37" s="483" t="n">
        <v>0.72</v>
      </c>
      <c r="H37" s="483" t="n">
        <v>0.8</v>
      </c>
      <c r="I37" s="484" t="n">
        <f aca="false">'Total Development Cost'!C41</f>
        <v>0.71938706403243</v>
      </c>
      <c r="K37" s="1" t="str">
        <f aca="false">IF($I37="","",IF($I37&gt;$H37,"▲ Above market",IF($I37&lt;$F37,"▼ Below market","● In market range")))</f>
        <v>● In market range</v>
      </c>
    </row>
    <row r="38" customFormat="false" ht="15" hidden="false" customHeight="true" outlineLevel="0" collapsed="false">
      <c r="A38" s="260"/>
      <c r="B38" s="260" t="s">
        <v>3285</v>
      </c>
      <c r="C38" s="260"/>
      <c r="D38" s="260"/>
      <c r="E38" s="260"/>
      <c r="F38" s="337" t="n">
        <v>1.2</v>
      </c>
      <c r="G38" s="337" t="n">
        <v>1.4</v>
      </c>
      <c r="H38" s="337" t="n">
        <v>1.6</v>
      </c>
      <c r="I38" s="485" t="n">
        <f aca="false">'Construction Budget'!C8</f>
        <v>1.4</v>
      </c>
      <c r="J38" s="260"/>
      <c r="K38" s="260" t="str">
        <f aca="false">IF($I38="","",IF($I38&gt;$H38,"▲ Above market",IF($I38&lt;$F38,"▼ Below market","● In market range")))</f>
        <v>● In market range</v>
      </c>
      <c r="L38" s="260"/>
      <c r="M38" s="260"/>
      <c r="N38" s="260"/>
    </row>
    <row r="39" customFormat="false" ht="15" hidden="false" customHeight="true" outlineLevel="0" collapsed="false">
      <c r="B39" s="1" t="s">
        <v>3286</v>
      </c>
      <c r="F39" s="486" t="n">
        <v>18</v>
      </c>
      <c r="G39" s="486" t="n">
        <v>24</v>
      </c>
      <c r="H39" s="486" t="n">
        <v>36</v>
      </c>
      <c r="I39" s="487" t="n">
        <f aca="false">'Total Development Cost'!C28</f>
        <v>30</v>
      </c>
      <c r="K39" s="1" t="str">
        <f aca="false">IF($I39="","",IF($I39&gt;$H39,"▲ Above market",IF($I39&lt;$F39,"▼ Below market","● In market range")))</f>
        <v>● In market range</v>
      </c>
    </row>
    <row r="40" customFormat="false" ht="15" hidden="false" customHeight="true" outlineLevel="0" collapsed="false">
      <c r="A40" s="478"/>
      <c r="B40" s="478" t="s">
        <v>3287</v>
      </c>
      <c r="C40" s="478"/>
      <c r="D40" s="478"/>
      <c r="E40" s="478"/>
      <c r="F40" s="478"/>
      <c r="G40" s="478"/>
      <c r="H40" s="478"/>
      <c r="I40" s="478"/>
      <c r="J40" s="478"/>
      <c r="K40" s="478"/>
      <c r="L40" s="478"/>
      <c r="M40" s="478"/>
      <c r="N40" s="478"/>
    </row>
    <row r="41" customFormat="false" ht="15" hidden="false" customHeight="true" outlineLevel="0" collapsed="false">
      <c r="B41" s="1" t="s">
        <v>3288</v>
      </c>
      <c r="F41" s="483" t="n">
        <v>0.2</v>
      </c>
      <c r="G41" s="483" t="n">
        <v>0.28</v>
      </c>
      <c r="H41" s="483" t="n">
        <v>0.35</v>
      </c>
      <c r="I41" s="484" t="n">
        <f aca="false">1-'Total Development Cost'!C41</f>
        <v>0.280612935967571</v>
      </c>
      <c r="K41" s="1" t="str">
        <f aca="false">IF($I41="","",IF($I41&gt;$H41,"▲ Above market",IF($I41&lt;$F41,"▼ Below market","● In market range")))</f>
        <v>● In market range</v>
      </c>
    </row>
    <row r="42" customFormat="false" ht="15" hidden="false" customHeight="true" outlineLevel="0" collapsed="false">
      <c r="A42" s="260"/>
      <c r="B42" s="260" t="s">
        <v>3289</v>
      </c>
      <c r="C42" s="260"/>
      <c r="D42" s="260"/>
      <c r="E42" s="260"/>
      <c r="F42" s="488" t="n">
        <v>0.05</v>
      </c>
      <c r="G42" s="488" t="n">
        <v>0.08</v>
      </c>
      <c r="H42" s="488" t="n">
        <v>0.12</v>
      </c>
      <c r="I42" s="489" t="n">
        <f aca="false">'Total Development Cost'!D34</f>
        <v>0.05</v>
      </c>
      <c r="J42" s="260"/>
      <c r="K42" s="260" t="str">
        <f aca="false">IF($I42="","",IF($I42&gt;$H42,"▲ Above market",IF($I42&lt;$F42,"▼ Below market","● In market range")))</f>
        <v>● In market range</v>
      </c>
      <c r="L42" s="260"/>
      <c r="M42" s="260"/>
      <c r="N42" s="260"/>
    </row>
    <row r="43" customFormat="false" ht="15" hidden="false" customHeight="true" outlineLevel="0" collapsed="false">
      <c r="B43" s="1" t="s">
        <v>3290</v>
      </c>
      <c r="F43" s="483" t="n">
        <v>0.03</v>
      </c>
      <c r="G43" s="483" t="n">
        <v>0.045</v>
      </c>
      <c r="H43" s="483" t="n">
        <v>0.07</v>
      </c>
      <c r="I43" s="484" t="n">
        <f aca="false">'Total Development Cost'!D48</f>
        <v>0.0554948288909442</v>
      </c>
      <c r="K43" s="1" t="str">
        <f aca="false">IF($I43="","",IF($I43&gt;$H43,"▲ Above market",IF($I43&lt;$F43,"▼ Below market","● In market range")))</f>
        <v>● In market range</v>
      </c>
    </row>
    <row r="44" customFormat="false" ht="15" hidden="false" customHeight="true" outlineLevel="0" collapsed="false">
      <c r="A44" s="260"/>
      <c r="B44" s="260" t="s">
        <v>3291</v>
      </c>
      <c r="C44" s="260"/>
      <c r="D44" s="260"/>
      <c r="E44" s="260"/>
      <c r="F44" s="481" t="n">
        <v>1500</v>
      </c>
      <c r="G44" s="481" t="n">
        <v>1870</v>
      </c>
      <c r="H44" s="481" t="n">
        <v>2400</v>
      </c>
      <c r="I44" s="482" t="n">
        <f aca="false">'Total Development Cost'!C39</f>
        <v>1891.09222538496</v>
      </c>
      <c r="J44" s="260"/>
      <c r="K44" s="260" t="str">
        <f aca="false">IF($I44="","",IF($I44&gt;$H44,"▲ Above market",IF($I44&lt;$F44,"▼ Below market","● In market range")))</f>
        <v>● In market range</v>
      </c>
      <c r="L44" s="260"/>
      <c r="M44" s="260"/>
      <c r="N44" s="260"/>
    </row>
    <row r="45" customFormat="false" ht="15" hidden="false" customHeight="true" outlineLevel="0" collapsed="false">
      <c r="A45" s="478"/>
      <c r="B45" s="478" t="s">
        <v>3292</v>
      </c>
      <c r="C45" s="478"/>
      <c r="D45" s="478"/>
      <c r="E45" s="478"/>
      <c r="F45" s="478"/>
      <c r="G45" s="478"/>
      <c r="H45" s="478"/>
      <c r="I45" s="478"/>
      <c r="J45" s="478"/>
      <c r="K45" s="478"/>
      <c r="L45" s="478"/>
      <c r="M45" s="478"/>
      <c r="N45" s="478"/>
    </row>
    <row r="46" customFormat="false" ht="15" hidden="false" customHeight="true" outlineLevel="0" collapsed="false">
      <c r="B46" s="1" t="s">
        <v>3293</v>
      </c>
      <c r="F46" s="483" t="n">
        <v>0.08</v>
      </c>
      <c r="G46" s="483" t="n">
        <v>0.1</v>
      </c>
      <c r="H46" s="483" t="n">
        <v>0.13</v>
      </c>
      <c r="I46" s="484" t="n">
        <f aca="false">'Investment Pro Forma'!B38</f>
        <v>0.109014419448317</v>
      </c>
      <c r="K46" s="1" t="str">
        <f aca="false">IF($I46="","",IF($I46&gt;$H46,"▲ Above market",IF($I46&lt;$F46,"▼ Below market","● In market range")))</f>
        <v>● In market range</v>
      </c>
    </row>
    <row r="47" customFormat="false" ht="15" hidden="false" customHeight="true" outlineLevel="0" collapsed="false">
      <c r="A47" s="260"/>
      <c r="B47" s="260" t="s">
        <v>3294</v>
      </c>
      <c r="C47" s="260"/>
      <c r="D47" s="260"/>
      <c r="E47" s="260"/>
      <c r="F47" s="488" t="n">
        <v>0.045</v>
      </c>
      <c r="G47" s="488" t="n">
        <v>0.055</v>
      </c>
      <c r="H47" s="488" t="n">
        <v>0.07</v>
      </c>
      <c r="I47" s="489" t="n">
        <f aca="false">'Investment Pro Forma'!B37</f>
        <v>0.0506539089828678</v>
      </c>
      <c r="J47" s="260"/>
      <c r="K47" s="260" t="str">
        <f aca="false">IF($I47="","",IF($I47&gt;$H47,"▲ Above market",IF($I47&lt;$F47,"▼ Below market","● In market range")))</f>
        <v>● In market range</v>
      </c>
      <c r="L47" s="260"/>
      <c r="M47" s="260"/>
      <c r="N47" s="260"/>
    </row>
    <row r="48" customFormat="false" ht="15" hidden="false" customHeight="true" outlineLevel="0" collapsed="false">
      <c r="B48" s="1" t="s">
        <v>3295</v>
      </c>
      <c r="F48" s="483" t="n">
        <v>0.055</v>
      </c>
      <c r="G48" s="483" t="n">
        <v>0.065</v>
      </c>
      <c r="H48" s="483" t="n">
        <v>0.075</v>
      </c>
      <c r="I48" s="484" t="n">
        <f aca="false">'Investment Pro Forma'!B11</f>
        <v>0.065</v>
      </c>
      <c r="K48" s="1" t="str">
        <f aca="false">IF($I48="","",IF($I48&gt;$H48,"▲ Above market",IF($I48&lt;$F48,"▼ Below market","● In market range")))</f>
        <v>● In market range</v>
      </c>
    </row>
    <row r="49" customFormat="false" ht="15" hidden="false" customHeight="true" outlineLevel="0" collapsed="false">
      <c r="A49" s="260"/>
      <c r="B49" s="260" t="s">
        <v>3296</v>
      </c>
      <c r="C49" s="260"/>
      <c r="D49" s="260"/>
      <c r="E49" s="260"/>
      <c r="F49" s="481" t="n">
        <v>120</v>
      </c>
      <c r="G49" s="481" t="n">
        <v>150</v>
      </c>
      <c r="H49" s="481" t="n">
        <v>190</v>
      </c>
      <c r="I49" s="482" t="n">
        <f aca="false">'Investment Pro Forma'!B9</f>
        <v>165</v>
      </c>
      <c r="J49" s="260"/>
      <c r="K49" s="260" t="str">
        <f aca="false">IF($I49="","",IF($I49&gt;$H49,"▲ Above market",IF($I49&lt;$F49,"▼ Below market","● In market range")))</f>
        <v>● In market range</v>
      </c>
      <c r="L49" s="260"/>
      <c r="M49" s="260"/>
      <c r="N49" s="260"/>
    </row>
    <row r="50" customFormat="false" ht="15" hidden="false" customHeight="true" outlineLevel="0" collapsed="false">
      <c r="B50" s="1" t="s">
        <v>3297</v>
      </c>
      <c r="F50" s="483" t="n">
        <v>0.09</v>
      </c>
      <c r="G50" s="483" t="n">
        <v>0.12</v>
      </c>
      <c r="H50" s="483" t="n">
        <v>0.16</v>
      </c>
      <c r="I50" s="484" t="n">
        <f aca="false">'Investment Pro Forma'!B33</f>
        <v>0.174414701484592</v>
      </c>
      <c r="K50" s="1" t="str">
        <f aca="false">IF($I50="","",IF($I50&gt;$H50,"▲ Above market",IF($I50&lt;$F50,"▼ Below market","● In market range")))</f>
        <v>▲ Above market</v>
      </c>
    </row>
    <row r="51" customFormat="false" ht="15" hidden="false" customHeight="true" outlineLevel="0" collapsed="false">
      <c r="A51" s="260"/>
      <c r="B51" s="260" t="s">
        <v>3298</v>
      </c>
      <c r="C51" s="260"/>
      <c r="D51" s="260"/>
      <c r="E51" s="260"/>
      <c r="F51" s="488" t="n">
        <v>0.14</v>
      </c>
      <c r="G51" s="488" t="n">
        <v>0.18</v>
      </c>
      <c r="H51" s="488" t="n">
        <v>0.25</v>
      </c>
      <c r="I51" s="489" t="n">
        <f aca="false">'Capital Stack &amp; Returns'!B46</f>
        <v>0.266511265789023</v>
      </c>
      <c r="J51" s="260"/>
      <c r="K51" s="260" t="str">
        <f aca="false">IF($I51="","",IF($I51&gt;$H51,"▲ Above market",IF($I51&lt;$F51,"▼ Below market","● In market range")))</f>
        <v>▲ Above market</v>
      </c>
      <c r="L51" s="260"/>
      <c r="M51" s="260"/>
      <c r="N51" s="260"/>
    </row>
    <row r="52" customFormat="false" ht="15" hidden="false" customHeight="true" outlineLevel="0" collapsed="false">
      <c r="B52" s="1" t="s">
        <v>3299</v>
      </c>
      <c r="F52" s="490" t="n">
        <v>1.8</v>
      </c>
      <c r="G52" s="490" t="n">
        <v>2.2</v>
      </c>
      <c r="H52" s="490" t="n">
        <v>3</v>
      </c>
      <c r="I52" s="491" t="n">
        <f aca="false">'Capital Stack &amp; Returns'!B47</f>
        <v>5.19740612651599</v>
      </c>
      <c r="K52" s="1" t="str">
        <f aca="false">IF($I52="","",IF($I52&gt;$H52,"▲ Above market",IF($I52&lt;$F52,"▼ Below market","● In market range")))</f>
        <v>▲ Above market</v>
      </c>
    </row>
    <row r="53" customFormat="false" ht="15" hidden="false" customHeight="true" outlineLevel="0" collapsed="false">
      <c r="A53" s="260"/>
      <c r="B53" s="260" t="s">
        <v>3300</v>
      </c>
      <c r="C53" s="260"/>
      <c r="D53" s="260"/>
      <c r="E53" s="260"/>
      <c r="F53" s="488" t="n">
        <v>0.15</v>
      </c>
      <c r="G53" s="488" t="n">
        <v>0.25</v>
      </c>
      <c r="H53" s="488" t="n">
        <v>0.4</v>
      </c>
      <c r="I53" s="489" t="n">
        <f aca="false">'Investment Pro Forma'!B42</f>
        <v>0.677144914589498</v>
      </c>
      <c r="J53" s="260"/>
      <c r="K53" s="260" t="str">
        <f aca="false">IF($I53="","",IF($I53&gt;$H53,"▲ Above market",IF($I53&lt;$F53,"▼ Below market","● In market range")))</f>
        <v>▲ Above market</v>
      </c>
      <c r="L53" s="260"/>
      <c r="M53" s="260"/>
      <c r="N53" s="260"/>
    </row>
    <row r="54" customFormat="false" ht="15" hidden="false" customHeight="true" outlineLevel="0" collapsed="false">
      <c r="A54" s="478"/>
      <c r="B54" s="478" t="s">
        <v>3301</v>
      </c>
      <c r="C54" s="478"/>
      <c r="D54" s="478"/>
      <c r="E54" s="478"/>
      <c r="F54" s="478"/>
      <c r="G54" s="478"/>
      <c r="H54" s="478"/>
      <c r="I54" s="478"/>
      <c r="J54" s="478"/>
      <c r="K54" s="478"/>
      <c r="L54" s="478"/>
      <c r="M54" s="478"/>
      <c r="N54" s="478"/>
    </row>
    <row r="55" customFormat="false" ht="15" hidden="false" customHeight="true" outlineLevel="0" collapsed="false">
      <c r="B55" s="1" t="s">
        <v>3302</v>
      </c>
      <c r="F55" s="483" t="n">
        <v>0.5</v>
      </c>
      <c r="G55" s="483" t="n">
        <v>0.6</v>
      </c>
      <c r="H55" s="483" t="n">
        <v>0.7</v>
      </c>
      <c r="I55" s="484" t="n">
        <f aca="false">'Capital Stack &amp; Returns'!B29</f>
        <v>0.6</v>
      </c>
      <c r="K55" s="1" t="str">
        <f aca="false">IF($I55="","",IF($I55&gt;$H55,"▲ Above market",IF($I55&lt;$F55,"▼ Below market","● In market range")))</f>
        <v>● In market range</v>
      </c>
    </row>
    <row r="56" customFormat="false" ht="15" hidden="false" customHeight="true" outlineLevel="0" collapsed="false">
      <c r="A56" s="260"/>
      <c r="B56" s="260" t="s">
        <v>3303</v>
      </c>
      <c r="C56" s="260"/>
      <c r="D56" s="260"/>
      <c r="E56" s="260"/>
      <c r="F56" s="492" t="n">
        <v>1.25</v>
      </c>
      <c r="G56" s="492" t="n">
        <v>1.4</v>
      </c>
      <c r="H56" s="492" t="n">
        <v>1.75</v>
      </c>
      <c r="I56" s="493" t="n">
        <f aca="false">'Capital Stack &amp; Returns'!B30</f>
        <v>2.37263995442772</v>
      </c>
      <c r="J56" s="260"/>
      <c r="K56" s="260" t="str">
        <f aca="false">IF($I56="","",IF($I56&gt;$H56,"▲ Above market",IF($I56&lt;$F56,"▼ Below market","● In market range")))</f>
        <v>▲ Above market</v>
      </c>
      <c r="L56" s="260"/>
      <c r="M56" s="260"/>
      <c r="N56" s="260"/>
    </row>
    <row r="57" customFormat="false" ht="15" hidden="false" customHeight="true" outlineLevel="0" collapsed="false">
      <c r="B57" s="1" t="s">
        <v>3304</v>
      </c>
      <c r="F57" s="483" t="n">
        <v>0.085</v>
      </c>
      <c r="G57" s="483" t="n">
        <v>0.1</v>
      </c>
      <c r="H57" s="483" t="n">
        <v>0.12</v>
      </c>
      <c r="I57" s="484" t="n">
        <f aca="false">'Capital Stack &amp; Returns'!B31</f>
        <v>0.181690699080529</v>
      </c>
      <c r="K57" s="1" t="str">
        <f aca="false">IF($I57="","",IF($I57&gt;$H57,"▲ Above market",IF($I57&lt;$F57,"▼ Below market","● In market range")))</f>
        <v>▲ Above market</v>
      </c>
    </row>
    <row r="58" customFormat="false" ht="15" hidden="false" customHeight="true" outlineLevel="0" collapsed="false">
      <c r="A58" s="260"/>
      <c r="B58" s="260" t="s">
        <v>3305</v>
      </c>
      <c r="C58" s="260"/>
      <c r="D58" s="260"/>
      <c r="E58" s="260"/>
      <c r="F58" s="494" t="n">
        <v>0.055</v>
      </c>
      <c r="G58" s="494" t="n">
        <v>0.065</v>
      </c>
      <c r="H58" s="494" t="n">
        <v>0.08</v>
      </c>
      <c r="I58" s="495" t="n">
        <f aca="false">'Capital Stack &amp; Returns'!B14</f>
        <v>0.065</v>
      </c>
      <c r="J58" s="260"/>
      <c r="K58" s="260" t="str">
        <f aca="false">IF($I58="","",IF($I58&gt;$H58,"▲ Above market",IF($I58&lt;$F58,"▼ Below market","● In market range")))</f>
        <v>● In market range</v>
      </c>
      <c r="L58" s="260"/>
      <c r="M58" s="260"/>
      <c r="N58" s="260"/>
    </row>
    <row r="59" customFormat="false" ht="15" hidden="false" customHeight="true" outlineLevel="0" collapsed="false">
      <c r="B59" s="1" t="s">
        <v>3306</v>
      </c>
      <c r="F59" s="483" t="n">
        <v>0.3</v>
      </c>
      <c r="G59" s="483" t="n">
        <v>0.4</v>
      </c>
      <c r="H59" s="483" t="n">
        <v>0.5</v>
      </c>
      <c r="I59" s="484" t="n">
        <f aca="false">1-'Capital Stack &amp; Returns'!B29</f>
        <v>0.4</v>
      </c>
      <c r="K59" s="1" t="str">
        <f aca="false">IF($I59="","",IF($I59&gt;$H59,"▲ Above market",IF($I59&lt;$F59,"▼ Below market","● In market range")))</f>
        <v>● In market range</v>
      </c>
    </row>
    <row r="61" customFormat="false" ht="15.75" hidden="false" customHeight="true" outlineLevel="0" collapsed="false">
      <c r="A61" s="364" t="s">
        <v>3307</v>
      </c>
      <c r="B61" s="364"/>
      <c r="C61" s="364"/>
      <c r="D61" s="364"/>
      <c r="E61" s="364"/>
      <c r="F61" s="364"/>
      <c r="G61" s="364"/>
      <c r="H61" s="364"/>
      <c r="I61" s="364"/>
      <c r="J61" s="364"/>
      <c r="K61" s="364"/>
      <c r="L61" s="364"/>
      <c r="M61" s="364"/>
      <c r="N61" s="364"/>
    </row>
    <row r="62" customFormat="false" ht="15" hidden="false" customHeight="true" outlineLevel="0" collapsed="false">
      <c r="A62" s="117"/>
      <c r="B62" s="117" t="s">
        <v>3308</v>
      </c>
      <c r="C62" s="117"/>
      <c r="D62" s="117"/>
      <c r="E62" s="117"/>
      <c r="F62" s="175" t="s">
        <v>3309</v>
      </c>
      <c r="G62" s="175" t="s">
        <v>3310</v>
      </c>
      <c r="H62" s="175" t="s">
        <v>3311</v>
      </c>
      <c r="I62" s="175" t="s">
        <v>3312</v>
      </c>
      <c r="J62" s="117"/>
      <c r="K62" s="175" t="s">
        <v>3313</v>
      </c>
      <c r="L62" s="117"/>
      <c r="M62" s="117"/>
      <c r="N62" s="117"/>
    </row>
    <row r="63" customFormat="false" ht="15" hidden="false" customHeight="true" outlineLevel="0" collapsed="false">
      <c r="B63" s="1" t="s">
        <v>3314</v>
      </c>
      <c r="F63" s="176" t="n">
        <f aca="false">COUNTIF(K35:K39,"*In market*")</f>
        <v>5</v>
      </c>
      <c r="G63" s="176" t="n">
        <f aca="false">COUNTIF(K35:K39,"*Above*")</f>
        <v>0</v>
      </c>
      <c r="H63" s="176" t="n">
        <f aca="false">COUNTIF(K35:K39,"*Below*")</f>
        <v>0</v>
      </c>
      <c r="I63" s="176" t="n">
        <f aca="false">COUNTA(K35:K39)</f>
        <v>5</v>
      </c>
      <c r="K63" s="1" t="str">
        <f aca="false">"Cost position: "&amp;IF(COUNTIF(K35:K39,"*Above*")=0,"at or below market","review "&amp;COUNTIF(K35:K39,"*Above*")&amp;" above-market item(s)")</f>
        <v>Cost position: at or below market</v>
      </c>
    </row>
    <row r="64" customFormat="false" ht="15" hidden="false" customHeight="true" outlineLevel="0" collapsed="false">
      <c r="A64" s="260"/>
      <c r="B64" s="260" t="s">
        <v>3315</v>
      </c>
      <c r="C64" s="260"/>
      <c r="D64" s="260"/>
      <c r="E64" s="260"/>
      <c r="F64" s="233" t="n">
        <f aca="false">COUNTIF(K41:K44,"*In market*")</f>
        <v>4</v>
      </c>
      <c r="G64" s="233" t="n">
        <f aca="false">COUNTIF(K41:K44,"*Above*")</f>
        <v>0</v>
      </c>
      <c r="H64" s="233" t="n">
        <f aca="false">COUNTIF(K41:K44,"*Below*")</f>
        <v>0</v>
      </c>
      <c r="I64" s="233" t="n">
        <f aca="false">COUNTA(K41:K44)</f>
        <v>4</v>
      </c>
      <c r="J64" s="260"/>
      <c r="K64" s="260" t="str">
        <f aca="false">"Capital efficiency: "&amp;IF(COUNTIF(K41:K44,"*Above*")=0,"within norms","review "&amp;COUNTIF(K41:K44,"*Above*")&amp;" above-market item(s)")</f>
        <v>Capital efficiency: within norms</v>
      </c>
      <c r="L64" s="260"/>
      <c r="M64" s="260"/>
      <c r="N64" s="260"/>
    </row>
    <row r="65" customFormat="false" ht="15" hidden="false" customHeight="true" outlineLevel="0" collapsed="false">
      <c r="B65" s="1" t="s">
        <v>3316</v>
      </c>
      <c r="F65" s="176" t="n">
        <f aca="false">COUNTIF(K46:K53,"*In market*")</f>
        <v>4</v>
      </c>
      <c r="G65" s="176" t="n">
        <f aca="false">COUNTIF(K46:K53,"*Above*")</f>
        <v>4</v>
      </c>
      <c r="H65" s="176" t="n">
        <f aca="false">COUNTIF(K46:K53,"*Below*")</f>
        <v>0</v>
      </c>
      <c r="I65" s="176" t="n">
        <f aca="false">COUNTA(K46:K53)</f>
        <v>8</v>
      </c>
      <c r="K65" s="1" t="str">
        <f aca="false">"Returns: "&amp;IF(COUNTIF(K46:K53,"*Above*")&gt;=4,"exceed market benchmarks",IF(COUNTIF(K46:K53,"*Below*")&gt;=4,"below market — review","broadly in line with market"))</f>
        <v>Returns: exceed market benchmarks</v>
      </c>
    </row>
    <row r="66" customFormat="false" ht="15" hidden="false" customHeight="true" outlineLevel="0" collapsed="false">
      <c r="A66" s="260"/>
      <c r="B66" s="260" t="s">
        <v>3317</v>
      </c>
      <c r="C66" s="260"/>
      <c r="D66" s="260"/>
      <c r="E66" s="260"/>
      <c r="F66" s="233" t="n">
        <f aca="false">COUNTIF(K55:K59,"*In market*")</f>
        <v>3</v>
      </c>
      <c r="G66" s="233" t="n">
        <f aca="false">COUNTIF(K55:K59,"*Above*")</f>
        <v>2</v>
      </c>
      <c r="H66" s="233" t="n">
        <f aca="false">COUNTIF(K55:K59,"*Below*")</f>
        <v>0</v>
      </c>
      <c r="I66" s="233" t="n">
        <f aca="false">COUNTA(K55:K59)</f>
        <v>5</v>
      </c>
      <c r="J66" s="260"/>
      <c r="K66" s="260" t="str">
        <f aca="false">"Credit: "&amp;IF(COUNTIF(K55:K59,"*Above*")&gt;=2,"coverage stronger than market","in line with market")</f>
        <v>Credit: coverage stronger than market</v>
      </c>
      <c r="L66" s="260"/>
      <c r="M66" s="260"/>
      <c r="N66" s="260"/>
    </row>
  </sheetData>
  <dataValidations count="1">
    <dataValidation allowBlank="true" errorStyle="stop" operator="between" showDropDown="false" showErrorMessage="true" showInputMessage="true" sqref="B4" type="list">
      <formula1>"All,Tier II,Tier III,Tier III+,Tier IV"</formula1>
      <formula2>0</formula2>
    </dataValidation>
  </dataValidations>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true"/>
  </sheetPr>
  <dimension ref="A1:F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421875" defaultRowHeight="15" zeroHeight="false" outlineLevelRow="0" outlineLevelCol="0"/>
  <cols>
    <col collapsed="false" customWidth="true" hidden="false" outlineLevel="0" max="1" min="1" style="1" width="34"/>
    <col collapsed="false" customWidth="true" hidden="false" outlineLevel="0" max="5" min="2" style="1" width="16"/>
    <col collapsed="false" customWidth="true" hidden="false" outlineLevel="0" max="6" min="6" style="1" width="34"/>
  </cols>
  <sheetData>
    <row r="1" customFormat="false" ht="27.75" hidden="false" customHeight="true" outlineLevel="0" collapsed="false">
      <c r="A1" s="105" t="s">
        <v>3318</v>
      </c>
      <c r="B1" s="105"/>
      <c r="C1" s="105"/>
      <c r="D1" s="105"/>
      <c r="E1" s="105"/>
      <c r="F1" s="105"/>
    </row>
    <row r="2" customFormat="false" ht="15" hidden="false" customHeight="true" outlineLevel="0" collapsed="false">
      <c r="A2" s="3" t="s">
        <v>3319</v>
      </c>
      <c r="B2" s="3"/>
      <c r="C2" s="3"/>
      <c r="D2" s="3"/>
      <c r="E2" s="3"/>
      <c r="F2" s="3"/>
    </row>
    <row r="4" customFormat="false" ht="15" hidden="false" customHeight="true" outlineLevel="0" collapsed="false">
      <c r="A4" s="7" t="s">
        <v>3320</v>
      </c>
      <c r="B4" s="7"/>
      <c r="C4" s="7"/>
      <c r="D4" s="7"/>
    </row>
    <row r="5" customFormat="false" ht="15" hidden="false" customHeight="true" outlineLevel="0" collapsed="false">
      <c r="A5" s="125" t="s">
        <v>3321</v>
      </c>
      <c r="B5" s="496" t="n">
        <f aca="false">'Campus Rollup'!$D$16</f>
        <v>90</v>
      </c>
      <c r="C5" s="375" t="s">
        <v>3322</v>
      </c>
    </row>
    <row r="6" customFormat="false" ht="15" hidden="false" customHeight="true" outlineLevel="0" collapsed="false">
      <c r="A6" s="125" t="s">
        <v>3323</v>
      </c>
      <c r="B6" s="497" t="n">
        <f aca="false">'Campus Rollup'!$C$16</f>
        <v>800000</v>
      </c>
      <c r="C6" s="375" t="s">
        <v>3324</v>
      </c>
    </row>
    <row r="7" customFormat="false" ht="15" hidden="false" customHeight="true" outlineLevel="0" collapsed="false">
      <c r="A7" s="125" t="s">
        <v>3325</v>
      </c>
      <c r="B7" s="498" t="n">
        <v>1.3</v>
      </c>
      <c r="C7" s="375" t="s">
        <v>3326</v>
      </c>
    </row>
    <row r="8" customFormat="false" ht="15" hidden="false" customHeight="true" outlineLevel="0" collapsed="false">
      <c r="A8" s="125" t="s">
        <v>3327</v>
      </c>
      <c r="B8" s="499" t="n">
        <v>0.8</v>
      </c>
      <c r="C8" s="375" t="s">
        <v>3328</v>
      </c>
    </row>
    <row r="9" customFormat="false" ht="15" hidden="false" customHeight="true" outlineLevel="0" collapsed="false">
      <c r="A9" s="125" t="s">
        <v>3329</v>
      </c>
      <c r="B9" s="500" t="n">
        <v>20</v>
      </c>
      <c r="C9" s="375" t="s">
        <v>3330</v>
      </c>
    </row>
    <row r="10" customFormat="false" ht="15" hidden="false" customHeight="true" outlineLevel="0" collapsed="false">
      <c r="A10" s="125" t="s">
        <v>3331</v>
      </c>
      <c r="B10" s="500" t="n">
        <v>30</v>
      </c>
      <c r="C10" s="375" t="s">
        <v>3332</v>
      </c>
    </row>
    <row r="11" customFormat="false" ht="15" hidden="false" customHeight="true" outlineLevel="0" collapsed="false">
      <c r="A11" s="125" t="s">
        <v>3333</v>
      </c>
      <c r="B11" s="501" t="str">
        <f aca="false">'Scenario &amp; Presets'!$B$18</f>
        <v>N+1</v>
      </c>
      <c r="C11" s="375" t="s">
        <v>3334</v>
      </c>
    </row>
    <row r="12" customFormat="false" ht="15" hidden="false" customHeight="true" outlineLevel="0" collapsed="false">
      <c r="A12" s="125" t="s">
        <v>3335</v>
      </c>
      <c r="B12" s="502" t="n">
        <f aca="false">INDEX($B$45:$B$48,MATCH('Scenario &amp; Presets'!$B$18,$A$45:$A$48,0))</f>
        <v>1.2</v>
      </c>
      <c r="C12" s="375" t="s">
        <v>3336</v>
      </c>
    </row>
    <row r="13" customFormat="false" ht="15" hidden="false" customHeight="true" outlineLevel="0" collapsed="false">
      <c r="A13" s="125" t="s">
        <v>3337</v>
      </c>
      <c r="B13" s="496" t="n">
        <f aca="false">B5*B7</f>
        <v>117</v>
      </c>
      <c r="C13" s="375" t="s">
        <v>3338</v>
      </c>
    </row>
    <row r="15" customFormat="false" ht="15" hidden="false" customHeight="true" outlineLevel="0" collapsed="false">
      <c r="A15" s="7" t="s">
        <v>3339</v>
      </c>
      <c r="B15" s="7"/>
      <c r="C15" s="7"/>
      <c r="D15" s="7"/>
      <c r="E15" s="7"/>
    </row>
    <row r="16" customFormat="false" ht="15" hidden="false" customHeight="true" outlineLevel="0" collapsed="false">
      <c r="A16" s="503" t="s">
        <v>3340</v>
      </c>
      <c r="B16" s="503" t="s">
        <v>3341</v>
      </c>
      <c r="C16" s="503" t="s">
        <v>270</v>
      </c>
      <c r="D16" s="503" t="s">
        <v>3342</v>
      </c>
      <c r="E16" s="503" t="s">
        <v>3343</v>
      </c>
    </row>
    <row r="17" customFormat="false" ht="15" hidden="false" customHeight="true" outlineLevel="0" collapsed="false">
      <c r="A17" s="504" t="s">
        <v>3344</v>
      </c>
      <c r="B17" s="505" t="n">
        <v>108</v>
      </c>
      <c r="C17" s="127" t="s">
        <v>280</v>
      </c>
      <c r="D17" s="506" t="n">
        <f aca="false">B17/$B$12</f>
        <v>90</v>
      </c>
      <c r="E17" s="507" t="n">
        <f aca="false">D17-$B$23</f>
        <v>0.256410256410263</v>
      </c>
    </row>
    <row r="18" customFormat="false" ht="15" hidden="false" customHeight="true" outlineLevel="0" collapsed="false">
      <c r="A18" s="504" t="s">
        <v>3345</v>
      </c>
      <c r="B18" s="505" t="n">
        <v>140</v>
      </c>
      <c r="C18" s="127" t="s">
        <v>280</v>
      </c>
      <c r="D18" s="506" t="n">
        <f aca="false">B18/$B$12/$B$7</f>
        <v>89.7435897435897</v>
      </c>
      <c r="E18" s="507" t="n">
        <f aca="false">D18-$B$23</f>
        <v>0</v>
      </c>
    </row>
    <row r="19" customFormat="false" ht="15" hidden="false" customHeight="true" outlineLevel="0" collapsed="false">
      <c r="A19" s="504" t="s">
        <v>3346</v>
      </c>
      <c r="B19" s="505" t="n">
        <v>31000</v>
      </c>
      <c r="C19" s="127" t="s">
        <v>3347</v>
      </c>
      <c r="D19" s="506" t="n">
        <f aca="false">B19*3.517/1000/$B$12</f>
        <v>90.8558333333333</v>
      </c>
      <c r="E19" s="507" t="n">
        <f aca="false">D19-$B$23</f>
        <v>1.1122435897436</v>
      </c>
    </row>
    <row r="20" customFormat="false" ht="15" hidden="false" customHeight="true" outlineLevel="0" collapsed="false">
      <c r="A20" s="504" t="s">
        <v>3348</v>
      </c>
      <c r="B20" s="505" t="n">
        <v>130</v>
      </c>
      <c r="C20" s="127" t="s">
        <v>280</v>
      </c>
      <c r="D20" s="506" t="n">
        <f aca="false">B20/$B$7</f>
        <v>100</v>
      </c>
      <c r="E20" s="507" t="n">
        <f aca="false">D20-$B$23</f>
        <v>10.2564102564103</v>
      </c>
    </row>
    <row r="22" customFormat="false" ht="15" hidden="false" customHeight="true" outlineLevel="0" collapsed="false">
      <c r="A22" s="125" t="s">
        <v>3349</v>
      </c>
      <c r="B22" s="496" t="n">
        <f aca="false">'Campus Rollup'!$D$16</f>
        <v>90</v>
      </c>
    </row>
    <row r="23" customFormat="false" ht="15" hidden="false" customHeight="true" outlineLevel="0" collapsed="false">
      <c r="A23" s="125" t="s">
        <v>3350</v>
      </c>
      <c r="B23" s="508" t="n">
        <f aca="false">MIN(D17:D20)</f>
        <v>89.7435897435897</v>
      </c>
    </row>
    <row r="24" customFormat="false" ht="15" hidden="false" customHeight="true" outlineLevel="0" collapsed="false">
      <c r="A24" s="125" t="s">
        <v>3351</v>
      </c>
      <c r="B24" s="509" t="str">
        <f aca="false">INDEX(A17:A20,MATCH(MIN(D17:D20),D17:D20,0))</f>
        <v>Standby generation</v>
      </c>
      <c r="C24" s="509"/>
      <c r="D24" s="509"/>
    </row>
    <row r="25" customFormat="false" ht="15" hidden="false" customHeight="true" outlineLevel="0" collapsed="false">
      <c r="A25" s="125" t="s">
        <v>3352</v>
      </c>
      <c r="B25" s="110" t="str">
        <f aca="false">IF(B23&gt;=B22,"● Meets design IT load","▲ Short by "&amp;TEXT(B22-B23,"0.0")&amp;" MW — relieve binding subsystem")</f>
        <v>▲ Short by 0.3 MW — relieve binding subsystem</v>
      </c>
      <c r="C25" s="110"/>
      <c r="D25" s="110"/>
      <c r="E25" s="110"/>
    </row>
    <row r="27" customFormat="false" ht="15" hidden="false" customHeight="true" outlineLevel="0" collapsed="false">
      <c r="A27" s="7" t="s">
        <v>3353</v>
      </c>
      <c r="B27" s="7"/>
      <c r="C27" s="7"/>
      <c r="D27" s="7"/>
    </row>
    <row r="28" customFormat="false" ht="15" hidden="false" customHeight="true" outlineLevel="0" collapsed="false">
      <c r="A28" s="125" t="s">
        <v>3354</v>
      </c>
      <c r="B28" s="497" t="n">
        <f aca="false">B5*1000/B9</f>
        <v>4500</v>
      </c>
      <c r="C28" s="3" t="s">
        <v>3355</v>
      </c>
      <c r="D28" s="3"/>
    </row>
    <row r="29" customFormat="false" ht="15" hidden="false" customHeight="true" outlineLevel="0" collapsed="false">
      <c r="A29" s="125" t="s">
        <v>3356</v>
      </c>
      <c r="B29" s="497" t="n">
        <f aca="false">B28*B10</f>
        <v>135000</v>
      </c>
      <c r="C29" s="3" t="s">
        <v>3357</v>
      </c>
      <c r="D29" s="3"/>
    </row>
    <row r="30" customFormat="false" ht="15" hidden="false" customHeight="true" outlineLevel="0" collapsed="false">
      <c r="A30" s="125" t="s">
        <v>3358</v>
      </c>
      <c r="B30" s="497" t="n">
        <f aca="false">B29/B5</f>
        <v>1500</v>
      </c>
      <c r="C30" s="3" t="s">
        <v>3359</v>
      </c>
      <c r="D30" s="3"/>
    </row>
    <row r="31" customFormat="false" ht="15" hidden="false" customHeight="true" outlineLevel="0" collapsed="false">
      <c r="A31" s="125" t="s">
        <v>3360</v>
      </c>
      <c r="B31" s="510" t="n">
        <f aca="false">B29/B6</f>
        <v>0.16875</v>
      </c>
      <c r="C31" s="3" t="s">
        <v>3361</v>
      </c>
      <c r="D31" s="3"/>
    </row>
    <row r="32" customFormat="false" ht="15" hidden="false" customHeight="true" outlineLevel="0" collapsed="false">
      <c r="A32" s="125" t="s">
        <v>3362</v>
      </c>
      <c r="B32" s="497" t="n">
        <f aca="false">B6-B29</f>
        <v>665000</v>
      </c>
      <c r="C32" s="3" t="s">
        <v>3363</v>
      </c>
      <c r="D32" s="3"/>
    </row>
    <row r="34" customFormat="false" ht="15" hidden="false" customHeight="true" outlineLevel="0" collapsed="false">
      <c r="A34" s="7" t="s">
        <v>3364</v>
      </c>
      <c r="B34" s="7"/>
      <c r="C34" s="7"/>
      <c r="D34" s="7"/>
    </row>
    <row r="35" customFormat="false" ht="15" hidden="false" customHeight="true" outlineLevel="0" collapsed="false">
      <c r="A35" s="125" t="s">
        <v>3365</v>
      </c>
      <c r="B35" s="369" t="n">
        <f aca="false">'Campus Rollup'!$H$16/B5</f>
        <v>12092686.9674155</v>
      </c>
      <c r="C35" s="3" t="s">
        <v>3366</v>
      </c>
      <c r="D35" s="3"/>
    </row>
    <row r="36" customFormat="false" ht="15" hidden="false" customHeight="true" outlineLevel="0" collapsed="false">
      <c r="A36" s="125" t="s">
        <v>3367</v>
      </c>
      <c r="B36" s="369" t="n">
        <f aca="false">'Campus Rollup'!$H$16/B13</f>
        <v>9302066.8980119</v>
      </c>
      <c r="C36" s="3" t="s">
        <v>3368</v>
      </c>
      <c r="D36" s="3"/>
    </row>
    <row r="37" customFormat="false" ht="15" hidden="false" customHeight="true" outlineLevel="0" collapsed="false">
      <c r="A37" s="125" t="s">
        <v>3369</v>
      </c>
      <c r="B37" s="369" t="n">
        <f aca="false">'Campus Rollup'!$H$16/B28</f>
        <v>241853.739348309</v>
      </c>
      <c r="C37" s="3" t="s">
        <v>3370</v>
      </c>
      <c r="D37" s="3"/>
    </row>
    <row r="38" customFormat="false" ht="15" hidden="false" customHeight="true" outlineLevel="0" collapsed="false">
      <c r="A38" s="125" t="s">
        <v>3371</v>
      </c>
      <c r="B38" s="369" t="n">
        <f aca="false">'Campus Rollup'!$H$16/B19</f>
        <v>35107.8008731417</v>
      </c>
      <c r="C38" s="3" t="s">
        <v>3372</v>
      </c>
      <c r="D38" s="3"/>
    </row>
    <row r="39" customFormat="false" ht="15" hidden="false" customHeight="true" outlineLevel="0" collapsed="false">
      <c r="A39" s="125" t="s">
        <v>3373</v>
      </c>
      <c r="B39" s="369" t="n">
        <f aca="false">'Campus Rollup'!$H$16/B6</f>
        <v>1360.42728383424</v>
      </c>
      <c r="C39" s="3" t="s">
        <v>3374</v>
      </c>
      <c r="D39" s="3"/>
    </row>
    <row r="40" customFormat="false" ht="15" hidden="false" customHeight="true" outlineLevel="0" collapsed="false">
      <c r="A40" s="125" t="s">
        <v>3375</v>
      </c>
      <c r="B40" s="511" t="n">
        <f aca="false">'Campus Rollup'!$H$16/(B5*1000000)</f>
        <v>12.0926869674155</v>
      </c>
      <c r="C40" s="3" t="s">
        <v>3376</v>
      </c>
      <c r="D40" s="3"/>
    </row>
    <row r="43" customFormat="false" ht="15" hidden="false" customHeight="true" outlineLevel="0" collapsed="false">
      <c r="A43" s="3" t="s">
        <v>3377</v>
      </c>
      <c r="B43" s="3"/>
    </row>
    <row r="44" customFormat="false" ht="15" hidden="false" customHeight="true" outlineLevel="0" collapsed="false">
      <c r="A44" s="112" t="s">
        <v>169</v>
      </c>
      <c r="B44" s="112" t="s">
        <v>193</v>
      </c>
    </row>
    <row r="45" customFormat="false" ht="15" hidden="false" customHeight="true" outlineLevel="0" collapsed="false">
      <c r="A45" s="15" t="s">
        <v>194</v>
      </c>
      <c r="B45" s="48" t="n">
        <v>1</v>
      </c>
    </row>
    <row r="46" customFormat="false" ht="15" hidden="false" customHeight="true" outlineLevel="0" collapsed="false">
      <c r="A46" s="15" t="s">
        <v>157</v>
      </c>
      <c r="B46" s="48" t="n">
        <v>1.2</v>
      </c>
    </row>
    <row r="47" customFormat="false" ht="15" hidden="false" customHeight="true" outlineLevel="0" collapsed="false">
      <c r="A47" s="15" t="s">
        <v>177</v>
      </c>
      <c r="B47" s="48" t="n">
        <v>2</v>
      </c>
    </row>
    <row r="48" customFormat="false" ht="15" hidden="false" customHeight="true" outlineLevel="0" collapsed="false">
      <c r="A48" s="15" t="s">
        <v>195</v>
      </c>
      <c r="B48" s="48" t="n">
        <v>2.1</v>
      </c>
    </row>
    <row r="50" customFormat="false" ht="15" hidden="false" customHeight="true" outlineLevel="0" collapsed="false">
      <c r="A50" s="512" t="s">
        <v>3378</v>
      </c>
      <c r="B50" s="141"/>
      <c r="C50" s="141"/>
      <c r="D50" s="141"/>
    </row>
    <row r="51" customFormat="false" ht="15" hidden="false" customHeight="true" outlineLevel="0" collapsed="false">
      <c r="A51" s="375" t="s">
        <v>3379</v>
      </c>
    </row>
    <row r="52" customFormat="false" ht="15" hidden="false" customHeight="true" outlineLevel="0" collapsed="false">
      <c r="A52" s="513" t="s">
        <v>3380</v>
      </c>
      <c r="B52" s="478"/>
      <c r="C52" s="478"/>
      <c r="D52" s="478"/>
    </row>
    <row r="53" customFormat="false" ht="15" hidden="false" customHeight="true" outlineLevel="0" collapsed="false">
      <c r="A53" s="163" t="s">
        <v>3381</v>
      </c>
      <c r="B53" s="514" t="n">
        <f aca="false">B23</f>
        <v>89.7435897435897</v>
      </c>
      <c r="C53" s="375" t="str">
        <f aca="false">"limited by "&amp;LOWER(B24)</f>
        <v>limited by standby generation</v>
      </c>
    </row>
    <row r="54" customFormat="false" ht="15" hidden="false" customHeight="true" outlineLevel="0" collapsed="false">
      <c r="A54" s="163" t="s">
        <v>3382</v>
      </c>
      <c r="B54" s="243" t="n">
        <f aca="false">B23/B22</f>
        <v>0.997150997150997</v>
      </c>
      <c r="C54" s="375" t="s">
        <v>3383</v>
      </c>
    </row>
    <row r="55" customFormat="false" ht="15" hidden="false" customHeight="true" outlineLevel="0" collapsed="false">
      <c r="A55" s="163" t="s">
        <v>3384</v>
      </c>
      <c r="B55" s="514" t="n">
        <f aca="false">MAX(D17:D20)-B23</f>
        <v>10.2564102564103</v>
      </c>
      <c r="C55" s="375" t="s">
        <v>3385</v>
      </c>
    </row>
    <row r="56" customFormat="false" ht="15" hidden="false" customHeight="true" outlineLevel="0" collapsed="false">
      <c r="A56" s="478" t="s">
        <v>3287</v>
      </c>
      <c r="B56" s="478"/>
      <c r="C56" s="478"/>
      <c r="D56" s="478"/>
    </row>
    <row r="57" customFormat="false" ht="15" hidden="false" customHeight="true" outlineLevel="0" collapsed="false">
      <c r="A57" s="163" t="s">
        <v>3386</v>
      </c>
      <c r="B57" s="323" t="n">
        <f aca="false">'Total Development Cost'!C35/B23</f>
        <v>16857736.4091459</v>
      </c>
      <c r="C57" s="375" t="s">
        <v>3387</v>
      </c>
    </row>
    <row r="58" customFormat="false" ht="15" hidden="false" customHeight="true" outlineLevel="0" collapsed="false">
      <c r="A58" s="163" t="s">
        <v>3388</v>
      </c>
      <c r="B58" s="323" t="n">
        <f aca="false">'Campus Rollup'!H16/B23</f>
        <v>12127237.5016081</v>
      </c>
      <c r="C58" s="375" t="s">
        <v>3389</v>
      </c>
    </row>
    <row r="59" customFormat="false" ht="15" hidden="false" customHeight="true" outlineLevel="0" collapsed="false">
      <c r="A59" s="163" t="s">
        <v>3390</v>
      </c>
      <c r="B59" s="243" t="n">
        <f aca="false">B23/B22</f>
        <v>0.997150997150997</v>
      </c>
      <c r="C59" s="375" t="s">
        <v>3391</v>
      </c>
    </row>
    <row r="60" customFormat="false" ht="15" hidden="false" customHeight="true" outlineLevel="0" collapsed="false">
      <c r="A60" s="478" t="s">
        <v>3392</v>
      </c>
      <c r="B60" s="478"/>
      <c r="C60" s="478"/>
      <c r="D60" s="478"/>
    </row>
    <row r="61" customFormat="false" ht="15" hidden="false" customHeight="true" outlineLevel="0" collapsed="false">
      <c r="A61" s="163" t="s">
        <v>3393</v>
      </c>
      <c r="B61" s="514" t="n">
        <f aca="false">B23</f>
        <v>89.7435897435897</v>
      </c>
      <c r="C61" s="375" t="s">
        <v>3394</v>
      </c>
    </row>
    <row r="62" customFormat="false" ht="15" hidden="false" customHeight="true" outlineLevel="0" collapsed="false">
      <c r="A62" s="163" t="s">
        <v>3395</v>
      </c>
      <c r="B62" s="323" t="n">
        <f aca="false">B23*1000*'Investment Pro Forma'!B9*12</f>
        <v>177692307.692308</v>
      </c>
      <c r="C62" s="375" t="str">
        <f aca="false">"$/yr at full lease ("&amp;TEXT('Investment Pro Forma'!B9,"$0")&amp;"/kW/mo)"</f>
        <v>$/yr at full lease ($165/kW/mo)</v>
      </c>
    </row>
    <row r="63" customFormat="false" ht="15" hidden="false" customHeight="true" outlineLevel="0" collapsed="false">
      <c r="A63" s="163" t="s">
        <v>3396</v>
      </c>
      <c r="B63" s="323" t="n">
        <f aca="false">(B22-B23)*1000*'Investment Pro Forma'!B9*12</f>
        <v>507692.30769232</v>
      </c>
      <c r="C63" s="375" t="s">
        <v>3397</v>
      </c>
    </row>
    <row r="64" customFormat="false" ht="15" hidden="false" customHeight="true" outlineLevel="0" collapsed="false">
      <c r="A64" s="478" t="s">
        <v>3398</v>
      </c>
      <c r="B64" s="478"/>
      <c r="C64" s="478"/>
      <c r="D64" s="478"/>
    </row>
    <row r="65" customFormat="false" ht="15" hidden="false" customHeight="true" outlineLevel="0" collapsed="false">
      <c r="A65" s="163" t="s">
        <v>3399</v>
      </c>
      <c r="B65" s="515" t="str">
        <f aca="false">B11</f>
        <v>N+1</v>
      </c>
      <c r="C65" s="375" t="s">
        <v>3400</v>
      </c>
    </row>
    <row r="66" customFormat="false" ht="15" hidden="false" customHeight="true" outlineLevel="0" collapsed="false">
      <c r="A66" s="163" t="s">
        <v>3401</v>
      </c>
      <c r="B66" s="515" t="str">
        <f aca="false">IF(B23&gt;=B22,"● Meets design","▲ Short "&amp;TEXT(B22-B23,"0.0")&amp;" MW")</f>
        <v>▲ Short 0.3 MW</v>
      </c>
      <c r="C66" s="375" t="s">
        <v>3402</v>
      </c>
    </row>
    <row r="67" customFormat="false" ht="15" hidden="false" customHeight="true" outlineLevel="0" collapsed="false">
      <c r="A67" s="163" t="s">
        <v>3403</v>
      </c>
      <c r="B67" s="179" t="n">
        <f aca="false">B8</f>
        <v>0.8</v>
      </c>
      <c r="C67" s="375" t="s">
        <v>3328</v>
      </c>
    </row>
  </sheetData>
  <mergeCells count="20">
    <mergeCell ref="A1:F1"/>
    <mergeCell ref="A2:F2"/>
    <mergeCell ref="A4:D4"/>
    <mergeCell ref="A15:E15"/>
    <mergeCell ref="B24:D24"/>
    <mergeCell ref="B25:E25"/>
    <mergeCell ref="A27:D27"/>
    <mergeCell ref="C28:D28"/>
    <mergeCell ref="C29:D29"/>
    <mergeCell ref="C30:D30"/>
    <mergeCell ref="C31:D31"/>
    <mergeCell ref="C32:D32"/>
    <mergeCell ref="A34:D34"/>
    <mergeCell ref="C35:D35"/>
    <mergeCell ref="C36:D36"/>
    <mergeCell ref="C37:D37"/>
    <mergeCell ref="C38:D38"/>
    <mergeCell ref="C39:D39"/>
    <mergeCell ref="C40:D40"/>
    <mergeCell ref="A43:B43"/>
  </mergeCell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8C8C"/>
    <pageSetUpPr fitToPage="true"/>
  </sheetPr>
  <dimension ref="B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8.5390625" defaultRowHeight="15" zeroHeight="false" outlineLevelRow="0" outlineLevelCol="0"/>
  <cols>
    <col collapsed="false" customWidth="true" hidden="false" outlineLevel="0" max="1" min="1" style="1" width="3.43"/>
    <col collapsed="false" customWidth="true" hidden="false" outlineLevel="0" max="2" min="2" style="1" width="35.29"/>
    <col collapsed="false" customWidth="true" hidden="false" outlineLevel="0" max="3" min="3" style="1" width="38.14"/>
    <col collapsed="false" customWidth="true" hidden="false" outlineLevel="0" max="5" min="4" style="1" width="22.86"/>
  </cols>
  <sheetData>
    <row r="1" customFormat="false" ht="15.75" hidden="false" customHeight="true" outlineLevel="0" collapsed="false">
      <c r="B1" s="516"/>
      <c r="C1" s="517"/>
      <c r="D1" s="517"/>
      <c r="E1" s="518"/>
    </row>
    <row r="2" customFormat="false" ht="54" hidden="false" customHeight="true" outlineLevel="0" collapsed="false">
      <c r="B2" s="519" t="s">
        <v>3404</v>
      </c>
      <c r="C2" s="519"/>
      <c r="D2" s="519"/>
      <c r="E2" s="519"/>
    </row>
    <row r="3" customFormat="false" ht="25.5" hidden="false" customHeight="true" outlineLevel="0" collapsed="false">
      <c r="B3" s="520" t="s">
        <v>3405</v>
      </c>
      <c r="C3" s="520"/>
      <c r="D3" s="520"/>
      <c r="E3" s="520"/>
    </row>
    <row r="4" customFormat="false" ht="15" hidden="false" customHeight="true" outlineLevel="0" collapsed="false">
      <c r="B4" s="521"/>
      <c r="E4" s="522"/>
    </row>
    <row r="5" customFormat="false" ht="25.5" hidden="false" customHeight="true" outlineLevel="0" collapsed="false">
      <c r="B5" s="523" t="str">
        <f aca="false">'Construction Budget'!C3</f>
        <v>Data Center Template, Northern Virginia</v>
      </c>
      <c r="C5" s="523"/>
      <c r="D5" s="523"/>
      <c r="E5" s="523"/>
    </row>
    <row r="6" customFormat="false" ht="19.5" hidden="false" customHeight="true" outlineLevel="0" collapsed="false">
      <c r="B6" s="524" t="str">
        <f aca="false">"Hyperscale Data Center  |  "&amp;'Construction Budget'!C4</f>
        <v>Hyperscale Data Center  |  Loudoun County, VA</v>
      </c>
      <c r="C6" s="524"/>
      <c r="D6" s="524"/>
      <c r="E6" s="524"/>
    </row>
    <row r="7" customFormat="false" ht="15" hidden="false" customHeight="true" outlineLevel="0" collapsed="false">
      <c r="B7" s="521"/>
      <c r="E7" s="522"/>
    </row>
    <row r="8" customFormat="false" ht="15" hidden="false" customHeight="true" outlineLevel="0" collapsed="false">
      <c r="B8" s="525" t="s">
        <v>3406</v>
      </c>
      <c r="C8" s="197"/>
      <c r="D8" s="197"/>
      <c r="E8" s="526"/>
    </row>
    <row r="9" customFormat="false" ht="15" hidden="false" customHeight="true" outlineLevel="0" collapsed="false">
      <c r="B9" s="527" t="s">
        <v>3407</v>
      </c>
      <c r="C9" s="528" t="str">
        <f aca="false">IF('GC Bid Form'!D10="","",'GC Bid Form'!D10)</f>
        <v/>
      </c>
      <c r="D9" s="528"/>
      <c r="E9" s="522"/>
    </row>
    <row r="10" customFormat="false" ht="15" hidden="false" customHeight="true" outlineLevel="0" collapsed="false">
      <c r="B10" s="527" t="s">
        <v>3408</v>
      </c>
      <c r="C10" s="528" t="str">
        <f aca="false">IF('GC Bid Form'!D11="","",'GC Bid Form'!D11)</f>
        <v/>
      </c>
      <c r="D10" s="528"/>
      <c r="E10" s="522"/>
    </row>
    <row r="11" customFormat="false" ht="15" hidden="false" customHeight="true" outlineLevel="0" collapsed="false">
      <c r="B11" s="527" t="s">
        <v>3409</v>
      </c>
      <c r="C11" s="528" t="str">
        <f aca="false">IF('GC Bid Form'!D9="","",'GC Bid Form'!D9)</f>
        <v>CM-at-Risk / Guaranteed Maximum Price (GMP)</v>
      </c>
      <c r="D11" s="528"/>
      <c r="E11" s="522"/>
    </row>
    <row r="12" customFormat="false" ht="15" hidden="false" customHeight="true" outlineLevel="0" collapsed="false">
      <c r="B12" s="521"/>
      <c r="E12" s="522"/>
    </row>
    <row r="13" customFormat="false" ht="15" hidden="false" customHeight="true" outlineLevel="0" collapsed="false">
      <c r="B13" s="525" t="s">
        <v>3410</v>
      </c>
      <c r="C13" s="197"/>
      <c r="D13" s="197"/>
      <c r="E13" s="526"/>
    </row>
    <row r="14" customFormat="false" ht="15" hidden="false" customHeight="true" outlineLevel="0" collapsed="false">
      <c r="B14" s="527" t="s">
        <v>3411</v>
      </c>
      <c r="C14" s="529" t="s">
        <v>3412</v>
      </c>
      <c r="D14" s="529"/>
      <c r="E14" s="529"/>
    </row>
    <row r="15" customFormat="false" ht="15" hidden="false" customHeight="true" outlineLevel="0" collapsed="false">
      <c r="B15" s="527" t="s">
        <v>3413</v>
      </c>
      <c r="C15" s="529" t="s">
        <v>3414</v>
      </c>
      <c r="D15" s="529"/>
      <c r="E15" s="529"/>
    </row>
    <row r="16" customFormat="false" ht="15" hidden="false" customHeight="true" outlineLevel="0" collapsed="false">
      <c r="B16" s="527" t="s">
        <v>3415</v>
      </c>
      <c r="C16" s="529" t="s">
        <v>3416</v>
      </c>
      <c r="D16" s="529"/>
      <c r="E16" s="529"/>
    </row>
    <row r="17" customFormat="false" ht="15" hidden="false" customHeight="true" outlineLevel="0" collapsed="false">
      <c r="B17" s="521"/>
      <c r="E17" s="522"/>
    </row>
    <row r="18" customFormat="false" ht="15" hidden="false" customHeight="true" outlineLevel="0" collapsed="false">
      <c r="B18" s="525" t="s">
        <v>3417</v>
      </c>
      <c r="C18" s="197"/>
      <c r="D18" s="197"/>
      <c r="E18" s="526"/>
    </row>
    <row r="19" customFormat="false" ht="15" hidden="false" customHeight="true" outlineLevel="0" collapsed="false">
      <c r="B19" s="527" t="s">
        <v>3418</v>
      </c>
      <c r="C19" s="530" t="str">
        <f aca="false">IF('GC Bid Form'!D16="","",'GC Bid Form'!D16)</f>
        <v/>
      </c>
      <c r="D19" s="530"/>
      <c r="E19" s="530"/>
    </row>
    <row r="20" customFormat="false" ht="15" hidden="false" customHeight="true" outlineLevel="0" collapsed="false">
      <c r="B20" s="527" t="s">
        <v>3419</v>
      </c>
      <c r="C20" s="530" t="str">
        <f aca="false">IF('GC Bid Form'!D17="","",'GC Bid Form'!D17)</f>
        <v/>
      </c>
      <c r="D20" s="530"/>
      <c r="E20" s="530"/>
    </row>
    <row r="21" customFormat="false" ht="15" hidden="false" customHeight="true" outlineLevel="0" collapsed="false">
      <c r="B21" s="521"/>
      <c r="E21" s="522"/>
    </row>
    <row r="22" customFormat="false" ht="15" hidden="false" customHeight="true" outlineLevel="0" collapsed="false">
      <c r="B22" s="525" t="s">
        <v>3420</v>
      </c>
      <c r="C22" s="197"/>
      <c r="D22" s="197"/>
      <c r="E22" s="526"/>
    </row>
    <row r="23" customFormat="false" ht="15" hidden="false" customHeight="true" outlineLevel="0" collapsed="false">
      <c r="B23" s="531" t="s">
        <v>3421</v>
      </c>
      <c r="E23" s="522"/>
    </row>
    <row r="24" customFormat="false" ht="15" hidden="false" customHeight="true" outlineLevel="0" collapsed="false">
      <c r="B24" s="531" t="s">
        <v>3422</v>
      </c>
      <c r="E24" s="522"/>
    </row>
    <row r="25" customFormat="false" ht="15" hidden="false" customHeight="true" outlineLevel="0" collapsed="false">
      <c r="B25" s="531" t="s">
        <v>3423</v>
      </c>
      <c r="E25" s="522"/>
    </row>
    <row r="26" customFormat="false" ht="15" hidden="false" customHeight="true" outlineLevel="0" collapsed="false">
      <c r="B26" s="531" t="s">
        <v>3424</v>
      </c>
      <c r="E26" s="522"/>
    </row>
    <row r="27" customFormat="false" ht="15" hidden="false" customHeight="true" outlineLevel="0" collapsed="false">
      <c r="B27" s="521"/>
      <c r="E27" s="522"/>
    </row>
    <row r="28" customFormat="false" ht="15" hidden="false" customHeight="true" outlineLevel="0" collapsed="false">
      <c r="B28" s="532" t="s">
        <v>3425</v>
      </c>
      <c r="E28" s="522"/>
    </row>
    <row r="29" customFormat="false" ht="15" hidden="false" customHeight="true" outlineLevel="0" collapsed="false">
      <c r="B29" s="521"/>
      <c r="E29" s="522"/>
    </row>
    <row r="30" customFormat="false" ht="15" hidden="false" customHeight="true" outlineLevel="0" collapsed="false">
      <c r="B30" s="533" t="s">
        <v>3426</v>
      </c>
      <c r="C30" s="534"/>
      <c r="D30" s="534"/>
      <c r="E30" s="535"/>
    </row>
    <row r="31" customFormat="false" ht="15" hidden="false" customHeight="true" outlineLevel="0" collapsed="false">
      <c r="B31" s="531" t="s">
        <v>3427</v>
      </c>
      <c r="E31" s="522"/>
    </row>
    <row r="32" customFormat="false" ht="15" hidden="false" customHeight="true" outlineLevel="0" collapsed="false">
      <c r="B32" s="531" t="s">
        <v>3428</v>
      </c>
      <c r="E32" s="522"/>
    </row>
    <row r="33" customFormat="false" ht="15" hidden="false" customHeight="true" outlineLevel="0" collapsed="false">
      <c r="B33" s="531" t="s">
        <v>3429</v>
      </c>
      <c r="E33" s="522"/>
    </row>
    <row r="34" customFormat="false" ht="15" hidden="false" customHeight="true" outlineLevel="0" collapsed="false">
      <c r="B34" s="531" t="s">
        <v>3430</v>
      </c>
      <c r="E34" s="522"/>
    </row>
    <row r="35" customFormat="false" ht="15" hidden="false" customHeight="true" outlineLevel="0" collapsed="false">
      <c r="B35" s="531" t="s">
        <v>3431</v>
      </c>
      <c r="E35" s="522"/>
    </row>
    <row r="36" customFormat="false" ht="15" hidden="false" customHeight="true" outlineLevel="0" collapsed="false">
      <c r="B36" s="531" t="s">
        <v>3432</v>
      </c>
      <c r="E36" s="522"/>
    </row>
    <row r="37" customFormat="false" ht="15" hidden="false" customHeight="true" outlineLevel="0" collapsed="false">
      <c r="B37" s="531" t="s">
        <v>3433</v>
      </c>
      <c r="E37" s="522"/>
    </row>
    <row r="38" customFormat="false" ht="15" hidden="false" customHeight="true" outlineLevel="0" collapsed="false">
      <c r="B38" s="531" t="s">
        <v>3434</v>
      </c>
      <c r="E38" s="522"/>
    </row>
    <row r="39" customFormat="false" ht="15" hidden="false" customHeight="true" outlineLevel="0" collapsed="false">
      <c r="B39" s="531" t="s">
        <v>3435</v>
      </c>
      <c r="E39" s="522"/>
    </row>
    <row r="40" customFormat="false" ht="15.75" hidden="false" customHeight="true" outlineLevel="0" collapsed="false">
      <c r="B40" s="536"/>
      <c r="C40" s="537"/>
      <c r="D40" s="537"/>
      <c r="E40" s="538"/>
    </row>
    <row r="41" customFormat="false" ht="15.75" hidden="false" customHeight="true" outlineLevel="0" collapsed="false"/>
  </sheetData>
  <mergeCells count="12">
    <mergeCell ref="B2:E2"/>
    <mergeCell ref="B3:E3"/>
    <mergeCell ref="B5:E5"/>
    <mergeCell ref="B6:E6"/>
    <mergeCell ref="C9:D9"/>
    <mergeCell ref="C10:D10"/>
    <mergeCell ref="C11:D11"/>
    <mergeCell ref="C14:E14"/>
    <mergeCell ref="C15:E15"/>
    <mergeCell ref="C16:E16"/>
    <mergeCell ref="C19:E19"/>
    <mergeCell ref="C20:E20"/>
  </mergeCells>
  <printOptions headings="false" gridLines="false" gridLinesSet="true" horizontalCentered="true" verticalCentered="true"/>
  <pageMargins left="0.597222222222222" right="0.597222222222222"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8C8C"/>
    <pageSetUpPr fitToPage="true"/>
  </sheetPr>
  <dimension ref="B1:E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65" activeCellId="0" sqref="D65"/>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6.43"/>
    <col collapsed="false" customWidth="true" hidden="false" outlineLevel="0" max="3" min="3" style="1" width="57.14"/>
    <col collapsed="false" customWidth="true" hidden="false" outlineLevel="0" max="4" min="4" style="1" width="22.86"/>
    <col collapsed="false" customWidth="true" hidden="false" outlineLevel="0" max="5" min="5" style="1" width="36.14"/>
  </cols>
  <sheetData>
    <row r="1" customFormat="false" ht="24" hidden="false" customHeight="true" outlineLevel="0" collapsed="false">
      <c r="B1" s="539" t="s">
        <v>3436</v>
      </c>
    </row>
    <row r="2" customFormat="false" ht="15.75" hidden="false" customHeight="true" outlineLevel="0" collapsed="false">
      <c r="B2" s="540" t="str">
        <f aca="false">'Construction Budget'!C3&amp;" — Hyperscale Data Center"</f>
        <v>Data Center Template, Northern Virginia — Hyperscale Data Center</v>
      </c>
    </row>
    <row r="3" customFormat="false" ht="15" hidden="false" customHeight="true" outlineLevel="0" collapsed="false">
      <c r="B3" s="477" t="s">
        <v>3437</v>
      </c>
    </row>
    <row r="5" customFormat="false" ht="15" hidden="false" customHeight="true" outlineLevel="0" collapsed="false">
      <c r="B5" s="117" t="s">
        <v>3438</v>
      </c>
      <c r="C5" s="197"/>
      <c r="D5" s="197"/>
      <c r="E5" s="197"/>
    </row>
    <row r="6" customFormat="false" ht="15" hidden="false" customHeight="true" outlineLevel="0" collapsed="false">
      <c r="B6" s="541" t="s">
        <v>3045</v>
      </c>
      <c r="C6" s="542"/>
      <c r="D6" s="543" t="str">
        <f aca="false">'Construction Budget'!C3</f>
        <v>Data Center Template, Northern Virginia</v>
      </c>
      <c r="E6" s="543"/>
    </row>
    <row r="7" customFormat="false" ht="15" hidden="false" customHeight="true" outlineLevel="0" collapsed="false">
      <c r="B7" s="541" t="s">
        <v>1839</v>
      </c>
      <c r="C7" s="542"/>
      <c r="D7" s="543" t="str">
        <f aca="false">'Construction Budget'!C4</f>
        <v>Loudoun County, VA</v>
      </c>
      <c r="E7" s="543"/>
    </row>
    <row r="8" customFormat="false" ht="15" hidden="false" customHeight="true" outlineLevel="0" collapsed="false">
      <c r="B8" s="541" t="s">
        <v>248</v>
      </c>
      <c r="C8" s="542"/>
      <c r="D8" s="543" t="str">
        <f aca="false">'Construction Budget'!C5</f>
        <v>Confidential Hyperscaler</v>
      </c>
      <c r="E8" s="543"/>
    </row>
    <row r="9" customFormat="false" ht="15" hidden="false" customHeight="true" outlineLevel="0" collapsed="false">
      <c r="B9" s="541" t="s">
        <v>3409</v>
      </c>
      <c r="C9" s="299"/>
      <c r="D9" s="543" t="s">
        <v>3439</v>
      </c>
      <c r="E9" s="543"/>
    </row>
    <row r="10" customFormat="false" ht="15" hidden="false" customHeight="true" outlineLevel="0" collapsed="false">
      <c r="B10" s="541" t="s">
        <v>3440</v>
      </c>
      <c r="C10" s="299"/>
      <c r="D10" s="544"/>
      <c r="E10" s="544"/>
    </row>
    <row r="11" customFormat="false" ht="15" hidden="false" customHeight="true" outlineLevel="0" collapsed="false">
      <c r="B11" s="541" t="s">
        <v>3441</v>
      </c>
      <c r="C11" s="299"/>
      <c r="D11" s="544"/>
      <c r="E11" s="544"/>
    </row>
    <row r="12" customFormat="false" ht="15" hidden="false" customHeight="true" outlineLevel="0" collapsed="false">
      <c r="B12" s="541" t="s">
        <v>3442</v>
      </c>
      <c r="C12" s="545"/>
      <c r="D12" s="546" t="n">
        <f aca="false">'Construction Budget'!F3</f>
        <v>46143</v>
      </c>
      <c r="E12" s="546"/>
    </row>
    <row r="13" customFormat="false" ht="15" hidden="false" customHeight="true" outlineLevel="0" collapsed="false">
      <c r="B13" s="541" t="s">
        <v>3443</v>
      </c>
      <c r="C13" s="542"/>
      <c r="D13" s="547" t="str">
        <f aca="false">'Construction Budget'!F4</f>
        <v>Q1 2029</v>
      </c>
      <c r="E13" s="547"/>
    </row>
    <row r="15" customFormat="false" ht="15" hidden="false" customHeight="true" outlineLevel="0" collapsed="false">
      <c r="B15" s="117" t="s">
        <v>3444</v>
      </c>
      <c r="C15" s="197"/>
      <c r="D15" s="197"/>
      <c r="E15" s="197"/>
    </row>
    <row r="16" customFormat="false" ht="15" hidden="false" customHeight="true" outlineLevel="0" collapsed="false">
      <c r="B16" s="541" t="s">
        <v>3445</v>
      </c>
      <c r="D16" s="544"/>
      <c r="E16" s="544"/>
    </row>
    <row r="17" customFormat="false" ht="15" hidden="false" customHeight="true" outlineLevel="0" collapsed="false">
      <c r="B17" s="541" t="s">
        <v>3446</v>
      </c>
      <c r="D17" s="544"/>
      <c r="E17" s="544"/>
    </row>
    <row r="18" customFormat="false" ht="15" hidden="false" customHeight="true" outlineLevel="0" collapsed="false">
      <c r="B18" s="541" t="s">
        <v>3415</v>
      </c>
      <c r="D18" s="544"/>
      <c r="E18" s="544"/>
    </row>
    <row r="19" customFormat="false" ht="15" hidden="false" customHeight="true" outlineLevel="0" collapsed="false">
      <c r="B19" s="541" t="s">
        <v>3447</v>
      </c>
      <c r="D19" s="544"/>
      <c r="E19" s="544"/>
    </row>
    <row r="20" customFormat="false" ht="15" hidden="false" customHeight="true" outlineLevel="0" collapsed="false">
      <c r="B20" s="541" t="s">
        <v>3448</v>
      </c>
      <c r="D20" s="544"/>
      <c r="E20" s="544"/>
    </row>
    <row r="21" customFormat="false" ht="15" hidden="false" customHeight="true" outlineLevel="0" collapsed="false">
      <c r="B21" s="541" t="s">
        <v>3449</v>
      </c>
      <c r="D21" s="544"/>
      <c r="E21" s="544"/>
    </row>
    <row r="22" customFormat="false" ht="15" hidden="false" customHeight="true" outlineLevel="0" collapsed="false">
      <c r="B22" s="541" t="s">
        <v>3450</v>
      </c>
      <c r="D22" s="548"/>
      <c r="E22" s="548"/>
    </row>
    <row r="24" customFormat="false" ht="15" hidden="false" customHeight="true" outlineLevel="0" collapsed="false">
      <c r="B24" s="117" t="s">
        <v>3451</v>
      </c>
      <c r="C24" s="197"/>
      <c r="D24" s="197"/>
      <c r="E24" s="197"/>
    </row>
    <row r="25" customFormat="false" ht="15" hidden="false" customHeight="true" outlineLevel="0" collapsed="false">
      <c r="B25" s="549" t="s">
        <v>3452</v>
      </c>
    </row>
    <row r="26" customFormat="false" ht="15" hidden="false" customHeight="true" outlineLevel="0" collapsed="false">
      <c r="B26" s="550" t="s">
        <v>266</v>
      </c>
      <c r="C26" s="551" t="s">
        <v>3453</v>
      </c>
      <c r="D26" s="550" t="s">
        <v>3454</v>
      </c>
      <c r="E26" s="550" t="s">
        <v>3455</v>
      </c>
    </row>
    <row r="27" customFormat="false" ht="15" hidden="false" customHeight="true" outlineLevel="0" collapsed="false">
      <c r="B27" s="552" t="n">
        <v>1</v>
      </c>
      <c r="C27" s="553" t="str">
        <f aca="false">'Bid Leveling'!B13</f>
        <v>General Conditions &amp; Requirements</v>
      </c>
      <c r="D27" s="554"/>
      <c r="E27" s="555"/>
    </row>
    <row r="28" customFormat="false" ht="15" hidden="false" customHeight="true" outlineLevel="0" collapsed="false">
      <c r="B28" s="552" t="n">
        <v>2</v>
      </c>
      <c r="C28" s="553" t="str">
        <f aca="false">'Bid Leveling'!B14</f>
        <v>Commissioning &amp; Testing</v>
      </c>
      <c r="D28" s="554"/>
      <c r="E28" s="555"/>
    </row>
    <row r="29" customFormat="false" ht="15" hidden="false" customHeight="true" outlineLevel="0" collapsed="false">
      <c r="B29" s="552" t="n">
        <v>3</v>
      </c>
      <c r="C29" s="553" t="str">
        <f aca="false">'Bid Leveling'!B15</f>
        <v>Div 03 — Concrete</v>
      </c>
      <c r="D29" s="554"/>
      <c r="E29" s="555"/>
    </row>
    <row r="30" customFormat="false" ht="15" hidden="false" customHeight="true" outlineLevel="0" collapsed="false">
      <c r="B30" s="552" t="n">
        <v>4</v>
      </c>
      <c r="C30" s="553" t="str">
        <f aca="false">'Bid Leveling'!B16</f>
        <v>Div 04 — Masonry</v>
      </c>
      <c r="D30" s="554"/>
      <c r="E30" s="555"/>
    </row>
    <row r="31" customFormat="false" ht="15" hidden="false" customHeight="true" outlineLevel="0" collapsed="false">
      <c r="B31" s="552" t="n">
        <v>5</v>
      </c>
      <c r="C31" s="553" t="str">
        <f aca="false">'Bid Leveling'!B17</f>
        <v>Div 05 — Metals / Structural Steel</v>
      </c>
      <c r="D31" s="554"/>
      <c r="E31" s="555"/>
    </row>
    <row r="32" customFormat="false" ht="15" hidden="false" customHeight="true" outlineLevel="0" collapsed="false">
      <c r="B32" s="552" t="n">
        <v>6</v>
      </c>
      <c r="C32" s="553" t="str">
        <f aca="false">'Bid Leveling'!B18</f>
        <v>Div 06 — Wood, Plastics &amp; Composites</v>
      </c>
      <c r="D32" s="554"/>
      <c r="E32" s="555"/>
    </row>
    <row r="33" customFormat="false" ht="15" hidden="false" customHeight="true" outlineLevel="0" collapsed="false">
      <c r="B33" s="552" t="n">
        <v>7</v>
      </c>
      <c r="C33" s="553" t="str">
        <f aca="false">'Bid Leveling'!B19</f>
        <v>Div 07 — Thermal &amp; Moisture Protection</v>
      </c>
      <c r="D33" s="554"/>
      <c r="E33" s="555"/>
    </row>
    <row r="34" customFormat="false" ht="15" hidden="false" customHeight="true" outlineLevel="0" collapsed="false">
      <c r="B34" s="552" t="n">
        <v>8</v>
      </c>
      <c r="C34" s="553" t="str">
        <f aca="false">'Bid Leveling'!B20</f>
        <v>Div 08 — Openings</v>
      </c>
      <c r="D34" s="554"/>
      <c r="E34" s="555"/>
    </row>
    <row r="35" customFormat="false" ht="15" hidden="false" customHeight="true" outlineLevel="0" collapsed="false">
      <c r="B35" s="552" t="n">
        <v>9</v>
      </c>
      <c r="C35" s="553" t="str">
        <f aca="false">'Bid Leveling'!B21</f>
        <v>Div 09 — Finishes</v>
      </c>
      <c r="D35" s="554"/>
      <c r="E35" s="555"/>
    </row>
    <row r="36" customFormat="false" ht="15" hidden="false" customHeight="true" outlineLevel="0" collapsed="false">
      <c r="B36" s="552" t="n">
        <v>10</v>
      </c>
      <c r="C36" s="553" t="str">
        <f aca="false">'Bid Leveling'!B22</f>
        <v>Div 10 — Specialties</v>
      </c>
      <c r="D36" s="554"/>
      <c r="E36" s="555"/>
    </row>
    <row r="37" customFormat="false" ht="15" hidden="false" customHeight="true" outlineLevel="0" collapsed="false">
      <c r="B37" s="552" t="n">
        <v>11</v>
      </c>
      <c r="C37" s="553" t="str">
        <f aca="false">'Bid Leveling'!B23</f>
        <v>Div 11 — Equipment</v>
      </c>
      <c r="D37" s="554"/>
      <c r="E37" s="555"/>
    </row>
    <row r="38" customFormat="false" ht="15" hidden="false" customHeight="true" outlineLevel="0" collapsed="false">
      <c r="B38" s="552" t="n">
        <v>12</v>
      </c>
      <c r="C38" s="553" t="str">
        <f aca="false">'Bid Leveling'!B24</f>
        <v>Div 12 — Furnishings</v>
      </c>
      <c r="D38" s="554"/>
      <c r="E38" s="555"/>
    </row>
    <row r="39" customFormat="false" ht="15" hidden="false" customHeight="true" outlineLevel="0" collapsed="false">
      <c r="B39" s="552" t="n">
        <v>13</v>
      </c>
      <c r="C39" s="553" t="str">
        <f aca="false">'Bid Leveling'!B25</f>
        <v>Div 14 — Conveying Equipment</v>
      </c>
      <c r="D39" s="554"/>
      <c r="E39" s="555"/>
    </row>
    <row r="40" customFormat="false" ht="15" hidden="false" customHeight="true" outlineLevel="0" collapsed="false">
      <c r="B40" s="552" t="n">
        <v>14</v>
      </c>
      <c r="C40" s="553" t="str">
        <f aca="false">'Bid Leveling'!B26</f>
        <v>Div 21 — Fire Suppression</v>
      </c>
      <c r="D40" s="554"/>
      <c r="E40" s="555"/>
    </row>
    <row r="41" customFormat="false" ht="15" hidden="false" customHeight="true" outlineLevel="0" collapsed="false">
      <c r="B41" s="552" t="n">
        <v>15</v>
      </c>
      <c r="C41" s="553" t="str">
        <f aca="false">'Bid Leveling'!B27</f>
        <v>Div 22 — Plumbing</v>
      </c>
      <c r="D41" s="554"/>
      <c r="E41" s="555"/>
    </row>
    <row r="42" customFormat="false" ht="15" hidden="false" customHeight="true" outlineLevel="0" collapsed="false">
      <c r="B42" s="552" t="n">
        <v>16</v>
      </c>
      <c r="C42" s="553" t="str">
        <f aca="false">'Bid Leveling'!B28</f>
        <v>Div 23 — HVAC / Cooling Systems</v>
      </c>
      <c r="D42" s="554"/>
      <c r="E42" s="555"/>
    </row>
    <row r="43" customFormat="false" ht="15" hidden="false" customHeight="true" outlineLevel="0" collapsed="false">
      <c r="B43" s="552" t="n">
        <v>17</v>
      </c>
      <c r="C43" s="553" t="str">
        <f aca="false">'Bid Leveling'!B29</f>
        <v>Div 25 — Integrated Automation</v>
      </c>
      <c r="D43" s="554"/>
      <c r="E43" s="555"/>
    </row>
    <row r="44" customFormat="false" ht="15" hidden="false" customHeight="true" outlineLevel="0" collapsed="false">
      <c r="B44" s="552" t="n">
        <v>18</v>
      </c>
      <c r="C44" s="553" t="str">
        <f aca="false">'Bid Leveling'!B30</f>
        <v>Div 26 — Electrical / Critical Power</v>
      </c>
      <c r="D44" s="554"/>
      <c r="E44" s="555"/>
    </row>
    <row r="45" customFormat="false" ht="15" hidden="false" customHeight="true" outlineLevel="0" collapsed="false">
      <c r="B45" s="552" t="n">
        <v>19</v>
      </c>
      <c r="C45" s="553" t="str">
        <f aca="false">'Bid Leveling'!B31</f>
        <v>Div 27 — Communications / IT Infrastructure</v>
      </c>
      <c r="D45" s="554"/>
      <c r="E45" s="555"/>
    </row>
    <row r="46" customFormat="false" ht="15" hidden="false" customHeight="true" outlineLevel="0" collapsed="false">
      <c r="B46" s="552" t="n">
        <v>20</v>
      </c>
      <c r="C46" s="553" t="str">
        <f aca="false">'Bid Leveling'!B32</f>
        <v>Div 28 — Electronic Safety &amp; Security</v>
      </c>
      <c r="D46" s="554"/>
      <c r="E46" s="555"/>
    </row>
    <row r="47" customFormat="false" ht="15" hidden="false" customHeight="true" outlineLevel="0" collapsed="false">
      <c r="B47" s="552" t="n">
        <v>21</v>
      </c>
      <c r="C47" s="553" t="str">
        <f aca="false">'Bid Leveling'!B33</f>
        <v>Div 31 — Earthwork</v>
      </c>
      <c r="D47" s="554"/>
      <c r="E47" s="555"/>
    </row>
    <row r="48" customFormat="false" ht="15" hidden="false" customHeight="true" outlineLevel="0" collapsed="false">
      <c r="B48" s="552" t="n">
        <v>22</v>
      </c>
      <c r="C48" s="553" t="str">
        <f aca="false">'Bid Leveling'!B34</f>
        <v>Div 32 — Exterior Improvements</v>
      </c>
      <c r="D48" s="554"/>
      <c r="E48" s="555"/>
    </row>
    <row r="49" customFormat="false" ht="15" hidden="false" customHeight="true" outlineLevel="0" collapsed="false">
      <c r="B49" s="552" t="n">
        <v>23</v>
      </c>
      <c r="C49" s="553" t="str">
        <f aca="false">'Bid Leveling'!B35</f>
        <v>Div 33 — Utilities</v>
      </c>
      <c r="D49" s="554"/>
      <c r="E49" s="555"/>
    </row>
    <row r="50" customFormat="false" ht="15" hidden="false" customHeight="true" outlineLevel="0" collapsed="false">
      <c r="B50" s="552" t="n">
        <v>24</v>
      </c>
      <c r="C50" s="553" t="str">
        <f aca="false">'Bid Leveling'!B36</f>
        <v>Soft Costs / Pre-Construction</v>
      </c>
      <c r="D50" s="554"/>
      <c r="E50" s="555"/>
    </row>
    <row r="51" customFormat="false" ht="15" hidden="false" customHeight="true" outlineLevel="0" collapsed="false">
      <c r="B51" s="556"/>
      <c r="C51" s="557" t="s">
        <v>3456</v>
      </c>
      <c r="D51" s="558" t="n">
        <f aca="false">SUM(D27:D50)</f>
        <v>0</v>
      </c>
      <c r="E51" s="556"/>
    </row>
    <row r="53" customFormat="false" ht="15" hidden="false" customHeight="true" outlineLevel="0" collapsed="false">
      <c r="B53" s="117" t="s">
        <v>3457</v>
      </c>
      <c r="C53" s="197"/>
      <c r="D53" s="197"/>
      <c r="E53" s="197"/>
    </row>
    <row r="54" customFormat="false" ht="15" hidden="false" customHeight="true" outlineLevel="0" collapsed="false">
      <c r="B54" s="550" t="s">
        <v>266</v>
      </c>
      <c r="C54" s="559" t="s">
        <v>3458</v>
      </c>
      <c r="D54" s="550" t="s">
        <v>3459</v>
      </c>
      <c r="E54" s="550" t="s">
        <v>1921</v>
      </c>
    </row>
    <row r="55" customFormat="false" ht="15" hidden="false" customHeight="true" outlineLevel="0" collapsed="false">
      <c r="B55" s="552" t="n">
        <v>1</v>
      </c>
      <c r="C55" s="560" t="s">
        <v>3460</v>
      </c>
      <c r="D55" s="554"/>
      <c r="E55" s="555"/>
    </row>
    <row r="56" customFormat="false" ht="15" hidden="false" customHeight="true" outlineLevel="0" collapsed="false">
      <c r="B56" s="552" t="n">
        <v>2</v>
      </c>
      <c r="C56" s="560" t="s">
        <v>3461</v>
      </c>
      <c r="D56" s="554"/>
      <c r="E56" s="555"/>
    </row>
    <row r="57" customFormat="false" ht="15" hidden="false" customHeight="true" outlineLevel="0" collapsed="false">
      <c r="B57" s="552" t="n">
        <v>3</v>
      </c>
      <c r="C57" s="560" t="s">
        <v>3462</v>
      </c>
      <c r="D57" s="554"/>
      <c r="E57" s="555"/>
    </row>
    <row r="58" customFormat="false" ht="15" hidden="false" customHeight="true" outlineLevel="0" collapsed="false">
      <c r="B58" s="552" t="n">
        <v>4</v>
      </c>
      <c r="C58" s="560" t="s">
        <v>3463</v>
      </c>
      <c r="D58" s="554"/>
      <c r="E58" s="555"/>
    </row>
    <row r="59" customFormat="false" ht="15" hidden="false" customHeight="true" outlineLevel="0" collapsed="false">
      <c r="B59" s="552" t="n">
        <v>5</v>
      </c>
      <c r="C59" s="560" t="s">
        <v>3464</v>
      </c>
      <c r="D59" s="554"/>
      <c r="E59" s="555"/>
    </row>
    <row r="61" customFormat="false" ht="15" hidden="false" customHeight="true" outlineLevel="0" collapsed="false">
      <c r="B61" s="117" t="s">
        <v>3465</v>
      </c>
      <c r="C61" s="197"/>
      <c r="D61" s="197"/>
      <c r="E61" s="197"/>
    </row>
    <row r="62" customFormat="false" ht="15" hidden="false" customHeight="true" outlineLevel="0" collapsed="false">
      <c r="B62" s="550" t="s">
        <v>266</v>
      </c>
      <c r="C62" s="559" t="s">
        <v>3466</v>
      </c>
      <c r="D62" s="550" t="s">
        <v>270</v>
      </c>
      <c r="E62" s="550" t="s">
        <v>3467</v>
      </c>
    </row>
    <row r="63" customFormat="false" ht="15" hidden="false" customHeight="true" outlineLevel="0" collapsed="false">
      <c r="B63" s="552" t="n">
        <v>1</v>
      </c>
      <c r="C63" s="560" t="s">
        <v>3468</v>
      </c>
      <c r="D63" s="552" t="s">
        <v>1925</v>
      </c>
      <c r="E63" s="561"/>
    </row>
    <row r="64" customFormat="false" ht="15" hidden="false" customHeight="true" outlineLevel="0" collapsed="false">
      <c r="B64" s="552" t="n">
        <v>2</v>
      </c>
      <c r="C64" s="560" t="s">
        <v>3469</v>
      </c>
      <c r="D64" s="552" t="s">
        <v>1952</v>
      </c>
      <c r="E64" s="561"/>
    </row>
    <row r="65" customFormat="false" ht="15" hidden="false" customHeight="true" outlineLevel="0" collapsed="false">
      <c r="B65" s="552" t="n">
        <v>3</v>
      </c>
      <c r="C65" s="560" t="s">
        <v>3470</v>
      </c>
      <c r="D65" s="552" t="s">
        <v>1925</v>
      </c>
      <c r="E65" s="561"/>
    </row>
    <row r="66" customFormat="false" ht="15" hidden="false" customHeight="true" outlineLevel="0" collapsed="false">
      <c r="B66" s="552" t="n">
        <v>4</v>
      </c>
      <c r="C66" s="560" t="s">
        <v>3471</v>
      </c>
      <c r="D66" s="552" t="s">
        <v>1925</v>
      </c>
      <c r="E66" s="561"/>
    </row>
    <row r="67" customFormat="false" ht="15" hidden="false" customHeight="true" outlineLevel="0" collapsed="false">
      <c r="B67" s="552" t="n">
        <v>5</v>
      </c>
      <c r="C67" s="560" t="s">
        <v>3472</v>
      </c>
      <c r="D67" s="552" t="s">
        <v>1929</v>
      </c>
      <c r="E67" s="561"/>
    </row>
    <row r="69" customFormat="false" ht="15" hidden="false" customHeight="true" outlineLevel="0" collapsed="false">
      <c r="B69" s="117" t="s">
        <v>3473</v>
      </c>
      <c r="C69" s="197"/>
      <c r="D69" s="197"/>
      <c r="E69" s="197"/>
    </row>
    <row r="70" customFormat="false" ht="15" hidden="false" customHeight="true" outlineLevel="0" collapsed="false">
      <c r="B70" s="541" t="s">
        <v>3474</v>
      </c>
      <c r="D70" s="544"/>
      <c r="E70" s="544"/>
    </row>
    <row r="71" customFormat="false" ht="15" hidden="false" customHeight="true" outlineLevel="0" collapsed="false">
      <c r="B71" s="541" t="s">
        <v>3475</v>
      </c>
      <c r="D71" s="544"/>
      <c r="E71" s="544"/>
    </row>
    <row r="72" customFormat="false" ht="15" hidden="false" customHeight="true" outlineLevel="0" collapsed="false">
      <c r="B72" s="541" t="s">
        <v>3476</v>
      </c>
      <c r="D72" s="544"/>
      <c r="E72" s="544"/>
    </row>
    <row r="73" customFormat="false" ht="15" hidden="false" customHeight="true" outlineLevel="0" collapsed="false">
      <c r="B73" s="541" t="s">
        <v>3477</v>
      </c>
      <c r="D73" s="544"/>
      <c r="E73" s="544"/>
    </row>
    <row r="74" customFormat="false" ht="15" hidden="false" customHeight="true" outlineLevel="0" collapsed="false">
      <c r="B74" s="541" t="s">
        <v>3478</v>
      </c>
      <c r="D74" s="544"/>
      <c r="E74" s="544"/>
    </row>
    <row r="76" customFormat="false" ht="15" hidden="false" customHeight="true" outlineLevel="0" collapsed="false">
      <c r="B76" s="117" t="s">
        <v>3479</v>
      </c>
      <c r="C76" s="197"/>
      <c r="D76" s="197"/>
      <c r="E76" s="197"/>
    </row>
    <row r="77" customFormat="false" ht="15" hidden="false" customHeight="true" outlineLevel="0" collapsed="false">
      <c r="B77" s="549" t="s">
        <v>3480</v>
      </c>
    </row>
    <row r="78" customFormat="false" ht="15" hidden="false" customHeight="true" outlineLevel="0" collapsed="false">
      <c r="C78" s="544"/>
      <c r="D78" s="544"/>
      <c r="E78" s="544"/>
    </row>
    <row r="79" customFormat="false" ht="15" hidden="false" customHeight="true" outlineLevel="0" collapsed="false">
      <c r="C79" s="544"/>
      <c r="D79" s="544"/>
      <c r="E79" s="544"/>
    </row>
    <row r="80" customFormat="false" ht="15" hidden="false" customHeight="true" outlineLevel="0" collapsed="false">
      <c r="C80" s="544"/>
      <c r="D80" s="544"/>
      <c r="E80" s="544"/>
    </row>
    <row r="81" customFormat="false" ht="15" hidden="false" customHeight="true" outlineLevel="0" collapsed="false">
      <c r="C81" s="544"/>
      <c r="D81" s="544"/>
      <c r="E81" s="544"/>
    </row>
    <row r="83" customFormat="false" ht="15" hidden="false" customHeight="true" outlineLevel="0" collapsed="false">
      <c r="B83" s="117" t="s">
        <v>3481</v>
      </c>
      <c r="C83" s="197"/>
      <c r="D83" s="197"/>
      <c r="E83" s="197"/>
    </row>
    <row r="84" customFormat="false" ht="15" hidden="false" customHeight="true" outlineLevel="0" collapsed="false">
      <c r="B84" s="541" t="s">
        <v>3482</v>
      </c>
      <c r="C84" s="515"/>
      <c r="D84" s="544"/>
      <c r="E84" s="562"/>
    </row>
    <row r="85" customFormat="false" ht="15" hidden="false" customHeight="true" outlineLevel="0" collapsed="false">
      <c r="B85" s="541" t="s">
        <v>3483</v>
      </c>
      <c r="C85" s="515"/>
      <c r="D85" s="544"/>
      <c r="E85" s="562"/>
    </row>
    <row r="86" customFormat="false" ht="15" hidden="false" customHeight="true" outlineLevel="0" collapsed="false">
      <c r="B86" s="541" t="s">
        <v>3484</v>
      </c>
      <c r="C86" s="515"/>
      <c r="D86" s="544"/>
      <c r="E86" s="562"/>
    </row>
    <row r="87" customFormat="false" ht="15" hidden="false" customHeight="true" outlineLevel="0" collapsed="false">
      <c r="B87" s="541" t="s">
        <v>3485</v>
      </c>
      <c r="C87" s="515"/>
      <c r="D87" s="544"/>
      <c r="E87" s="562"/>
    </row>
    <row r="89" customFormat="false" ht="15" hidden="false" customHeight="true" outlineLevel="0" collapsed="false">
      <c r="B89" s="117" t="s">
        <v>3486</v>
      </c>
      <c r="C89" s="197"/>
      <c r="D89" s="197"/>
      <c r="E89" s="197"/>
    </row>
    <row r="90" customFormat="false" ht="15" hidden="false" customHeight="true" outlineLevel="0" collapsed="false">
      <c r="B90" s="549" t="s">
        <v>3487</v>
      </c>
    </row>
    <row r="92" customFormat="false" ht="15.75" hidden="false" customHeight="true" outlineLevel="0" collapsed="false">
      <c r="B92" s="541" t="s">
        <v>3488</v>
      </c>
      <c r="D92" s="563"/>
      <c r="E92" s="563"/>
    </row>
    <row r="93" customFormat="false" ht="15" hidden="false" customHeight="true" outlineLevel="0" collapsed="false">
      <c r="B93" s="541" t="s">
        <v>3489</v>
      </c>
      <c r="D93" s="564"/>
      <c r="E93" s="564"/>
    </row>
    <row r="94" customFormat="false" ht="15" hidden="false" customHeight="true" outlineLevel="0" collapsed="false">
      <c r="B94" s="541" t="s">
        <v>3418</v>
      </c>
      <c r="D94" s="544"/>
      <c r="E94" s="544"/>
    </row>
    <row r="95" customFormat="false" ht="15" hidden="false" customHeight="true" outlineLevel="0" collapsed="false">
      <c r="B95" s="541" t="s">
        <v>3490</v>
      </c>
      <c r="D95" s="544"/>
      <c r="E95" s="544"/>
    </row>
    <row r="96" customFormat="false" ht="15" hidden="false" customHeight="true" outlineLevel="0" collapsed="false">
      <c r="B96" s="541" t="s">
        <v>3491</v>
      </c>
      <c r="D96" s="515"/>
      <c r="E96" s="515"/>
    </row>
  </sheetData>
  <mergeCells count="19">
    <mergeCell ref="D6:E6"/>
    <mergeCell ref="D7:E7"/>
    <mergeCell ref="D8:E8"/>
    <mergeCell ref="D9:E9"/>
    <mergeCell ref="D10:E10"/>
    <mergeCell ref="D11:E11"/>
    <mergeCell ref="D12:E12"/>
    <mergeCell ref="D13:E13"/>
    <mergeCell ref="D16:E16"/>
    <mergeCell ref="D17:E17"/>
    <mergeCell ref="D18:E18"/>
    <mergeCell ref="D19:E19"/>
    <mergeCell ref="D20:E20"/>
    <mergeCell ref="D21:E21"/>
    <mergeCell ref="D22:E22"/>
    <mergeCell ref="C78:E78"/>
    <mergeCell ref="C79:E79"/>
    <mergeCell ref="C80:E80"/>
    <mergeCell ref="C81:E81"/>
  </mergeCells>
  <dataValidations count="2">
    <dataValidation allowBlank="true" errorStyle="stop" operator="between" showDropDown="false" showErrorMessage="true" showInputMessage="true" sqref="D73 D85 D87" type="list">
      <formula1>"Yes,No"</formula1>
      <formula2>0</formula2>
    </dataValidation>
    <dataValidation allowBlank="true" errorStyle="stop" operator="between" prompt="Select the project delivery method." promptTitle="Delivery Method" showDropDown="false" showErrorMessage="true" showInputMessage="true" sqref="D9" type="list">
      <formula1>"Design-Bid-Build (Lump Sum),Design-Build (DB),Progressive Design-Build,CM-at-Risk / Guaranteed Maximum Price (GMP),CM Agency (CMA),Integrated Project Delivery (IPD),EPC (Engineer-Procure-Construct)"</formula1>
      <formula2>0</formula2>
    </dataValidation>
  </dataValidations>
  <printOptions headings="false" gridLines="false" gridLinesSet="true" horizontalCentered="true" verticalCentered="false"/>
  <pageMargins left="0.5" right="0.5" top="0.597222222222222" bottom="0.597222222222222" header="0.25" footer="0.25"/>
  <pageSetup paperSize="1" scale="100" fitToWidth="1" fitToHeight="0" pageOrder="downThenOver" orientation="portrait" blackAndWhite="false" draft="false" cellComments="none" horizontalDpi="300" verticalDpi="300" copies="1"/>
  <headerFooter differentFirst="false" differentOddEven="false">
    <oddHeader>&amp;R&amp;D</oddHeader>
    <oddFooter>&amp;CGC Bid Form  —  Confidential  —  Page &amp;P of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8C8C"/>
    <pageSetUpPr fitToPage="true"/>
  </sheetPr>
  <dimension ref="A1:J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C35" activeCellId="0" sqref="C35"/>
    </sheetView>
  </sheetViews>
  <sheetFormatPr defaultColWidth="8.57421875" defaultRowHeight="15" zeroHeight="false" outlineLevelRow="0" outlineLevelCol="0"/>
  <cols>
    <col collapsed="false" customWidth="true" hidden="false" outlineLevel="0" max="1" min="1" style="1" width="5.28"/>
    <col collapsed="false" customWidth="true" hidden="false" outlineLevel="0" max="2" min="2" style="1" width="44.71"/>
    <col collapsed="false" customWidth="true" hidden="false" outlineLevel="0" max="3" min="3" style="1" width="20.57"/>
    <col collapsed="false" customWidth="true" hidden="false" outlineLevel="0" max="7" min="4" style="1" width="17.14"/>
    <col collapsed="false" customWidth="true" hidden="false" outlineLevel="0" max="8" min="8" style="1" width="19.86"/>
    <col collapsed="false" customWidth="true" hidden="false" outlineLevel="0" max="9" min="9" style="1" width="15.57"/>
    <col collapsed="false" customWidth="true" hidden="false" outlineLevel="0" max="10" min="10" style="1" width="36.14"/>
    <col collapsed="false" customWidth="true" hidden="false" outlineLevel="0" max="11" min="11" style="1" width="47.57"/>
  </cols>
  <sheetData>
    <row r="1" customFormat="false" ht="27.75" hidden="false" customHeight="true" outlineLevel="0" collapsed="false">
      <c r="A1" s="565" t="s">
        <v>3492</v>
      </c>
      <c r="B1" s="566"/>
      <c r="C1" s="566"/>
      <c r="D1" s="566"/>
      <c r="E1" s="566"/>
      <c r="F1" s="566"/>
      <c r="G1" s="566"/>
      <c r="H1" s="566"/>
      <c r="I1" s="566"/>
      <c r="J1" s="566"/>
    </row>
    <row r="2" customFormat="false" ht="15" hidden="false" customHeight="true" outlineLevel="0" collapsed="false">
      <c r="A2" s="567" t="s">
        <v>3493</v>
      </c>
    </row>
    <row r="3" customFormat="false" ht="15" hidden="false" customHeight="true" outlineLevel="0" collapsed="false"/>
    <row r="4" customFormat="false" ht="15" hidden="false" customHeight="true" outlineLevel="0" collapsed="false">
      <c r="A4" s="364" t="s">
        <v>3494</v>
      </c>
      <c r="B4" s="149"/>
      <c r="C4" s="149"/>
      <c r="D4" s="149"/>
      <c r="E4" s="149"/>
      <c r="F4" s="149"/>
      <c r="G4" s="149"/>
      <c r="H4" s="149"/>
      <c r="I4" s="149"/>
      <c r="J4" s="149"/>
    </row>
    <row r="5" customFormat="false" ht="15" hidden="false" customHeight="true" outlineLevel="0" collapsed="false"/>
    <row r="6" customFormat="false" ht="15" hidden="false" customHeight="true" outlineLevel="0" collapsed="false">
      <c r="A6" s="568" t="s">
        <v>3495</v>
      </c>
      <c r="B6" s="569"/>
      <c r="C6" s="568" t="s">
        <v>3496</v>
      </c>
      <c r="D6" s="569"/>
      <c r="E6" s="568" t="s">
        <v>3497</v>
      </c>
      <c r="F6" s="569"/>
      <c r="G6" s="568" t="s">
        <v>3498</v>
      </c>
      <c r="H6" s="569"/>
      <c r="I6" s="568" t="s">
        <v>3499</v>
      </c>
      <c r="J6" s="570"/>
    </row>
    <row r="7" customFormat="false" ht="21.75" hidden="false" customHeight="true" outlineLevel="0" collapsed="false">
      <c r="A7" s="571" t="str">
        <f aca="false">IF(MAX($D$37:$G$37)=0,"— enter bids",INDEX($D$12:$G$12,MATCH(_xlfn.MINIFS($D$37:$G$37,$D$37:$G$37,"&gt;0"),$D$37:$G$37,0)))</f>
        <v>— enter bids</v>
      </c>
      <c r="B7" s="572"/>
      <c r="C7" s="573" t="n">
        <f aca="false">IF(MAX($D$37:$G$37)=0,0,_xlfn.MINIFS($D$37:$G$37,$D$37:$G$37,"&gt;0"))</f>
        <v>0</v>
      </c>
      <c r="D7" s="572"/>
      <c r="E7" s="574" t="n">
        <f aca="false">IF($C$7=0,0,$C$37-$C$7)</f>
        <v>0</v>
      </c>
      <c r="F7" s="572"/>
      <c r="G7" s="573" t="n">
        <f aca="false">$C$37</f>
        <v>1088341827.06739</v>
      </c>
      <c r="H7" s="572"/>
      <c r="I7" s="575" t="n">
        <f aca="false">COUNTIF($D$37:$G$37,"&gt;0")</f>
        <v>0</v>
      </c>
      <c r="J7" s="576"/>
    </row>
    <row r="8" customFormat="false" ht="15" hidden="false" customHeight="true" outlineLevel="0" collapsed="false"/>
    <row r="9" customFormat="false" ht="15" hidden="false" customHeight="true" outlineLevel="0" collapsed="false"/>
    <row r="10" customFormat="false" ht="15.75" hidden="false" customHeight="true" outlineLevel="0" collapsed="false">
      <c r="A10" s="364" t="s">
        <v>3500</v>
      </c>
      <c r="B10" s="149"/>
      <c r="C10" s="149"/>
      <c r="D10" s="149"/>
      <c r="E10" s="149"/>
      <c r="F10" s="149"/>
      <c r="G10" s="149"/>
      <c r="H10" s="149"/>
      <c r="I10" s="149"/>
      <c r="J10" s="149"/>
    </row>
    <row r="11" customFormat="false" ht="15" hidden="false" customHeight="true" outlineLevel="0" collapsed="false"/>
    <row r="12" customFormat="false" ht="43.5" hidden="false" customHeight="true" outlineLevel="0" collapsed="false">
      <c r="A12" s="577" t="s">
        <v>266</v>
      </c>
      <c r="B12" s="578" t="s">
        <v>3453</v>
      </c>
      <c r="C12" s="579" t="s">
        <v>3501</v>
      </c>
      <c r="D12" s="580" t="s">
        <v>3502</v>
      </c>
      <c r="E12" s="580" t="s">
        <v>3503</v>
      </c>
      <c r="F12" s="580" t="s">
        <v>3504</v>
      </c>
      <c r="G12" s="580" t="s">
        <v>3505</v>
      </c>
      <c r="H12" s="579" t="s">
        <v>3506</v>
      </c>
      <c r="I12" s="579" t="s">
        <v>3507</v>
      </c>
      <c r="J12" s="581" t="s">
        <v>1921</v>
      </c>
    </row>
    <row r="13" customFormat="false" ht="15" hidden="false" customHeight="true" outlineLevel="0" collapsed="false">
      <c r="A13" s="582" t="n">
        <v>1</v>
      </c>
      <c r="B13" s="20" t="s">
        <v>3508</v>
      </c>
      <c r="C13" s="583" t="n">
        <f aca="false">'Construction Budget'!H58</f>
        <v>42983030.6038756</v>
      </c>
      <c r="D13" s="583" t="str">
        <f aca="false">IF('GC Bid Form'!$D$16&lt;&gt;D$12,"",IFERROR(INDEX('GC Bid Form'!$D$27:$D$50,MATCH($B13,'GC Bid Form'!$C$27:$C$50,0)),""))</f>
        <v/>
      </c>
      <c r="E13" s="583" t="str">
        <f aca="false">IF('GC Bid Form'!$D$16&lt;&gt;E$12,"",IFERROR(INDEX('GC Bid Form'!$D$27:$D$50,MATCH($B13,'GC Bid Form'!$C$27:$C$50,0)),""))</f>
        <v/>
      </c>
      <c r="F13" s="583" t="str">
        <f aca="false">IF('GC Bid Form'!$D$16&lt;&gt;F$12,"",IFERROR(INDEX('GC Bid Form'!$D$27:$D$50,MATCH($B13,'GC Bid Form'!$C$27:$C$50,0)),""))</f>
        <v/>
      </c>
      <c r="G13" s="583" t="str">
        <f aca="false">IF('GC Bid Form'!$D$16&lt;&gt;G$12,"",IFERROR(INDEX('GC Bid Form'!$D$27:$D$50,MATCH($B13,'GC Bid Form'!$C$27:$C$50,0)),""))</f>
        <v/>
      </c>
      <c r="H13" s="350" t="str">
        <f aca="false">IF(COUNT(D13:G13)=0,"",MIN(D13:G13))</f>
        <v/>
      </c>
      <c r="I13" s="584" t="str">
        <f aca="false">IF(OR($H13="",$C13=0),"",($H13-$C13)/$C13)</f>
        <v/>
      </c>
      <c r="J13" s="585"/>
    </row>
    <row r="14" customFormat="false" ht="15" hidden="false" customHeight="true" outlineLevel="0" collapsed="false">
      <c r="A14" s="586" t="n">
        <v>2</v>
      </c>
      <c r="B14" s="260" t="s">
        <v>3509</v>
      </c>
      <c r="C14" s="587" t="n">
        <f aca="false">'Construction Budget'!H75</f>
        <v>47367292.5</v>
      </c>
      <c r="D14" s="587" t="str">
        <f aca="false">IF('GC Bid Form'!$D$16&lt;&gt;D$12,"",IFERROR(INDEX('GC Bid Form'!$D$27:$D$50,MATCH($B14,'GC Bid Form'!$C$27:$C$50,0)),""))</f>
        <v/>
      </c>
      <c r="E14" s="587" t="str">
        <f aca="false">IF('GC Bid Form'!$D$16&lt;&gt;E$12,"",IFERROR(INDEX('GC Bid Form'!$D$27:$D$50,MATCH($B14,'GC Bid Form'!$C$27:$C$50,0)),""))</f>
        <v/>
      </c>
      <c r="F14" s="587" t="str">
        <f aca="false">IF('GC Bid Form'!$D$16&lt;&gt;F$12,"",IFERROR(INDEX('GC Bid Form'!$D$27:$D$50,MATCH($B14,'GC Bid Form'!$C$27:$C$50,0)),""))</f>
        <v/>
      </c>
      <c r="G14" s="587" t="str">
        <f aca="false">IF('GC Bid Form'!$D$16&lt;&gt;G$12,"",IFERROR(INDEX('GC Bid Form'!$D$27:$D$50,MATCH($B14,'GC Bid Form'!$C$27:$C$50,0)),""))</f>
        <v/>
      </c>
      <c r="H14" s="355" t="str">
        <f aca="false">IF(COUNT(D14:G14)=0,"",MIN(D14:G14))</f>
        <v/>
      </c>
      <c r="I14" s="588" t="str">
        <f aca="false">IF(OR($H14="",$C14=0),"",($H14-$C14)/$C14)</f>
        <v/>
      </c>
      <c r="J14" s="589"/>
    </row>
    <row r="15" customFormat="false" ht="15" hidden="false" customHeight="true" outlineLevel="0" collapsed="false">
      <c r="A15" s="582" t="n">
        <v>3</v>
      </c>
      <c r="B15" s="20" t="s">
        <v>3510</v>
      </c>
      <c r="C15" s="583" t="n">
        <f aca="false">'Construction Budget'!H112</f>
        <v>33466040.3875851</v>
      </c>
      <c r="D15" s="583" t="str">
        <f aca="false">IF('GC Bid Form'!$D$16&lt;&gt;D$12,"",IFERROR(INDEX('GC Bid Form'!$D$27:$D$50,MATCH($B15,'GC Bid Form'!$C$27:$C$50,0)),""))</f>
        <v/>
      </c>
      <c r="E15" s="583" t="str">
        <f aca="false">IF('GC Bid Form'!$D$16&lt;&gt;E$12,"",IFERROR(INDEX('GC Bid Form'!$D$27:$D$50,MATCH($B15,'GC Bid Form'!$C$27:$C$50,0)),""))</f>
        <v/>
      </c>
      <c r="F15" s="583" t="str">
        <f aca="false">IF('GC Bid Form'!$D$16&lt;&gt;F$12,"",IFERROR(INDEX('GC Bid Form'!$D$27:$D$50,MATCH($B15,'GC Bid Form'!$C$27:$C$50,0)),""))</f>
        <v/>
      </c>
      <c r="G15" s="583" t="str">
        <f aca="false">IF('GC Bid Form'!$D$16&lt;&gt;G$12,"",IFERROR(INDEX('GC Bid Form'!$D$27:$D$50,MATCH($B15,'GC Bid Form'!$C$27:$C$50,0)),""))</f>
        <v/>
      </c>
      <c r="H15" s="350" t="str">
        <f aca="false">IF(COUNT(D15:G15)=0,"",MIN(D15:G15))</f>
        <v/>
      </c>
      <c r="I15" s="584" t="str">
        <f aca="false">IF(OR($H15="",$C15=0),"",($H15-$C15)/$C15)</f>
        <v/>
      </c>
      <c r="J15" s="585"/>
    </row>
    <row r="16" customFormat="false" ht="15" hidden="false" customHeight="true" outlineLevel="0" collapsed="false">
      <c r="A16" s="586" t="n">
        <v>4</v>
      </c>
      <c r="B16" s="260" t="s">
        <v>3511</v>
      </c>
      <c r="C16" s="587" t="n">
        <f aca="false">'Construction Budget'!H126</f>
        <v>5656068</v>
      </c>
      <c r="D16" s="587" t="str">
        <f aca="false">IF('GC Bid Form'!$D$16&lt;&gt;D$12,"",IFERROR(INDEX('GC Bid Form'!$D$27:$D$50,MATCH($B16,'GC Bid Form'!$C$27:$C$50,0)),""))</f>
        <v/>
      </c>
      <c r="E16" s="587" t="str">
        <f aca="false">IF('GC Bid Form'!$D$16&lt;&gt;E$12,"",IFERROR(INDEX('GC Bid Form'!$D$27:$D$50,MATCH($B16,'GC Bid Form'!$C$27:$C$50,0)),""))</f>
        <v/>
      </c>
      <c r="F16" s="587" t="str">
        <f aca="false">IF('GC Bid Form'!$D$16&lt;&gt;F$12,"",IFERROR(INDEX('GC Bid Form'!$D$27:$D$50,MATCH($B16,'GC Bid Form'!$C$27:$C$50,0)),""))</f>
        <v/>
      </c>
      <c r="G16" s="587" t="str">
        <f aca="false">IF('GC Bid Form'!$D$16&lt;&gt;G$12,"",IFERROR(INDEX('GC Bid Form'!$D$27:$D$50,MATCH($B16,'GC Bid Form'!$C$27:$C$50,0)),""))</f>
        <v/>
      </c>
      <c r="H16" s="355" t="str">
        <f aca="false">IF(COUNT(D16:G16)=0,"",MIN(D16:G16))</f>
        <v/>
      </c>
      <c r="I16" s="588" t="str">
        <f aca="false">IF(OR($H16="",$C16=0),"",($H16-$C16)/$C16)</f>
        <v/>
      </c>
      <c r="J16" s="589"/>
    </row>
    <row r="17" customFormat="false" ht="15" hidden="false" customHeight="true" outlineLevel="0" collapsed="false">
      <c r="A17" s="582" t="n">
        <v>5</v>
      </c>
      <c r="B17" s="20" t="s">
        <v>3512</v>
      </c>
      <c r="C17" s="583" t="n">
        <f aca="false">'Construction Budget'!H164</f>
        <v>40836399.7619533</v>
      </c>
      <c r="D17" s="583" t="str">
        <f aca="false">IF('GC Bid Form'!$D$16&lt;&gt;D$12,"",IFERROR(INDEX('GC Bid Form'!$D$27:$D$50,MATCH($B17,'GC Bid Form'!$C$27:$C$50,0)),""))</f>
        <v/>
      </c>
      <c r="E17" s="583" t="str">
        <f aca="false">IF('GC Bid Form'!$D$16&lt;&gt;E$12,"",IFERROR(INDEX('GC Bid Form'!$D$27:$D$50,MATCH($B17,'GC Bid Form'!$C$27:$C$50,0)),""))</f>
        <v/>
      </c>
      <c r="F17" s="583" t="str">
        <f aca="false">IF('GC Bid Form'!$D$16&lt;&gt;F$12,"",IFERROR(INDEX('GC Bid Form'!$D$27:$D$50,MATCH($B17,'GC Bid Form'!$C$27:$C$50,0)),""))</f>
        <v/>
      </c>
      <c r="G17" s="583" t="str">
        <f aca="false">IF('GC Bid Form'!$D$16&lt;&gt;G$12,"",IFERROR(INDEX('GC Bid Form'!$D$27:$D$50,MATCH($B17,'GC Bid Form'!$C$27:$C$50,0)),""))</f>
        <v/>
      </c>
      <c r="H17" s="350" t="str">
        <f aca="false">IF(COUNT(D17:G17)=0,"",MIN(D17:G17))</f>
        <v/>
      </c>
      <c r="I17" s="584" t="str">
        <f aca="false">IF(OR($H17="",$C17=0),"",($H17-$C17)/$C17)</f>
        <v/>
      </c>
      <c r="J17" s="585"/>
    </row>
    <row r="18" customFormat="false" ht="15" hidden="false" customHeight="true" outlineLevel="0" collapsed="false">
      <c r="A18" s="586" t="n">
        <v>6</v>
      </c>
      <c r="B18" s="260" t="s">
        <v>3513</v>
      </c>
      <c r="C18" s="587" t="n">
        <f aca="false">'Construction Budget'!H174</f>
        <v>1233678.6</v>
      </c>
      <c r="D18" s="587" t="str">
        <f aca="false">IF('GC Bid Form'!$D$16&lt;&gt;D$12,"",IFERROR(INDEX('GC Bid Form'!$D$27:$D$50,MATCH($B18,'GC Bid Form'!$C$27:$C$50,0)),""))</f>
        <v/>
      </c>
      <c r="E18" s="587" t="str">
        <f aca="false">IF('GC Bid Form'!$D$16&lt;&gt;E$12,"",IFERROR(INDEX('GC Bid Form'!$D$27:$D$50,MATCH($B18,'GC Bid Form'!$C$27:$C$50,0)),""))</f>
        <v/>
      </c>
      <c r="F18" s="587" t="str">
        <f aca="false">IF('GC Bid Form'!$D$16&lt;&gt;F$12,"",IFERROR(INDEX('GC Bid Form'!$D$27:$D$50,MATCH($B18,'GC Bid Form'!$C$27:$C$50,0)),""))</f>
        <v/>
      </c>
      <c r="G18" s="587" t="str">
        <f aca="false">IF('GC Bid Form'!$D$16&lt;&gt;G$12,"",IFERROR(INDEX('GC Bid Form'!$D$27:$D$50,MATCH($B18,'GC Bid Form'!$C$27:$C$50,0)),""))</f>
        <v/>
      </c>
      <c r="H18" s="355" t="str">
        <f aca="false">IF(COUNT(D18:G18)=0,"",MIN(D18:G18))</f>
        <v/>
      </c>
      <c r="I18" s="588" t="str">
        <f aca="false">IF(OR($H18="",$C18=0),"",($H18-$C18)/$C18)</f>
        <v/>
      </c>
      <c r="J18" s="589"/>
    </row>
    <row r="19" customFormat="false" ht="15" hidden="false" customHeight="true" outlineLevel="0" collapsed="false">
      <c r="A19" s="582" t="n">
        <v>7</v>
      </c>
      <c r="B19" s="20" t="s">
        <v>3514</v>
      </c>
      <c r="C19" s="583" t="n">
        <f aca="false">'Construction Budget'!H212</f>
        <v>38165650.875</v>
      </c>
      <c r="D19" s="583" t="str">
        <f aca="false">IF('GC Bid Form'!$D$16&lt;&gt;D$12,"",IFERROR(INDEX('GC Bid Form'!$D$27:$D$50,MATCH($B19,'GC Bid Form'!$C$27:$C$50,0)),""))</f>
        <v/>
      </c>
      <c r="E19" s="583" t="str">
        <f aca="false">IF('GC Bid Form'!$D$16&lt;&gt;E$12,"",IFERROR(INDEX('GC Bid Form'!$D$27:$D$50,MATCH($B19,'GC Bid Form'!$C$27:$C$50,0)),""))</f>
        <v/>
      </c>
      <c r="F19" s="583" t="str">
        <f aca="false">IF('GC Bid Form'!$D$16&lt;&gt;F$12,"",IFERROR(INDEX('GC Bid Form'!$D$27:$D$50,MATCH($B19,'GC Bid Form'!$C$27:$C$50,0)),""))</f>
        <v/>
      </c>
      <c r="G19" s="583" t="str">
        <f aca="false">IF('GC Bid Form'!$D$16&lt;&gt;G$12,"",IFERROR(INDEX('GC Bid Form'!$D$27:$D$50,MATCH($B19,'GC Bid Form'!$C$27:$C$50,0)),""))</f>
        <v/>
      </c>
      <c r="H19" s="350" t="str">
        <f aca="false">IF(COUNT(D19:G19)=0,"",MIN(D19:G19))</f>
        <v/>
      </c>
      <c r="I19" s="584" t="str">
        <f aca="false">IF(OR($H19="",$C19=0),"",($H19-$C19)/$C19)</f>
        <v/>
      </c>
      <c r="J19" s="585"/>
    </row>
    <row r="20" customFormat="false" ht="15" hidden="false" customHeight="true" outlineLevel="0" collapsed="false">
      <c r="A20" s="586" t="n">
        <v>8</v>
      </c>
      <c r="B20" s="260" t="s">
        <v>3515</v>
      </c>
      <c r="C20" s="587" t="n">
        <f aca="false">'Construction Budget'!H239</f>
        <v>13742209.9773727</v>
      </c>
      <c r="D20" s="587" t="str">
        <f aca="false">IF('GC Bid Form'!$D$16&lt;&gt;D$12,"",IFERROR(INDEX('GC Bid Form'!$D$27:$D$50,MATCH($B20,'GC Bid Form'!$C$27:$C$50,0)),""))</f>
        <v/>
      </c>
      <c r="E20" s="587" t="str">
        <f aca="false">IF('GC Bid Form'!$D$16&lt;&gt;E$12,"",IFERROR(INDEX('GC Bid Form'!$D$27:$D$50,MATCH($B20,'GC Bid Form'!$C$27:$C$50,0)),""))</f>
        <v/>
      </c>
      <c r="F20" s="587" t="str">
        <f aca="false">IF('GC Bid Form'!$D$16&lt;&gt;F$12,"",IFERROR(INDEX('GC Bid Form'!$D$27:$D$50,MATCH($B20,'GC Bid Form'!$C$27:$C$50,0)),""))</f>
        <v/>
      </c>
      <c r="G20" s="587" t="str">
        <f aca="false">IF('GC Bid Form'!$D$16&lt;&gt;G$12,"",IFERROR(INDEX('GC Bid Form'!$D$27:$D$50,MATCH($B20,'GC Bid Form'!$C$27:$C$50,0)),""))</f>
        <v/>
      </c>
      <c r="H20" s="355" t="str">
        <f aca="false">IF(COUNT(D20:G20)=0,"",MIN(D20:G20))</f>
        <v/>
      </c>
      <c r="I20" s="588" t="str">
        <f aca="false">IF(OR($H20="",$C20=0),"",($H20-$C20)/$C20)</f>
        <v/>
      </c>
      <c r="J20" s="589"/>
    </row>
    <row r="21" customFormat="false" ht="15.75" hidden="false" customHeight="true" outlineLevel="0" collapsed="false">
      <c r="A21" s="582" t="n">
        <v>9</v>
      </c>
      <c r="B21" s="20" t="s">
        <v>3516</v>
      </c>
      <c r="C21" s="583" t="n">
        <f aca="false">'Construction Budget'!H272</f>
        <v>33189552</v>
      </c>
      <c r="D21" s="583" t="str">
        <f aca="false">IF('GC Bid Form'!$D$16&lt;&gt;D$12,"",IFERROR(INDEX('GC Bid Form'!$D$27:$D$50,MATCH($B21,'GC Bid Form'!$C$27:$C$50,0)),""))</f>
        <v/>
      </c>
      <c r="E21" s="583" t="str">
        <f aca="false">IF('GC Bid Form'!$D$16&lt;&gt;E$12,"",IFERROR(INDEX('GC Bid Form'!$D$27:$D$50,MATCH($B21,'GC Bid Form'!$C$27:$C$50,0)),""))</f>
        <v/>
      </c>
      <c r="F21" s="583" t="str">
        <f aca="false">IF('GC Bid Form'!$D$16&lt;&gt;F$12,"",IFERROR(INDEX('GC Bid Form'!$D$27:$D$50,MATCH($B21,'GC Bid Form'!$C$27:$C$50,0)),""))</f>
        <v/>
      </c>
      <c r="G21" s="583" t="str">
        <f aca="false">IF('GC Bid Form'!$D$16&lt;&gt;G$12,"",IFERROR(INDEX('GC Bid Form'!$D$27:$D$50,MATCH($B21,'GC Bid Form'!$C$27:$C$50,0)),""))</f>
        <v/>
      </c>
      <c r="H21" s="350" t="str">
        <f aca="false">IF(COUNT(D21:G21)=0,"",MIN(D21:G21))</f>
        <v/>
      </c>
      <c r="I21" s="584" t="str">
        <f aca="false">IF(OR($H21="",$C21=0),"",($H21-$C21)/$C21)</f>
        <v/>
      </c>
      <c r="J21" s="585"/>
    </row>
    <row r="22" customFormat="false" ht="15" hidden="false" customHeight="true" outlineLevel="0" collapsed="false">
      <c r="A22" s="586" t="n">
        <v>10</v>
      </c>
      <c r="B22" s="260" t="s">
        <v>3517</v>
      </c>
      <c r="C22" s="587" t="n">
        <f aca="false">'Construction Budget'!H292</f>
        <v>4010233.425</v>
      </c>
      <c r="D22" s="587" t="str">
        <f aca="false">IF('GC Bid Form'!$D$16&lt;&gt;D$12,"",IFERROR(INDEX('GC Bid Form'!$D$27:$D$50,MATCH($B22,'GC Bid Form'!$C$27:$C$50,0)),""))</f>
        <v/>
      </c>
      <c r="E22" s="587" t="str">
        <f aca="false">IF('GC Bid Form'!$D$16&lt;&gt;E$12,"",IFERROR(INDEX('GC Bid Form'!$D$27:$D$50,MATCH($B22,'GC Bid Form'!$C$27:$C$50,0)),""))</f>
        <v/>
      </c>
      <c r="F22" s="587" t="str">
        <f aca="false">IF('GC Bid Form'!$D$16&lt;&gt;F$12,"",IFERROR(INDEX('GC Bid Form'!$D$27:$D$50,MATCH($B22,'GC Bid Form'!$C$27:$C$50,0)),""))</f>
        <v/>
      </c>
      <c r="G22" s="587" t="str">
        <f aca="false">IF('GC Bid Form'!$D$16&lt;&gt;G$12,"",IFERROR(INDEX('GC Bid Form'!$D$27:$D$50,MATCH($B22,'GC Bid Form'!$C$27:$C$50,0)),""))</f>
        <v/>
      </c>
      <c r="H22" s="355" t="str">
        <f aca="false">IF(COUNT(D22:G22)=0,"",MIN(D22:G22))</f>
        <v/>
      </c>
      <c r="I22" s="588" t="str">
        <f aca="false">IF(OR($H22="",$C22=0),"",($H22-$C22)/$C22)</f>
        <v/>
      </c>
      <c r="J22" s="589"/>
    </row>
    <row r="23" customFormat="false" ht="15" hidden="false" customHeight="true" outlineLevel="0" collapsed="false">
      <c r="A23" s="582" t="n">
        <v>11</v>
      </c>
      <c r="B23" s="20" t="s">
        <v>3518</v>
      </c>
      <c r="C23" s="583" t="n">
        <f aca="false">'Construction Budget'!H305</f>
        <v>1525590</v>
      </c>
      <c r="D23" s="583" t="str">
        <f aca="false">IF('GC Bid Form'!$D$16&lt;&gt;D$12,"",IFERROR(INDEX('GC Bid Form'!$D$27:$D$50,MATCH($B23,'GC Bid Form'!$C$27:$C$50,0)),""))</f>
        <v/>
      </c>
      <c r="E23" s="583" t="str">
        <f aca="false">IF('GC Bid Form'!$D$16&lt;&gt;E$12,"",IFERROR(INDEX('GC Bid Form'!$D$27:$D$50,MATCH($B23,'GC Bid Form'!$C$27:$C$50,0)),""))</f>
        <v/>
      </c>
      <c r="F23" s="583" t="str">
        <f aca="false">IF('GC Bid Form'!$D$16&lt;&gt;F$12,"",IFERROR(INDEX('GC Bid Form'!$D$27:$D$50,MATCH($B23,'GC Bid Form'!$C$27:$C$50,0)),""))</f>
        <v/>
      </c>
      <c r="G23" s="583" t="str">
        <f aca="false">IF('GC Bid Form'!$D$16&lt;&gt;G$12,"",IFERROR(INDEX('GC Bid Form'!$D$27:$D$50,MATCH($B23,'GC Bid Form'!$C$27:$C$50,0)),""))</f>
        <v/>
      </c>
      <c r="H23" s="350" t="str">
        <f aca="false">IF(COUNT(D23:G23)=0,"",MIN(D23:G23))</f>
        <v/>
      </c>
      <c r="I23" s="584" t="str">
        <f aca="false">IF(OR($H23="",$C23=0),"",($H23-$C23)/$C23)</f>
        <v/>
      </c>
      <c r="J23" s="585"/>
    </row>
    <row r="24" customFormat="false" ht="15" hidden="false" customHeight="true" outlineLevel="0" collapsed="false">
      <c r="A24" s="586" t="n">
        <v>12</v>
      </c>
      <c r="B24" s="260" t="s">
        <v>3519</v>
      </c>
      <c r="C24" s="587" t="n">
        <f aca="false">'Construction Budget'!H315</f>
        <v>1217056.5</v>
      </c>
      <c r="D24" s="587" t="str">
        <f aca="false">IF('GC Bid Form'!$D$16&lt;&gt;D$12,"",IFERROR(INDEX('GC Bid Form'!$D$27:$D$50,MATCH($B24,'GC Bid Form'!$C$27:$C$50,0)),""))</f>
        <v/>
      </c>
      <c r="E24" s="587" t="str">
        <f aca="false">IF('GC Bid Form'!$D$16&lt;&gt;E$12,"",IFERROR(INDEX('GC Bid Form'!$D$27:$D$50,MATCH($B24,'GC Bid Form'!$C$27:$C$50,0)),""))</f>
        <v/>
      </c>
      <c r="F24" s="587" t="str">
        <f aca="false">IF('GC Bid Form'!$D$16&lt;&gt;F$12,"",IFERROR(INDEX('GC Bid Form'!$D$27:$D$50,MATCH($B24,'GC Bid Form'!$C$27:$C$50,0)),""))</f>
        <v/>
      </c>
      <c r="G24" s="587" t="str">
        <f aca="false">IF('GC Bid Form'!$D$16&lt;&gt;G$12,"",IFERROR(INDEX('GC Bid Form'!$D$27:$D$50,MATCH($B24,'GC Bid Form'!$C$27:$C$50,0)),""))</f>
        <v/>
      </c>
      <c r="H24" s="355" t="str">
        <f aca="false">IF(COUNT(D24:G24)=0,"",MIN(D24:G24))</f>
        <v/>
      </c>
      <c r="I24" s="588" t="str">
        <f aca="false">IF(OR($H24="",$C24=0),"",($H24-$C24)/$C24)</f>
        <v/>
      </c>
      <c r="J24" s="589"/>
    </row>
    <row r="25" customFormat="false" ht="15" hidden="false" customHeight="true" outlineLevel="0" collapsed="false">
      <c r="A25" s="582" t="n">
        <v>13</v>
      </c>
      <c r="B25" s="20" t="s">
        <v>3520</v>
      </c>
      <c r="C25" s="583" t="n">
        <f aca="false">'Construction Budget'!H324</f>
        <v>4104292.5</v>
      </c>
      <c r="D25" s="583" t="str">
        <f aca="false">IF('GC Bid Form'!$D$16&lt;&gt;D$12,"",IFERROR(INDEX('GC Bid Form'!$D$27:$D$50,MATCH($B25,'GC Bid Form'!$C$27:$C$50,0)),""))</f>
        <v/>
      </c>
      <c r="E25" s="583" t="str">
        <f aca="false">IF('GC Bid Form'!$D$16&lt;&gt;E$12,"",IFERROR(INDEX('GC Bid Form'!$D$27:$D$50,MATCH($B25,'GC Bid Form'!$C$27:$C$50,0)),""))</f>
        <v/>
      </c>
      <c r="F25" s="583" t="str">
        <f aca="false">IF('GC Bid Form'!$D$16&lt;&gt;F$12,"",IFERROR(INDEX('GC Bid Form'!$D$27:$D$50,MATCH($B25,'GC Bid Form'!$C$27:$C$50,0)),""))</f>
        <v/>
      </c>
      <c r="G25" s="583" t="str">
        <f aca="false">IF('GC Bid Form'!$D$16&lt;&gt;G$12,"",IFERROR(INDEX('GC Bid Form'!$D$27:$D$50,MATCH($B25,'GC Bid Form'!$C$27:$C$50,0)),""))</f>
        <v/>
      </c>
      <c r="H25" s="350" t="str">
        <f aca="false">IF(COUNT(D25:G25)=0,"",MIN(D25:G25))</f>
        <v/>
      </c>
      <c r="I25" s="584" t="str">
        <f aca="false">IF(OR($H25="",$C25=0),"",($H25-$C25)/$C25)</f>
        <v/>
      </c>
      <c r="J25" s="585"/>
    </row>
    <row r="26" customFormat="false" ht="15" hidden="false" customHeight="true" outlineLevel="0" collapsed="false">
      <c r="A26" s="586" t="n">
        <v>14</v>
      </c>
      <c r="B26" s="260" t="s">
        <v>3521</v>
      </c>
      <c r="C26" s="587" t="n">
        <f aca="false">'Construction Budget'!H359</f>
        <v>22577593.5</v>
      </c>
      <c r="D26" s="587" t="str">
        <f aca="false">IF('GC Bid Form'!$D$16&lt;&gt;D$12,"",IFERROR(INDEX('GC Bid Form'!$D$27:$D$50,MATCH($B26,'GC Bid Form'!$C$27:$C$50,0)),""))</f>
        <v/>
      </c>
      <c r="E26" s="587" t="str">
        <f aca="false">IF('GC Bid Form'!$D$16&lt;&gt;E$12,"",IFERROR(INDEX('GC Bid Form'!$D$27:$D$50,MATCH($B26,'GC Bid Form'!$C$27:$C$50,0)),""))</f>
        <v/>
      </c>
      <c r="F26" s="587" t="str">
        <f aca="false">IF('GC Bid Form'!$D$16&lt;&gt;F$12,"",IFERROR(INDEX('GC Bid Form'!$D$27:$D$50,MATCH($B26,'GC Bid Form'!$C$27:$C$50,0)),""))</f>
        <v/>
      </c>
      <c r="G26" s="587" t="str">
        <f aca="false">IF('GC Bid Form'!$D$16&lt;&gt;G$12,"",IFERROR(INDEX('GC Bid Form'!$D$27:$D$50,MATCH($B26,'GC Bid Form'!$C$27:$C$50,0)),""))</f>
        <v/>
      </c>
      <c r="H26" s="355" t="str">
        <f aca="false">IF(COUNT(D26:G26)=0,"",MIN(D26:G26))</f>
        <v/>
      </c>
      <c r="I26" s="588" t="str">
        <f aca="false">IF(OR($H26="",$C26=0),"",($H26-$C26)/$C26)</f>
        <v/>
      </c>
      <c r="J26" s="589"/>
    </row>
    <row r="27" customFormat="false" ht="15" hidden="false" customHeight="true" outlineLevel="0" collapsed="false">
      <c r="A27" s="582" t="n">
        <v>15</v>
      </c>
      <c r="B27" s="20" t="s">
        <v>3522</v>
      </c>
      <c r="C27" s="583" t="n">
        <f aca="false">'Construction Budget'!H387</f>
        <v>22312498.51875</v>
      </c>
      <c r="D27" s="583" t="str">
        <f aca="false">IF('GC Bid Form'!$D$16&lt;&gt;D$12,"",IFERROR(INDEX('GC Bid Form'!$D$27:$D$50,MATCH($B27,'GC Bid Form'!$C$27:$C$50,0)),""))</f>
        <v/>
      </c>
      <c r="E27" s="583" t="str">
        <f aca="false">IF('GC Bid Form'!$D$16&lt;&gt;E$12,"",IFERROR(INDEX('GC Bid Form'!$D$27:$D$50,MATCH($B27,'GC Bid Form'!$C$27:$C$50,0)),""))</f>
        <v/>
      </c>
      <c r="F27" s="583" t="str">
        <f aca="false">IF('GC Bid Form'!$D$16&lt;&gt;F$12,"",IFERROR(INDEX('GC Bid Form'!$D$27:$D$50,MATCH($B27,'GC Bid Form'!$C$27:$C$50,0)),""))</f>
        <v/>
      </c>
      <c r="G27" s="583" t="str">
        <f aca="false">IF('GC Bid Form'!$D$16&lt;&gt;G$12,"",IFERROR(INDEX('GC Bid Form'!$D$27:$D$50,MATCH($B27,'GC Bid Form'!$C$27:$C$50,0)),""))</f>
        <v/>
      </c>
      <c r="H27" s="350" t="str">
        <f aca="false">IF(COUNT(D27:G27)=0,"",MIN(D27:G27))</f>
        <v/>
      </c>
      <c r="I27" s="584" t="str">
        <f aca="false">IF(OR($H27="",$C27=0),"",($H27-$C27)/$C27)</f>
        <v/>
      </c>
      <c r="J27" s="585"/>
    </row>
    <row r="28" customFormat="false" ht="15" hidden="false" customHeight="true" outlineLevel="0" collapsed="false">
      <c r="A28" s="586" t="n">
        <v>16</v>
      </c>
      <c r="B28" s="260" t="s">
        <v>3523</v>
      </c>
      <c r="C28" s="587" t="n">
        <f aca="false">'Construction Budget'!H495</f>
        <v>226484248.001927</v>
      </c>
      <c r="D28" s="587" t="str">
        <f aca="false">IF('GC Bid Form'!$D$16&lt;&gt;D$12,"",IFERROR(INDEX('GC Bid Form'!$D$27:$D$50,MATCH($B28,'GC Bid Form'!$C$27:$C$50,0)),""))</f>
        <v/>
      </c>
      <c r="E28" s="587" t="str">
        <f aca="false">IF('GC Bid Form'!$D$16&lt;&gt;E$12,"",IFERROR(INDEX('GC Bid Form'!$D$27:$D$50,MATCH($B28,'GC Bid Form'!$C$27:$C$50,0)),""))</f>
        <v/>
      </c>
      <c r="F28" s="587" t="str">
        <f aca="false">IF('GC Bid Form'!$D$16&lt;&gt;F$12,"",IFERROR(INDEX('GC Bid Form'!$D$27:$D$50,MATCH($B28,'GC Bid Form'!$C$27:$C$50,0)),""))</f>
        <v/>
      </c>
      <c r="G28" s="587" t="str">
        <f aca="false">IF('GC Bid Form'!$D$16&lt;&gt;G$12,"",IFERROR(INDEX('GC Bid Form'!$D$27:$D$50,MATCH($B28,'GC Bid Form'!$C$27:$C$50,0)),""))</f>
        <v/>
      </c>
      <c r="H28" s="355" t="str">
        <f aca="false">IF(COUNT(D28:G28)=0,"",MIN(D28:G28))</f>
        <v/>
      </c>
      <c r="I28" s="588" t="str">
        <f aca="false">IF(OR($H28="",$C28=0),"",($H28-$C28)/$C28)</f>
        <v/>
      </c>
      <c r="J28" s="589"/>
    </row>
    <row r="29" customFormat="false" ht="15.75" hidden="false" customHeight="true" outlineLevel="0" collapsed="false">
      <c r="A29" s="582" t="n">
        <v>17</v>
      </c>
      <c r="B29" s="20" t="s">
        <v>3524</v>
      </c>
      <c r="C29" s="583" t="n">
        <f aca="false">'Construction Budget'!H517</f>
        <v>13470732</v>
      </c>
      <c r="D29" s="583" t="str">
        <f aca="false">IF('GC Bid Form'!$D$16&lt;&gt;D$12,"",IFERROR(INDEX('GC Bid Form'!$D$27:$D$50,MATCH($B29,'GC Bid Form'!$C$27:$C$50,0)),""))</f>
        <v/>
      </c>
      <c r="E29" s="583" t="str">
        <f aca="false">IF('GC Bid Form'!$D$16&lt;&gt;E$12,"",IFERROR(INDEX('GC Bid Form'!$D$27:$D$50,MATCH($B29,'GC Bid Form'!$C$27:$C$50,0)),""))</f>
        <v/>
      </c>
      <c r="F29" s="583" t="str">
        <f aca="false">IF('GC Bid Form'!$D$16&lt;&gt;F$12,"",IFERROR(INDEX('GC Bid Form'!$D$27:$D$50,MATCH($B29,'GC Bid Form'!$C$27:$C$50,0)),""))</f>
        <v/>
      </c>
      <c r="G29" s="583" t="str">
        <f aca="false">IF('GC Bid Form'!$D$16&lt;&gt;G$12,"",IFERROR(INDEX('GC Bid Form'!$D$27:$D$50,MATCH($B29,'GC Bid Form'!$C$27:$C$50,0)),""))</f>
        <v/>
      </c>
      <c r="H29" s="350" t="str">
        <f aca="false">IF(COUNT(D29:G29)=0,"",MIN(D29:G29))</f>
        <v/>
      </c>
      <c r="I29" s="584" t="str">
        <f aca="false">IF(OR($H29="",$C29=0),"",($H29-$C29)/$C29)</f>
        <v/>
      </c>
      <c r="J29" s="585"/>
    </row>
    <row r="30" customFormat="false" ht="15.75" hidden="false" customHeight="true" outlineLevel="0" collapsed="false">
      <c r="A30" s="586" t="n">
        <v>18</v>
      </c>
      <c r="B30" s="260" t="s">
        <v>3525</v>
      </c>
      <c r="C30" s="587" t="n">
        <f aca="false">'Construction Budget'!H665</f>
        <v>248147784.950389</v>
      </c>
      <c r="D30" s="587" t="str">
        <f aca="false">IF('GC Bid Form'!$D$16&lt;&gt;D$12,"",IFERROR(INDEX('GC Bid Form'!$D$27:$D$50,MATCH($B30,'GC Bid Form'!$C$27:$C$50,0)),""))</f>
        <v/>
      </c>
      <c r="E30" s="587" t="str">
        <f aca="false">IF('GC Bid Form'!$D$16&lt;&gt;E$12,"",IFERROR(INDEX('GC Bid Form'!$D$27:$D$50,MATCH($B30,'GC Bid Form'!$C$27:$C$50,0)),""))</f>
        <v/>
      </c>
      <c r="F30" s="587" t="str">
        <f aca="false">IF('GC Bid Form'!$D$16&lt;&gt;F$12,"",IFERROR(INDEX('GC Bid Form'!$D$27:$D$50,MATCH($B30,'GC Bid Form'!$C$27:$C$50,0)),""))</f>
        <v/>
      </c>
      <c r="G30" s="587" t="str">
        <f aca="false">IF('GC Bid Form'!$D$16&lt;&gt;G$12,"",IFERROR(INDEX('GC Bid Form'!$D$27:$D$50,MATCH($B30,'GC Bid Form'!$C$27:$C$50,0)),""))</f>
        <v/>
      </c>
      <c r="H30" s="355" t="str">
        <f aca="false">IF(COUNT(D30:G30)=0,"",MIN(D30:G30))</f>
        <v/>
      </c>
      <c r="I30" s="588" t="str">
        <f aca="false">IF(OR($H30="",$C30=0),"",($H30-$C30)/$C30)</f>
        <v/>
      </c>
      <c r="J30" s="589"/>
    </row>
    <row r="31" customFormat="false" ht="15" hidden="false" customHeight="true" outlineLevel="0" collapsed="false">
      <c r="A31" s="582" t="n">
        <v>19</v>
      </c>
      <c r="B31" s="20" t="s">
        <v>3526</v>
      </c>
      <c r="C31" s="583" t="n">
        <f aca="false">'Construction Budget'!H714</f>
        <v>60417387.7013327</v>
      </c>
      <c r="D31" s="583" t="str">
        <f aca="false">IF('GC Bid Form'!$D$16&lt;&gt;D$12,"",IFERROR(INDEX('GC Bid Form'!$D$27:$D$50,MATCH($B31,'GC Bid Form'!$C$27:$C$50,0)),""))</f>
        <v/>
      </c>
      <c r="E31" s="583" t="str">
        <f aca="false">IF('GC Bid Form'!$D$16&lt;&gt;E$12,"",IFERROR(INDEX('GC Bid Form'!$D$27:$D$50,MATCH($B31,'GC Bid Form'!$C$27:$C$50,0)),""))</f>
        <v/>
      </c>
      <c r="F31" s="583" t="str">
        <f aca="false">IF('GC Bid Form'!$D$16&lt;&gt;F$12,"",IFERROR(INDEX('GC Bid Form'!$D$27:$D$50,MATCH($B31,'GC Bid Form'!$C$27:$C$50,0)),""))</f>
        <v/>
      </c>
      <c r="G31" s="583" t="str">
        <f aca="false">IF('GC Bid Form'!$D$16&lt;&gt;G$12,"",IFERROR(INDEX('GC Bid Form'!$D$27:$D$50,MATCH($B31,'GC Bid Form'!$C$27:$C$50,0)),""))</f>
        <v/>
      </c>
      <c r="H31" s="350" t="str">
        <f aca="false">IF(COUNT(D31:G31)=0,"",MIN(D31:G31))</f>
        <v/>
      </c>
      <c r="I31" s="584" t="str">
        <f aca="false">IF(OR($H31="",$C31=0),"",($H31-$C31)/$C31)</f>
        <v/>
      </c>
      <c r="J31" s="585"/>
    </row>
    <row r="32" customFormat="false" ht="15" hidden="false" customHeight="true" outlineLevel="0" collapsed="false">
      <c r="A32" s="586" t="n">
        <v>20</v>
      </c>
      <c r="B32" s="260" t="s">
        <v>3527</v>
      </c>
      <c r="C32" s="587" t="n">
        <f aca="false">'Construction Budget'!H742</f>
        <v>15750753.4249814</v>
      </c>
      <c r="D32" s="587" t="str">
        <f aca="false">IF('GC Bid Form'!$D$16&lt;&gt;D$12,"",IFERROR(INDEX('GC Bid Form'!$D$27:$D$50,MATCH($B32,'GC Bid Form'!$C$27:$C$50,0)),""))</f>
        <v/>
      </c>
      <c r="E32" s="587" t="str">
        <f aca="false">IF('GC Bid Form'!$D$16&lt;&gt;E$12,"",IFERROR(INDEX('GC Bid Form'!$D$27:$D$50,MATCH($B32,'GC Bid Form'!$C$27:$C$50,0)),""))</f>
        <v/>
      </c>
      <c r="F32" s="587" t="str">
        <f aca="false">IF('GC Bid Form'!$D$16&lt;&gt;F$12,"",IFERROR(INDEX('GC Bid Form'!$D$27:$D$50,MATCH($B32,'GC Bid Form'!$C$27:$C$50,0)),""))</f>
        <v/>
      </c>
      <c r="G32" s="587" t="str">
        <f aca="false">IF('GC Bid Form'!$D$16&lt;&gt;G$12,"",IFERROR(INDEX('GC Bid Form'!$D$27:$D$50,MATCH($B32,'GC Bid Form'!$C$27:$C$50,0)),""))</f>
        <v/>
      </c>
      <c r="H32" s="355" t="str">
        <f aca="false">IF(COUNT(D32:G32)=0,"",MIN(D32:G32))</f>
        <v/>
      </c>
      <c r="I32" s="588" t="str">
        <f aca="false">IF(OR($H32="",$C32=0),"",($H32-$C32)/$C32)</f>
        <v/>
      </c>
      <c r="J32" s="589"/>
    </row>
    <row r="33" customFormat="false" ht="15" hidden="false" customHeight="true" outlineLevel="0" collapsed="false">
      <c r="A33" s="582" t="n">
        <v>21</v>
      </c>
      <c r="B33" s="20" t="s">
        <v>3528</v>
      </c>
      <c r="C33" s="583" t="n">
        <f aca="false">'Construction Budget'!H772</f>
        <v>25614732</v>
      </c>
      <c r="D33" s="583" t="str">
        <f aca="false">IF('GC Bid Form'!$D$16&lt;&gt;D$12,"",IFERROR(INDEX('GC Bid Form'!$D$27:$D$50,MATCH($B33,'GC Bid Form'!$C$27:$C$50,0)),""))</f>
        <v/>
      </c>
      <c r="E33" s="583" t="str">
        <f aca="false">IF('GC Bid Form'!$D$16&lt;&gt;E$12,"",IFERROR(INDEX('GC Bid Form'!$D$27:$D$50,MATCH($B33,'GC Bid Form'!$C$27:$C$50,0)),""))</f>
        <v/>
      </c>
      <c r="F33" s="583" t="str">
        <f aca="false">IF('GC Bid Form'!$D$16&lt;&gt;F$12,"",IFERROR(INDEX('GC Bid Form'!$D$27:$D$50,MATCH($B33,'GC Bid Form'!$C$27:$C$50,0)),""))</f>
        <v/>
      </c>
      <c r="G33" s="583" t="str">
        <f aca="false">IF('GC Bid Form'!$D$16&lt;&gt;G$12,"",IFERROR(INDEX('GC Bid Form'!$D$27:$D$50,MATCH($B33,'GC Bid Form'!$C$27:$C$50,0)),""))</f>
        <v/>
      </c>
      <c r="H33" s="350" t="str">
        <f aca="false">IF(COUNT(D33:G33)=0,"",MIN(D33:G33))</f>
        <v/>
      </c>
      <c r="I33" s="584" t="str">
        <f aca="false">IF(OR($H33="",$C33=0),"",($H33-$C33)/$C33)</f>
        <v/>
      </c>
      <c r="J33" s="585"/>
    </row>
    <row r="34" customFormat="false" ht="15" hidden="false" customHeight="true" outlineLevel="0" collapsed="false">
      <c r="A34" s="586" t="n">
        <v>22</v>
      </c>
      <c r="B34" s="260" t="s">
        <v>3529</v>
      </c>
      <c r="C34" s="587" t="n">
        <f aca="false">'Construction Budget'!H792</f>
        <v>9371809.46422509</v>
      </c>
      <c r="D34" s="587" t="str">
        <f aca="false">IF('GC Bid Form'!$D$16&lt;&gt;D$12,"",IFERROR(INDEX('GC Bid Form'!$D$27:$D$50,MATCH($B34,'GC Bid Form'!$C$27:$C$50,0)),""))</f>
        <v/>
      </c>
      <c r="E34" s="587" t="str">
        <f aca="false">IF('GC Bid Form'!$D$16&lt;&gt;E$12,"",IFERROR(INDEX('GC Bid Form'!$D$27:$D$50,MATCH($B34,'GC Bid Form'!$C$27:$C$50,0)),""))</f>
        <v/>
      </c>
      <c r="F34" s="587" t="str">
        <f aca="false">IF('GC Bid Form'!$D$16&lt;&gt;F$12,"",IFERROR(INDEX('GC Bid Form'!$D$27:$D$50,MATCH($B34,'GC Bid Form'!$C$27:$C$50,0)),""))</f>
        <v/>
      </c>
      <c r="G34" s="587" t="str">
        <f aca="false">IF('GC Bid Form'!$D$16&lt;&gt;G$12,"",IFERROR(INDEX('GC Bid Form'!$D$27:$D$50,MATCH($B34,'GC Bid Form'!$C$27:$C$50,0)),""))</f>
        <v/>
      </c>
      <c r="H34" s="355" t="str">
        <f aca="false">IF(COUNT(D34:G34)=0,"",MIN(D34:G34))</f>
        <v/>
      </c>
      <c r="I34" s="588" t="str">
        <f aca="false">IF(OR($H34="",$C34=0),"",($H34-$C34)/$C34)</f>
        <v/>
      </c>
      <c r="J34" s="589"/>
    </row>
    <row r="35" customFormat="false" ht="15" hidden="false" customHeight="true" outlineLevel="0" collapsed="false">
      <c r="A35" s="582" t="n">
        <v>23</v>
      </c>
      <c r="B35" s="20" t="s">
        <v>3530</v>
      </c>
      <c r="C35" s="583" t="n">
        <f aca="false">'Construction Budget'!H835</f>
        <v>63598602.375</v>
      </c>
      <c r="D35" s="583" t="str">
        <f aca="false">IF('GC Bid Form'!$D$16&lt;&gt;D$12,"",IFERROR(INDEX('GC Bid Form'!$D$27:$D$50,MATCH($B35,'GC Bid Form'!$C$27:$C$50,0)),""))</f>
        <v/>
      </c>
      <c r="E35" s="583" t="str">
        <f aca="false">IF('GC Bid Form'!$D$16&lt;&gt;E$12,"",IFERROR(INDEX('GC Bid Form'!$D$27:$D$50,MATCH($B35,'GC Bid Form'!$C$27:$C$50,0)),""))</f>
        <v/>
      </c>
      <c r="F35" s="583" t="str">
        <f aca="false">IF('GC Bid Form'!$D$16&lt;&gt;F$12,"",IFERROR(INDEX('GC Bid Form'!$D$27:$D$50,MATCH($B35,'GC Bid Form'!$C$27:$C$50,0)),""))</f>
        <v/>
      </c>
      <c r="G35" s="583" t="str">
        <f aca="false">IF('GC Bid Form'!$D$16&lt;&gt;G$12,"",IFERROR(INDEX('GC Bid Form'!$D$27:$D$50,MATCH($B35,'GC Bid Form'!$C$27:$C$50,0)),""))</f>
        <v/>
      </c>
      <c r="H35" s="350" t="str">
        <f aca="false">IF(COUNT(D35:G35)=0,"",MIN(D35:G35))</f>
        <v/>
      </c>
      <c r="I35" s="584" t="str">
        <f aca="false">IF(OR($H35="",$C35=0),"",($H35-$C35)/$C35)</f>
        <v/>
      </c>
      <c r="J35" s="585"/>
    </row>
    <row r="36" customFormat="false" ht="15" hidden="false" customHeight="true" outlineLevel="0" collapsed="false">
      <c r="A36" s="586" t="n">
        <v>24</v>
      </c>
      <c r="B36" s="260" t="s">
        <v>3531</v>
      </c>
      <c r="C36" s="587" t="n">
        <f aca="false">'Construction Budget'!H37</f>
        <v>113098590</v>
      </c>
      <c r="D36" s="587" t="str">
        <f aca="false">IF('GC Bid Form'!$D$16&lt;&gt;D$12,"",IFERROR(INDEX('GC Bid Form'!$D$27:$D$50,MATCH($B36,'GC Bid Form'!$C$27:$C$50,0)),""))</f>
        <v/>
      </c>
      <c r="E36" s="587" t="str">
        <f aca="false">IF('GC Bid Form'!$D$16&lt;&gt;E$12,"",IFERROR(INDEX('GC Bid Form'!$D$27:$D$50,MATCH($B36,'GC Bid Form'!$C$27:$C$50,0)),""))</f>
        <v/>
      </c>
      <c r="F36" s="587" t="str">
        <f aca="false">IF('GC Bid Form'!$D$16&lt;&gt;F$12,"",IFERROR(INDEX('GC Bid Form'!$D$27:$D$50,MATCH($B36,'GC Bid Form'!$C$27:$C$50,0)),""))</f>
        <v/>
      </c>
      <c r="G36" s="587" t="str">
        <f aca="false">IF('GC Bid Form'!$D$16&lt;&gt;G$12,"",IFERROR(INDEX('GC Bid Form'!$D$27:$D$50,MATCH($B36,'GC Bid Form'!$C$27:$C$50,0)),""))</f>
        <v/>
      </c>
      <c r="H36" s="355" t="str">
        <f aca="false">IF(COUNT(D36:G36)=0,"",MIN(D36:G36))</f>
        <v/>
      </c>
      <c r="I36" s="588" t="str">
        <f aca="false">IF(OR($H36="",$C36=0),"",($H36-$C36)/$C36)</f>
        <v/>
      </c>
      <c r="J36" s="589"/>
    </row>
    <row r="37" customFormat="false" ht="15.75" hidden="false" customHeight="true" outlineLevel="0" collapsed="false">
      <c r="A37" s="590"/>
      <c r="B37" s="591" t="s">
        <v>3532</v>
      </c>
      <c r="C37" s="592" t="n">
        <f aca="false">SUM(C13:C36)</f>
        <v>1088341827.06739</v>
      </c>
      <c r="D37" s="592" t="n">
        <f aca="false">SUM(D13:D36)</f>
        <v>0</v>
      </c>
      <c r="E37" s="592" t="n">
        <f aca="false">SUM(E13:E36)</f>
        <v>0</v>
      </c>
      <c r="F37" s="592" t="n">
        <f aca="false">SUM(F13:F36)</f>
        <v>0</v>
      </c>
      <c r="G37" s="592" t="n">
        <f aca="false">SUM(G13:G36)</f>
        <v>0</v>
      </c>
      <c r="H37" s="592" t="n">
        <f aca="false">IF(COUNT(D37:G37)=0,"",SUM(H13:H36))</f>
        <v>0</v>
      </c>
      <c r="I37" s="593" t="str">
        <f aca="false">IF(OR($H37="",$H37=0,$C37=0),"",($H37-$C37)/$C37)</f>
        <v/>
      </c>
      <c r="J37" s="594"/>
    </row>
    <row r="39" customFormat="false" ht="15.75" hidden="false" customHeight="true" outlineLevel="0" collapsed="false">
      <c r="A39" s="364" t="s">
        <v>3533</v>
      </c>
      <c r="B39" s="595" t="str">
        <f aca="false">"▲ Columns D–G link live to the GC Bid Form. Currently mapped to: "&amp;IF('GC Bid Form'!D16="","(no bidder selected)",'GC Bid Form'!D16)</f>
        <v>▲ Columns D–G link live to the GC Bid Form. Currently mapped to: (no bidder selected)</v>
      </c>
      <c r="C39" s="149"/>
      <c r="D39" s="149"/>
      <c r="E39" s="149"/>
      <c r="F39" s="149"/>
      <c r="G39" s="149"/>
      <c r="H39" s="149"/>
      <c r="I39" s="149"/>
      <c r="J39" s="149"/>
    </row>
    <row r="40" customFormat="false" ht="15" hidden="false" customHeight="true" outlineLevel="0" collapsed="false">
      <c r="B40" s="596" t="s">
        <v>3534</v>
      </c>
      <c r="C40" s="597" t="s">
        <v>3535</v>
      </c>
      <c r="D40" s="597" t="s">
        <v>3536</v>
      </c>
      <c r="E40" s="597" t="s">
        <v>3537</v>
      </c>
      <c r="F40" s="597" t="s">
        <v>3538</v>
      </c>
      <c r="G40" s="598" t="s">
        <v>3539</v>
      </c>
    </row>
    <row r="41" customFormat="false" ht="15" hidden="false" customHeight="true" outlineLevel="0" collapsed="false">
      <c r="B41" s="599" t="str">
        <f aca="false">D12</f>
        <v>National Build Group</v>
      </c>
      <c r="C41" s="180" t="n">
        <f aca="false">D37</f>
        <v>0</v>
      </c>
      <c r="D41" s="180" t="str">
        <f aca="false">IF($C41=0,"",$C41-$C$37)</f>
        <v/>
      </c>
      <c r="E41" s="600" t="str">
        <f aca="false">IF($C41=0,"",$C41/$C$37-1)</f>
        <v/>
      </c>
      <c r="F41" s="424" t="str">
        <f aca="false" t="array" ref="F41:F41">IF($C41=0,"—",SUMPRODUCT(($C$41:$C$44&gt;0)*($C$41:$C$44&lt;$C41))+1)</f>
        <v>—</v>
      </c>
      <c r="G41" s="601"/>
    </row>
    <row r="42" customFormat="false" ht="15" hidden="false" customHeight="true" outlineLevel="0" collapsed="false">
      <c r="B42" s="599" t="str">
        <f aca="false">E12</f>
        <v>Western Constructors</v>
      </c>
      <c r="C42" s="180" t="n">
        <f aca="false">E37</f>
        <v>0</v>
      </c>
      <c r="D42" s="180" t="str">
        <f aca="false">IF($C42=0,"",$C42-$C$37)</f>
        <v/>
      </c>
      <c r="E42" s="600" t="str">
        <f aca="false">IF($C42=0,"",$C42/$C$37-1)</f>
        <v/>
      </c>
      <c r="F42" s="424" t="str">
        <f aca="false" t="array" ref="F42:F42">IF($C42=0,"—",SUMPRODUCT(($C$41:$C$44&gt;0)*($C$41:$C$44&lt;$C42))+1)</f>
        <v>—</v>
      </c>
      <c r="G42" s="601"/>
    </row>
    <row r="43" customFormat="false" ht="15" hidden="false" customHeight="true" outlineLevel="0" collapsed="false">
      <c r="B43" s="599" t="str">
        <f aca="false">F12</f>
        <v>Metro Mission Critical</v>
      </c>
      <c r="C43" s="180" t="n">
        <f aca="false">F37</f>
        <v>0</v>
      </c>
      <c r="D43" s="180" t="str">
        <f aca="false">IF($C43=0,"",$C43-$C$37)</f>
        <v/>
      </c>
      <c r="E43" s="600" t="str">
        <f aca="false">IF($C43=0,"",$C43/$C$37-1)</f>
        <v/>
      </c>
      <c r="F43" s="424" t="str">
        <f aca="false" t="array" ref="F43:F43">IF($C43=0,"—",SUMPRODUCT(($C$41:$C$44&gt;0)*($C$41:$C$44&lt;$C43))+1)</f>
        <v>—</v>
      </c>
      <c r="G43" s="601"/>
    </row>
    <row r="44" customFormat="false" ht="15" hidden="false" customHeight="true" outlineLevel="0" collapsed="false">
      <c r="B44" s="602" t="str">
        <f aca="false">G12</f>
        <v>Pinnacle CM (DC specialist)</v>
      </c>
      <c r="C44" s="603" t="n">
        <f aca="false">G37</f>
        <v>0</v>
      </c>
      <c r="D44" s="603" t="str">
        <f aca="false">IF($C44=0,"",$C44-$C$37)</f>
        <v/>
      </c>
      <c r="E44" s="604" t="str">
        <f aca="false">IF($C44=0,"",$C44/$C$37-1)</f>
        <v/>
      </c>
      <c r="F44" s="605" t="str">
        <f aca="false" t="array" ref="F44:F44">IF($C44=0,"—",SUMPRODUCT(($C$41:$C$44&gt;0)*($C$41:$C$44&lt;$C44))+1)</f>
        <v>—</v>
      </c>
      <c r="G44" s="606"/>
    </row>
    <row r="46" customFormat="false" ht="15" hidden="false" customHeight="true" outlineLevel="0" collapsed="false">
      <c r="B46" s="607" t="s">
        <v>3540</v>
      </c>
      <c r="C46" s="607" t="str">
        <f aca="false">IF(MAX($C$41:$C$44)=0,"Enter GC bids in the blue cells to generate a recommendation.","Award to "&amp;$A$7&amp;" at "&amp;TEXT($C$7,"$#,##0")&amp;"  ("&amp;TEXT(($C$7-$C$37)/$C$37,"+0.0%;-0.0%")&amp;" vs engineer's estimate of "&amp;TEXT($C$37,"$#,##0")&amp;").")</f>
        <v>Enter GC bids in the blue cells to generate a recommendation.</v>
      </c>
    </row>
  </sheetData>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8C8C"/>
    <pageSetUpPr fitToPage="true"/>
  </sheetPr>
  <dimension ref="A1:S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H25" activeCellId="0" sqref="H25"/>
    </sheetView>
  </sheetViews>
  <sheetFormatPr defaultColWidth="8.57421875" defaultRowHeight="15" zeroHeight="false" outlineLevelRow="0" outlineLevelCol="0"/>
  <cols>
    <col collapsed="false" customWidth="true" hidden="false" outlineLevel="0" max="1" min="1" style="1" width="5"/>
    <col collapsed="false" customWidth="true" hidden="false" outlineLevel="0" max="2" min="2" style="1" width="42.14"/>
    <col collapsed="false" customWidth="true" hidden="false" outlineLevel="0" max="3" min="3" style="1" width="15"/>
    <col collapsed="false" customWidth="true" hidden="false" outlineLevel="0" max="9" min="4" style="1" width="11"/>
    <col collapsed="false" customWidth="true" hidden="false" outlineLevel="0" max="10" min="10" style="1" width="14"/>
    <col collapsed="false" customWidth="true" hidden="false" outlineLevel="0" max="11" min="11" style="1" width="8"/>
  </cols>
  <sheetData>
    <row r="1" customFormat="false" ht="27.75" hidden="false" customHeight="true" outlineLevel="0" collapsed="false">
      <c r="A1" s="105" t="s">
        <v>3541</v>
      </c>
      <c r="B1" s="105"/>
      <c r="C1" s="105"/>
      <c r="D1" s="105"/>
      <c r="E1" s="105"/>
      <c r="F1" s="105"/>
      <c r="G1" s="105"/>
      <c r="H1" s="105"/>
      <c r="I1" s="105"/>
      <c r="J1" s="105"/>
      <c r="K1" s="105"/>
    </row>
    <row r="2" customFormat="false" ht="15" hidden="false" customHeight="true" outlineLevel="0" collapsed="false">
      <c r="A2" s="3" t="s">
        <v>3542</v>
      </c>
      <c r="B2" s="3"/>
      <c r="C2" s="3"/>
      <c r="D2" s="3"/>
      <c r="E2" s="3"/>
      <c r="F2" s="3"/>
      <c r="G2" s="3"/>
      <c r="H2" s="3"/>
      <c r="I2" s="3"/>
      <c r="J2" s="3"/>
      <c r="K2" s="3"/>
    </row>
    <row r="4" customFormat="false" ht="15" hidden="false" customHeight="true" outlineLevel="0" collapsed="false">
      <c r="A4" s="125" t="s">
        <v>3543</v>
      </c>
      <c r="B4" s="110" t="s">
        <v>3544</v>
      </c>
      <c r="C4" s="110"/>
      <c r="D4" s="110"/>
      <c r="E4" s="110"/>
      <c r="F4" s="110"/>
      <c r="G4" s="110"/>
    </row>
    <row r="6" customFormat="false" ht="15" hidden="false" customHeight="true" outlineLevel="0" collapsed="false">
      <c r="A6" s="7" t="s">
        <v>3545</v>
      </c>
      <c r="B6" s="7"/>
      <c r="C6" s="7"/>
      <c r="D6" s="7"/>
      <c r="E6" s="7"/>
      <c r="F6" s="7"/>
      <c r="G6" s="7"/>
      <c r="H6" s="7"/>
      <c r="I6" s="7"/>
      <c r="J6" s="7"/>
      <c r="K6" s="7"/>
    </row>
    <row r="7" customFormat="false" ht="15" hidden="false" customHeight="true" outlineLevel="0" collapsed="false">
      <c r="C7" s="608" t="s">
        <v>3546</v>
      </c>
      <c r="D7" s="503" t="s">
        <v>3547</v>
      </c>
      <c r="E7" s="503" t="s">
        <v>3548</v>
      </c>
      <c r="F7" s="503" t="s">
        <v>3549</v>
      </c>
      <c r="G7" s="503" t="s">
        <v>3550</v>
      </c>
      <c r="H7" s="503" t="s">
        <v>3551</v>
      </c>
      <c r="I7" s="503" t="s">
        <v>3552</v>
      </c>
    </row>
    <row r="8" customFormat="false" ht="15" hidden="false" customHeight="true" outlineLevel="0" collapsed="false">
      <c r="B8" s="10" t="s">
        <v>3553</v>
      </c>
      <c r="D8" s="609" t="n">
        <v>0.4</v>
      </c>
      <c r="E8" s="609" t="n">
        <v>0.15</v>
      </c>
      <c r="F8" s="609" t="n">
        <v>0.15</v>
      </c>
      <c r="G8" s="609" t="n">
        <v>0.15</v>
      </c>
      <c r="H8" s="609" t="n">
        <v>0.1</v>
      </c>
      <c r="I8" s="609" t="n">
        <v>0.05</v>
      </c>
      <c r="J8" s="610" t="n">
        <f aca="false">SUM(D8:I8)</f>
        <v>1</v>
      </c>
      <c r="K8" s="611" t="str">
        <f aca="false">IF(ROUND(J8,4)=1,"✓","✗")</f>
        <v>✓</v>
      </c>
    </row>
    <row r="10" customFormat="false" ht="15" hidden="false" customHeight="true" outlineLevel="0" collapsed="false">
      <c r="A10" s="7" t="s">
        <v>3554</v>
      </c>
      <c r="B10" s="7"/>
      <c r="C10" s="7"/>
      <c r="D10" s="7"/>
      <c r="E10" s="7"/>
      <c r="F10" s="7"/>
      <c r="G10" s="7"/>
      <c r="H10" s="7"/>
      <c r="I10" s="7"/>
      <c r="J10" s="7"/>
      <c r="K10" s="7"/>
      <c r="M10" s="612" t="s">
        <v>3555</v>
      </c>
    </row>
    <row r="11" customFormat="false" ht="27.75" hidden="false" customHeight="true" outlineLevel="0" collapsed="false">
      <c r="A11" s="503" t="s">
        <v>266</v>
      </c>
      <c r="B11" s="503" t="s">
        <v>3556</v>
      </c>
      <c r="C11" s="503" t="s">
        <v>3557</v>
      </c>
      <c r="D11" s="503" t="s">
        <v>3558</v>
      </c>
      <c r="E11" s="503" t="s">
        <v>3559</v>
      </c>
      <c r="F11" s="503" t="s">
        <v>3560</v>
      </c>
      <c r="G11" s="503" t="s">
        <v>3561</v>
      </c>
      <c r="H11" s="503" t="s">
        <v>3562</v>
      </c>
      <c r="I11" s="503" t="s">
        <v>3563</v>
      </c>
      <c r="J11" s="503" t="s">
        <v>3564</v>
      </c>
      <c r="K11" s="503" t="s">
        <v>3538</v>
      </c>
      <c r="M11" s="503" t="s">
        <v>3565</v>
      </c>
      <c r="N11" s="503" t="s">
        <v>3547</v>
      </c>
      <c r="O11" s="503" t="s">
        <v>3548</v>
      </c>
      <c r="P11" s="503" t="s">
        <v>3549</v>
      </c>
      <c r="Q11" s="503" t="s">
        <v>3550</v>
      </c>
      <c r="R11" s="503" t="s">
        <v>3562</v>
      </c>
      <c r="S11" s="503" t="s">
        <v>3552</v>
      </c>
    </row>
    <row r="12" customFormat="false" ht="15" hidden="false" customHeight="true" outlineLevel="0" collapsed="false">
      <c r="A12" s="127" t="n">
        <v>1</v>
      </c>
      <c r="B12" s="542" t="str">
        <f aca="false">'Bid Leveling'!D12</f>
        <v>National Build Group</v>
      </c>
      <c r="C12" s="613" t="n">
        <v>1640000000</v>
      </c>
      <c r="D12" s="614" t="n">
        <f aca="false">ROUND(MIN($C$12:$C$15)/C12*10,2)</f>
        <v>9.66</v>
      </c>
      <c r="E12" s="615" t="n">
        <v>8</v>
      </c>
      <c r="F12" s="615" t="n">
        <v>9</v>
      </c>
      <c r="G12" s="615" t="n">
        <v>9</v>
      </c>
      <c r="H12" s="615" t="n">
        <v>8</v>
      </c>
      <c r="I12" s="615" t="n">
        <v>9</v>
      </c>
      <c r="J12" s="616" t="n">
        <f aca="false">SUMPRODUCT($D$8:$I$8,D12:I12)</f>
        <v>9.014</v>
      </c>
      <c r="K12" s="617" t="n">
        <f aca="false">RANK(J12,$J$12:$J$15)</f>
        <v>2</v>
      </c>
      <c r="M12" s="1" t="str">
        <f aca="false">LEFT(B12,8)</f>
        <v>National</v>
      </c>
      <c r="N12" s="1" t="n">
        <f aca="false">$D$8*D12</f>
        <v>3.864</v>
      </c>
      <c r="O12" s="1" t="n">
        <f aca="false">$E$8*E12</f>
        <v>1.2</v>
      </c>
      <c r="P12" s="1" t="n">
        <f aca="false">$F$8*F12</f>
        <v>1.35</v>
      </c>
      <c r="Q12" s="1" t="n">
        <f aca="false">$G$8*G12</f>
        <v>1.35</v>
      </c>
      <c r="R12" s="1" t="n">
        <f aca="false">$H$8*H12</f>
        <v>0.8</v>
      </c>
      <c r="S12" s="1" t="n">
        <f aca="false">$I$8*I12</f>
        <v>0.45</v>
      </c>
    </row>
    <row r="13" customFormat="false" ht="15" hidden="false" customHeight="true" outlineLevel="0" collapsed="false">
      <c r="A13" s="127" t="n">
        <v>2</v>
      </c>
      <c r="B13" s="542" t="str">
        <f aca="false">'Bid Leveling'!E12</f>
        <v>Western Constructors</v>
      </c>
      <c r="C13" s="613" t="n">
        <v>1585000000</v>
      </c>
      <c r="D13" s="614" t="n">
        <f aca="false">ROUND(MIN($C$12:$C$15)/C13*10,2)</f>
        <v>10</v>
      </c>
      <c r="E13" s="615" t="n">
        <v>7</v>
      </c>
      <c r="F13" s="615" t="n">
        <v>7</v>
      </c>
      <c r="G13" s="615" t="n">
        <v>8</v>
      </c>
      <c r="H13" s="615" t="n">
        <v>9</v>
      </c>
      <c r="I13" s="615" t="n">
        <v>7</v>
      </c>
      <c r="J13" s="616" t="n">
        <f aca="false">SUMPRODUCT($D$8:$I$8,D13:I13)</f>
        <v>8.55</v>
      </c>
      <c r="K13" s="617" t="n">
        <f aca="false">RANK(J13,$J$12:$J$15)</f>
        <v>4</v>
      </c>
      <c r="M13" s="1" t="str">
        <f aca="false">LEFT(B13,8)</f>
        <v>Western </v>
      </c>
      <c r="N13" s="1" t="n">
        <f aca="false">$D$8*D13</f>
        <v>4</v>
      </c>
      <c r="O13" s="1" t="n">
        <f aca="false">$E$8*E13</f>
        <v>1.05</v>
      </c>
      <c r="P13" s="1" t="n">
        <f aca="false">$F$8*F13</f>
        <v>1.05</v>
      </c>
      <c r="Q13" s="1" t="n">
        <f aca="false">$G$8*G13</f>
        <v>1.2</v>
      </c>
      <c r="R13" s="1" t="n">
        <f aca="false">$H$8*H13</f>
        <v>0.9</v>
      </c>
      <c r="S13" s="1" t="n">
        <f aca="false">$I$8*I13</f>
        <v>0.35</v>
      </c>
    </row>
    <row r="14" customFormat="false" ht="15" hidden="false" customHeight="true" outlineLevel="0" collapsed="false">
      <c r="A14" s="127" t="n">
        <v>3</v>
      </c>
      <c r="B14" s="542" t="str">
        <f aca="false">'Bid Leveling'!F12</f>
        <v>Metro Mission Critical</v>
      </c>
      <c r="C14" s="613" t="n">
        <v>1612000000</v>
      </c>
      <c r="D14" s="614" t="n">
        <f aca="false">ROUND(MIN($C$12:$C$15)/C14*10,2)</f>
        <v>9.83</v>
      </c>
      <c r="E14" s="615" t="n">
        <v>9</v>
      </c>
      <c r="F14" s="615" t="n">
        <v>8</v>
      </c>
      <c r="G14" s="615" t="n">
        <v>7</v>
      </c>
      <c r="H14" s="615" t="n">
        <v>7</v>
      </c>
      <c r="I14" s="615" t="n">
        <v>8</v>
      </c>
      <c r="J14" s="616" t="n">
        <f aca="false">SUMPRODUCT($D$8:$I$8,D14:I14)</f>
        <v>8.632</v>
      </c>
      <c r="K14" s="617" t="n">
        <f aca="false">RANK(J14,$J$12:$J$15)</f>
        <v>3</v>
      </c>
      <c r="M14" s="1" t="str">
        <f aca="false">LEFT(B14,8)</f>
        <v>Metro Mi</v>
      </c>
      <c r="N14" s="1" t="n">
        <f aca="false">$D$8*D14</f>
        <v>3.932</v>
      </c>
      <c r="O14" s="1" t="n">
        <f aca="false">$E$8*E14</f>
        <v>1.35</v>
      </c>
      <c r="P14" s="1" t="n">
        <f aca="false">$F$8*F14</f>
        <v>1.2</v>
      </c>
      <c r="Q14" s="1" t="n">
        <f aca="false">$G$8*G14</f>
        <v>1.05</v>
      </c>
      <c r="R14" s="1" t="n">
        <f aca="false">$H$8*H14</f>
        <v>0.7</v>
      </c>
      <c r="S14" s="1" t="n">
        <f aca="false">$I$8*I14</f>
        <v>0.4</v>
      </c>
    </row>
    <row r="15" customFormat="false" ht="15" hidden="false" customHeight="true" outlineLevel="0" collapsed="false">
      <c r="A15" s="127" t="n">
        <v>4</v>
      </c>
      <c r="B15" s="542" t="str">
        <f aca="false">'Bid Leveling'!G12</f>
        <v>Pinnacle CM (DC specialist)</v>
      </c>
      <c r="C15" s="613" t="n">
        <v>1675000000</v>
      </c>
      <c r="D15" s="614" t="n">
        <f aca="false">ROUND(MIN($C$12:$C$15)/C15*10,2)</f>
        <v>9.46</v>
      </c>
      <c r="E15" s="615" t="n">
        <v>8</v>
      </c>
      <c r="F15" s="615" t="n">
        <v>9</v>
      </c>
      <c r="G15" s="615" t="n">
        <v>10</v>
      </c>
      <c r="H15" s="615" t="n">
        <v>9</v>
      </c>
      <c r="I15" s="615" t="n">
        <v>10</v>
      </c>
      <c r="J15" s="616" t="n">
        <f aca="false">SUMPRODUCT($D$8:$I$8,D15:I15)</f>
        <v>9.234</v>
      </c>
      <c r="K15" s="617" t="n">
        <f aca="false">RANK(J15,$J$12:$J$15)</f>
        <v>1</v>
      </c>
      <c r="M15" s="1" t="str">
        <f aca="false">LEFT(B15,8)</f>
        <v>Pinnacle</v>
      </c>
      <c r="N15" s="1" t="n">
        <f aca="false">$D$8*D15</f>
        <v>3.784</v>
      </c>
      <c r="O15" s="1" t="n">
        <f aca="false">$E$8*E15</f>
        <v>1.2</v>
      </c>
      <c r="P15" s="1" t="n">
        <f aca="false">$F$8*F15</f>
        <v>1.35</v>
      </c>
      <c r="Q15" s="1" t="n">
        <f aca="false">$G$8*G15</f>
        <v>1.5</v>
      </c>
      <c r="R15" s="1" t="n">
        <f aca="false">$H$8*H15</f>
        <v>0.9</v>
      </c>
      <c r="S15" s="1" t="n">
        <f aca="false">$I$8*I15</f>
        <v>0.5</v>
      </c>
    </row>
    <row r="17" customFormat="false" ht="15" hidden="false" customHeight="true" outlineLevel="0" collapsed="false">
      <c r="A17" s="7" t="s">
        <v>3566</v>
      </c>
      <c r="B17" s="7"/>
      <c r="C17" s="7"/>
      <c r="D17" s="7"/>
      <c r="E17" s="7"/>
      <c r="F17" s="7"/>
      <c r="G17" s="7"/>
      <c r="H17" s="7"/>
      <c r="I17" s="7"/>
      <c r="J17" s="7"/>
      <c r="K17" s="7"/>
    </row>
    <row r="18" customFormat="false" ht="15" hidden="false" customHeight="true" outlineLevel="0" collapsed="false">
      <c r="A18" s="368" t="s">
        <v>3567</v>
      </c>
      <c r="B18" s="368"/>
      <c r="C18" s="110" t="str">
        <f aca="false">INDEX(B12:B15,MATCH(MAX(J12:J15),J12:J15,0))</f>
        <v>Pinnacle CM (DC specialist)</v>
      </c>
      <c r="D18" s="110"/>
      <c r="E18" s="110"/>
      <c r="F18" s="110"/>
      <c r="G18" s="110"/>
    </row>
    <row r="19" customFormat="false" ht="15" hidden="false" customHeight="true" outlineLevel="0" collapsed="false">
      <c r="A19" s="368" t="s">
        <v>3568</v>
      </c>
      <c r="B19" s="368"/>
      <c r="C19" s="502" t="n">
        <f aca="false">MAX(J12:J15)</f>
        <v>9.234</v>
      </c>
    </row>
    <row r="20" customFormat="false" ht="15" hidden="false" customHeight="true" outlineLevel="0" collapsed="false">
      <c r="A20" s="368" t="s">
        <v>3569</v>
      </c>
      <c r="B20" s="368"/>
      <c r="C20" s="509" t="str">
        <f aca="false">TEXT(INDEX(C12:C15,MATCH(MAX(J12:J15),J12:J15,0))-MIN(C12:C15),"$#,##0,,")&amp;"M above lowest bid (quality-justified premium)"</f>
        <v>$90M above lowest bid (quality-justified premium)</v>
      </c>
      <c r="D20" s="509"/>
      <c r="E20" s="509"/>
      <c r="F20" s="509"/>
      <c r="G20" s="509"/>
      <c r="H20" s="509"/>
      <c r="I20" s="509"/>
      <c r="J20" s="509"/>
      <c r="K20" s="509"/>
    </row>
    <row r="22" customFormat="false" ht="15.75" hidden="false" customHeight="true" outlineLevel="0" collapsed="false">
      <c r="A22" s="364" t="s">
        <v>3570</v>
      </c>
      <c r="B22" s="149"/>
      <c r="C22" s="149"/>
      <c r="D22" s="149"/>
      <c r="E22" s="149"/>
      <c r="F22" s="149"/>
      <c r="G22" s="149"/>
      <c r="H22" s="149"/>
      <c r="I22" s="149"/>
      <c r="J22" s="149"/>
    </row>
    <row r="23" customFormat="false" ht="30" hidden="false" customHeight="true" outlineLevel="0" collapsed="false">
      <c r="A23" s="618" t="s">
        <v>266</v>
      </c>
      <c r="B23" s="619" t="s">
        <v>3571</v>
      </c>
      <c r="C23" s="618" t="s">
        <v>3557</v>
      </c>
      <c r="D23" s="618" t="s">
        <v>3572</v>
      </c>
      <c r="E23" s="618" t="s">
        <v>3573</v>
      </c>
      <c r="F23" s="618" t="s">
        <v>3574</v>
      </c>
      <c r="G23" s="618" t="s">
        <v>3575</v>
      </c>
      <c r="H23" s="618" t="s">
        <v>3576</v>
      </c>
      <c r="I23" s="618" t="s">
        <v>3577</v>
      </c>
      <c r="J23" s="618" t="s">
        <v>3578</v>
      </c>
    </row>
    <row r="24" customFormat="false" ht="15" hidden="false" customHeight="true" outlineLevel="0" collapsed="false">
      <c r="A24" s="620" t="n">
        <f aca="false">A12</f>
        <v>1</v>
      </c>
      <c r="B24" s="621" t="str">
        <f aca="false">B12</f>
        <v>National Build Group</v>
      </c>
      <c r="C24" s="622" t="n">
        <f aca="false">C12</f>
        <v>1640000000</v>
      </c>
      <c r="D24" s="623" t="n">
        <f aca="false">'Bid Leveling'!D37</f>
        <v>0</v>
      </c>
      <c r="E24" s="622" t="str">
        <f aca="false">IF(D24=0,"—",C24-D24)</f>
        <v>—</v>
      </c>
      <c r="F24" s="624" t="n">
        <f aca="false">C24-MIN($C$12:$C$15)</f>
        <v>55000000</v>
      </c>
      <c r="G24" s="625" t="n">
        <f aca="false">C24/MIN($C$12:$C$15)-1</f>
        <v>0.0347003154574133</v>
      </c>
      <c r="H24" s="625" t="n">
        <f aca="false">C24/AVERAGE($C$12:$C$15)-1</f>
        <v>0.00737100737100738</v>
      </c>
      <c r="I24" s="625" t="n">
        <f aca="false">C24/$C$62-1</f>
        <v>0.681631758792368</v>
      </c>
      <c r="J24" s="620" t="n">
        <f aca="false">RANK(C24,$C$24:$C$27,1)</f>
        <v>3</v>
      </c>
    </row>
    <row r="25" customFormat="false" ht="15" hidden="false" customHeight="true" outlineLevel="0" collapsed="false">
      <c r="A25" s="626" t="n">
        <f aca="false">A13</f>
        <v>2</v>
      </c>
      <c r="B25" s="627" t="str">
        <f aca="false">B13</f>
        <v>Western Constructors</v>
      </c>
      <c r="C25" s="628" t="n">
        <f aca="false">C13</f>
        <v>1585000000</v>
      </c>
      <c r="D25" s="629" t="n">
        <f aca="false">'Bid Leveling'!E37</f>
        <v>0</v>
      </c>
      <c r="E25" s="628" t="str">
        <f aca="false">IF(D25=0,"—",C25-D25)</f>
        <v>—</v>
      </c>
      <c r="F25" s="630" t="n">
        <f aca="false">C25-MIN($C$12:$C$15)</f>
        <v>0</v>
      </c>
      <c r="G25" s="631" t="n">
        <f aca="false">C25/MIN($C$12:$C$15)-1</f>
        <v>0</v>
      </c>
      <c r="H25" s="631" t="n">
        <f aca="false">C25/AVERAGE($C$12:$C$15)-1</f>
        <v>-0.0264127764127764</v>
      </c>
      <c r="I25" s="625" t="n">
        <f aca="false">C25/$C$62-1</f>
        <v>0.625235571759697</v>
      </c>
      <c r="J25" s="626" t="n">
        <f aca="false">RANK(C25,$C$24:$C$27,1)</f>
        <v>1</v>
      </c>
    </row>
    <row r="26" customFormat="false" ht="15" hidden="false" customHeight="true" outlineLevel="0" collapsed="false">
      <c r="A26" s="620" t="n">
        <f aca="false">A14</f>
        <v>3</v>
      </c>
      <c r="B26" s="621" t="str">
        <f aca="false">B14</f>
        <v>Metro Mission Critical</v>
      </c>
      <c r="C26" s="622" t="n">
        <f aca="false">C14</f>
        <v>1612000000</v>
      </c>
      <c r="D26" s="623" t="n">
        <f aca="false">'Bid Leveling'!F37</f>
        <v>0</v>
      </c>
      <c r="E26" s="622" t="str">
        <f aca="false">IF(D26=0,"—",C26-D26)</f>
        <v>—</v>
      </c>
      <c r="F26" s="624" t="n">
        <f aca="false">C26-MIN($C$12:$C$15)</f>
        <v>27000000</v>
      </c>
      <c r="G26" s="625" t="n">
        <f aca="false">C26/MIN($C$12:$C$15)-1</f>
        <v>0.0170347003154574</v>
      </c>
      <c r="H26" s="625" t="n">
        <f aca="false">C26/AVERAGE($C$12:$C$15)-1</f>
        <v>-0.0098280098280098</v>
      </c>
      <c r="I26" s="625" t="n">
        <f aca="false">C26/$C$62-1</f>
        <v>0.652920972666645</v>
      </c>
      <c r="J26" s="620" t="n">
        <f aca="false">RANK(C26,$C$24:$C$27,1)</f>
        <v>2</v>
      </c>
    </row>
    <row r="27" customFormat="false" ht="15" hidden="false" customHeight="true" outlineLevel="0" collapsed="false">
      <c r="A27" s="626" t="n">
        <f aca="false">A15</f>
        <v>4</v>
      </c>
      <c r="B27" s="627" t="str">
        <f aca="false">B15</f>
        <v>Pinnacle CM (DC specialist)</v>
      </c>
      <c r="C27" s="628" t="n">
        <f aca="false">C15</f>
        <v>1675000000</v>
      </c>
      <c r="D27" s="629" t="n">
        <f aca="false">'Bid Leveling'!G37</f>
        <v>0</v>
      </c>
      <c r="E27" s="628" t="str">
        <f aca="false">IF(D27=0,"—",C27-D27)</f>
        <v>—</v>
      </c>
      <c r="F27" s="630" t="n">
        <f aca="false">C27-MIN($C$12:$C$15)</f>
        <v>90000000</v>
      </c>
      <c r="G27" s="631" t="n">
        <f aca="false">C27/MIN($C$12:$C$15)-1</f>
        <v>0.0567823343848581</v>
      </c>
      <c r="H27" s="631" t="n">
        <f aca="false">C27/AVERAGE($C$12:$C$15)-1</f>
        <v>0.0288697788697789</v>
      </c>
      <c r="I27" s="625" t="n">
        <f aca="false">C27/$C$62-1</f>
        <v>0.717520241449522</v>
      </c>
      <c r="J27" s="626" t="n">
        <f aca="false">RANK(C27,$C$24:$C$27,1)</f>
        <v>4</v>
      </c>
    </row>
    <row r="29" customFormat="false" ht="15" hidden="false" customHeight="true" outlineLevel="0" collapsed="false">
      <c r="B29" s="163" t="s">
        <v>3579</v>
      </c>
      <c r="C29" s="632" t="n">
        <f aca="false">MIN(C12:C15)</f>
        <v>1585000000</v>
      </c>
    </row>
    <row r="30" customFormat="false" ht="15" hidden="false" customHeight="true" outlineLevel="0" collapsed="false">
      <c r="B30" s="163" t="s">
        <v>3580</v>
      </c>
      <c r="C30" s="632" t="n">
        <f aca="false">AVERAGE(C12:C15)</f>
        <v>1628000000</v>
      </c>
    </row>
    <row r="31" customFormat="false" ht="15" hidden="false" customHeight="true" outlineLevel="0" collapsed="false">
      <c r="B31" s="163" t="s">
        <v>3581</v>
      </c>
      <c r="C31" s="632" t="n">
        <f aca="false">MAX(C12:C15)</f>
        <v>1675000000</v>
      </c>
    </row>
    <row r="32" customFormat="false" ht="15" hidden="false" customHeight="true" outlineLevel="0" collapsed="false">
      <c r="B32" s="163" t="s">
        <v>3582</v>
      </c>
      <c r="C32" s="632" t="n">
        <f aca="false">C31-C29</f>
        <v>90000000</v>
      </c>
      <c r="D32" s="633" t="n">
        <f aca="false">C32/C29</f>
        <v>0.056782334384858</v>
      </c>
    </row>
    <row r="33" customFormat="false" ht="15" hidden="false" customHeight="true" outlineLevel="0" collapsed="false">
      <c r="B33" s="163" t="s">
        <v>3583</v>
      </c>
      <c r="C33" s="634" t="n">
        <f aca="false">$C$62</f>
        <v>975243237.067392</v>
      </c>
    </row>
    <row r="35" customFormat="false" ht="15" hidden="false" customHeight="true" outlineLevel="0" collapsed="false">
      <c r="A35" s="635" t="s">
        <v>3584</v>
      </c>
    </row>
    <row r="37" customFormat="false" ht="15.75" hidden="false" customHeight="true" outlineLevel="0" collapsed="false">
      <c r="A37" s="364" t="s">
        <v>3585</v>
      </c>
      <c r="B37" s="149"/>
      <c r="C37" s="149"/>
      <c r="D37" s="149"/>
      <c r="E37" s="149"/>
      <c r="F37" s="149"/>
      <c r="G37" s="149"/>
      <c r="H37" s="149"/>
      <c r="I37" s="149"/>
    </row>
    <row r="38" customFormat="false" ht="30" hidden="false" customHeight="true" outlineLevel="0" collapsed="false">
      <c r="B38" s="636" t="s">
        <v>3586</v>
      </c>
      <c r="C38" s="637" t="s">
        <v>3587</v>
      </c>
      <c r="D38" s="638" t="str">
        <f aca="false">'Bid Leveling'!D12</f>
        <v>National Build Group</v>
      </c>
      <c r="E38" s="638" t="str">
        <f aca="false">'Bid Leveling'!E12</f>
        <v>Western Constructors</v>
      </c>
      <c r="F38" s="638" t="str">
        <f aca="false">'Bid Leveling'!F12</f>
        <v>Metro Mission Critical</v>
      </c>
      <c r="G38" s="638" t="str">
        <f aca="false">'Bid Leveling'!G12</f>
        <v>Pinnacle CM (DC specialist)</v>
      </c>
      <c r="H38" s="637" t="s">
        <v>3506</v>
      </c>
      <c r="I38" s="637" t="s">
        <v>3588</v>
      </c>
    </row>
    <row r="39" customFormat="false" ht="15" hidden="false" customHeight="true" outlineLevel="0" collapsed="false">
      <c r="B39" s="639" t="str">
        <f aca="false">'Bid Leveling'!B13</f>
        <v>General Conditions &amp; Requirements</v>
      </c>
      <c r="C39" s="640" t="n">
        <f aca="false">'Bid Leveling'!C13</f>
        <v>42983030.6038756</v>
      </c>
      <c r="D39" s="641" t="str">
        <f aca="false">'Bid Leveling'!D13</f>
        <v/>
      </c>
      <c r="E39" s="641" t="str">
        <f aca="false">'Bid Leveling'!E13</f>
        <v/>
      </c>
      <c r="F39" s="641" t="str">
        <f aca="false">'Bid Leveling'!F13</f>
        <v/>
      </c>
      <c r="G39" s="641" t="str">
        <f aca="false">'Bid Leveling'!G13</f>
        <v/>
      </c>
      <c r="H39" s="641" t="str">
        <f aca="false">'Bid Leveling'!H13</f>
        <v/>
      </c>
      <c r="I39" s="642" t="str">
        <f aca="false">'Bid Leveling'!I13</f>
        <v/>
      </c>
    </row>
    <row r="40" customFormat="false" ht="15" hidden="false" customHeight="true" outlineLevel="0" collapsed="false">
      <c r="B40" s="643" t="str">
        <f aca="false">'Bid Leveling'!B14</f>
        <v>Commissioning &amp; Testing</v>
      </c>
      <c r="C40" s="644" t="n">
        <f aca="false">'Bid Leveling'!C14</f>
        <v>47367292.5</v>
      </c>
      <c r="D40" s="645" t="str">
        <f aca="false">'Bid Leveling'!D14</f>
        <v/>
      </c>
      <c r="E40" s="645" t="str">
        <f aca="false">'Bid Leveling'!E14</f>
        <v/>
      </c>
      <c r="F40" s="645" t="str">
        <f aca="false">'Bid Leveling'!F14</f>
        <v/>
      </c>
      <c r="G40" s="645" t="str">
        <f aca="false">'Bid Leveling'!G14</f>
        <v/>
      </c>
      <c r="H40" s="645" t="str">
        <f aca="false">'Bid Leveling'!H14</f>
        <v/>
      </c>
      <c r="I40" s="646" t="str">
        <f aca="false">'Bid Leveling'!I14</f>
        <v/>
      </c>
    </row>
    <row r="41" customFormat="false" ht="15" hidden="false" customHeight="true" outlineLevel="0" collapsed="false">
      <c r="B41" s="639" t="str">
        <f aca="false">'Bid Leveling'!B15</f>
        <v>Div 03 — Concrete</v>
      </c>
      <c r="C41" s="640" t="n">
        <f aca="false">'Bid Leveling'!C15</f>
        <v>33466040.3875851</v>
      </c>
      <c r="D41" s="641" t="str">
        <f aca="false">'Bid Leveling'!D15</f>
        <v/>
      </c>
      <c r="E41" s="641" t="str">
        <f aca="false">'Bid Leveling'!E15</f>
        <v/>
      </c>
      <c r="F41" s="641" t="str">
        <f aca="false">'Bid Leveling'!F15</f>
        <v/>
      </c>
      <c r="G41" s="641" t="str">
        <f aca="false">'Bid Leveling'!G15</f>
        <v/>
      </c>
      <c r="H41" s="641" t="str">
        <f aca="false">'Bid Leveling'!H15</f>
        <v/>
      </c>
      <c r="I41" s="642" t="str">
        <f aca="false">'Bid Leveling'!I15</f>
        <v/>
      </c>
    </row>
    <row r="42" customFormat="false" ht="15" hidden="false" customHeight="true" outlineLevel="0" collapsed="false">
      <c r="B42" s="643" t="str">
        <f aca="false">'Bid Leveling'!B16</f>
        <v>Div 04 — Masonry</v>
      </c>
      <c r="C42" s="644" t="n">
        <f aca="false">'Bid Leveling'!C16</f>
        <v>5656068</v>
      </c>
      <c r="D42" s="645" t="str">
        <f aca="false">'Bid Leveling'!D16</f>
        <v/>
      </c>
      <c r="E42" s="645" t="str">
        <f aca="false">'Bid Leveling'!E16</f>
        <v/>
      </c>
      <c r="F42" s="645" t="str">
        <f aca="false">'Bid Leveling'!F16</f>
        <v/>
      </c>
      <c r="G42" s="645" t="str">
        <f aca="false">'Bid Leveling'!G16</f>
        <v/>
      </c>
      <c r="H42" s="645" t="str">
        <f aca="false">'Bid Leveling'!H16</f>
        <v/>
      </c>
      <c r="I42" s="646" t="str">
        <f aca="false">'Bid Leveling'!I16</f>
        <v/>
      </c>
    </row>
    <row r="43" customFormat="false" ht="15" hidden="false" customHeight="true" outlineLevel="0" collapsed="false">
      <c r="B43" s="639" t="str">
        <f aca="false">'Bid Leveling'!B17</f>
        <v>Div 05 — Metals / Structural Steel</v>
      </c>
      <c r="C43" s="640" t="n">
        <f aca="false">'Bid Leveling'!C17</f>
        <v>40836399.7619533</v>
      </c>
      <c r="D43" s="641" t="str">
        <f aca="false">'Bid Leveling'!D17</f>
        <v/>
      </c>
      <c r="E43" s="641" t="str">
        <f aca="false">'Bid Leveling'!E17</f>
        <v/>
      </c>
      <c r="F43" s="641" t="str">
        <f aca="false">'Bid Leveling'!F17</f>
        <v/>
      </c>
      <c r="G43" s="641" t="str">
        <f aca="false">'Bid Leveling'!G17</f>
        <v/>
      </c>
      <c r="H43" s="641" t="str">
        <f aca="false">'Bid Leveling'!H17</f>
        <v/>
      </c>
      <c r="I43" s="642" t="str">
        <f aca="false">'Bid Leveling'!I17</f>
        <v/>
      </c>
    </row>
    <row r="44" customFormat="false" ht="15" hidden="false" customHeight="true" outlineLevel="0" collapsed="false">
      <c r="B44" s="643" t="str">
        <f aca="false">'Bid Leveling'!B18</f>
        <v>Div 06 — Wood, Plastics &amp; Composites</v>
      </c>
      <c r="C44" s="644" t="n">
        <f aca="false">'Bid Leveling'!C18</f>
        <v>1233678.6</v>
      </c>
      <c r="D44" s="645" t="str">
        <f aca="false">'Bid Leveling'!D18</f>
        <v/>
      </c>
      <c r="E44" s="645" t="str">
        <f aca="false">'Bid Leveling'!E18</f>
        <v/>
      </c>
      <c r="F44" s="645" t="str">
        <f aca="false">'Bid Leveling'!F18</f>
        <v/>
      </c>
      <c r="G44" s="645" t="str">
        <f aca="false">'Bid Leveling'!G18</f>
        <v/>
      </c>
      <c r="H44" s="645" t="str">
        <f aca="false">'Bid Leveling'!H18</f>
        <v/>
      </c>
      <c r="I44" s="646" t="str">
        <f aca="false">'Bid Leveling'!I18</f>
        <v/>
      </c>
    </row>
    <row r="45" customFormat="false" ht="15" hidden="false" customHeight="true" outlineLevel="0" collapsed="false">
      <c r="B45" s="639" t="str">
        <f aca="false">'Bid Leveling'!B19</f>
        <v>Div 07 — Thermal &amp; Moisture Protection</v>
      </c>
      <c r="C45" s="640" t="n">
        <f aca="false">'Bid Leveling'!C19</f>
        <v>38165650.875</v>
      </c>
      <c r="D45" s="641" t="str">
        <f aca="false">'Bid Leveling'!D19</f>
        <v/>
      </c>
      <c r="E45" s="641" t="str">
        <f aca="false">'Bid Leveling'!E19</f>
        <v/>
      </c>
      <c r="F45" s="641" t="str">
        <f aca="false">'Bid Leveling'!F19</f>
        <v/>
      </c>
      <c r="G45" s="641" t="str">
        <f aca="false">'Bid Leveling'!G19</f>
        <v/>
      </c>
      <c r="H45" s="641" t="str">
        <f aca="false">'Bid Leveling'!H19</f>
        <v/>
      </c>
      <c r="I45" s="642" t="str">
        <f aca="false">'Bid Leveling'!I19</f>
        <v/>
      </c>
    </row>
    <row r="46" customFormat="false" ht="15" hidden="false" customHeight="true" outlineLevel="0" collapsed="false">
      <c r="B46" s="643" t="str">
        <f aca="false">'Bid Leveling'!B20</f>
        <v>Div 08 — Openings</v>
      </c>
      <c r="C46" s="644" t="n">
        <f aca="false">'Bid Leveling'!C20</f>
        <v>13742209.9773727</v>
      </c>
      <c r="D46" s="645" t="str">
        <f aca="false">'Bid Leveling'!D20</f>
        <v/>
      </c>
      <c r="E46" s="645" t="str">
        <f aca="false">'Bid Leveling'!E20</f>
        <v/>
      </c>
      <c r="F46" s="645" t="str">
        <f aca="false">'Bid Leveling'!F20</f>
        <v/>
      </c>
      <c r="G46" s="645" t="str">
        <f aca="false">'Bid Leveling'!G20</f>
        <v/>
      </c>
      <c r="H46" s="645" t="str">
        <f aca="false">'Bid Leveling'!H20</f>
        <v/>
      </c>
      <c r="I46" s="646" t="str">
        <f aca="false">'Bid Leveling'!I20</f>
        <v/>
      </c>
    </row>
    <row r="47" customFormat="false" ht="15" hidden="false" customHeight="true" outlineLevel="0" collapsed="false">
      <c r="B47" s="639" t="str">
        <f aca="false">'Bid Leveling'!B21</f>
        <v>Div 09 — Finishes</v>
      </c>
      <c r="C47" s="640" t="n">
        <f aca="false">'Bid Leveling'!C21</f>
        <v>33189552</v>
      </c>
      <c r="D47" s="641" t="str">
        <f aca="false">'Bid Leveling'!D21</f>
        <v/>
      </c>
      <c r="E47" s="641" t="str">
        <f aca="false">'Bid Leveling'!E21</f>
        <v/>
      </c>
      <c r="F47" s="641" t="str">
        <f aca="false">'Bid Leveling'!F21</f>
        <v/>
      </c>
      <c r="G47" s="641" t="str">
        <f aca="false">'Bid Leveling'!G21</f>
        <v/>
      </c>
      <c r="H47" s="641" t="str">
        <f aca="false">'Bid Leveling'!H21</f>
        <v/>
      </c>
      <c r="I47" s="642" t="str">
        <f aca="false">'Bid Leveling'!I21</f>
        <v/>
      </c>
    </row>
    <row r="48" customFormat="false" ht="15" hidden="false" customHeight="true" outlineLevel="0" collapsed="false">
      <c r="B48" s="643" t="str">
        <f aca="false">'Bid Leveling'!B22</f>
        <v>Div 10 — Specialties</v>
      </c>
      <c r="C48" s="644" t="n">
        <f aca="false">'Bid Leveling'!C22</f>
        <v>4010233.425</v>
      </c>
      <c r="D48" s="645" t="str">
        <f aca="false">'Bid Leveling'!D22</f>
        <v/>
      </c>
      <c r="E48" s="645" t="str">
        <f aca="false">'Bid Leveling'!E22</f>
        <v/>
      </c>
      <c r="F48" s="645" t="str">
        <f aca="false">'Bid Leveling'!F22</f>
        <v/>
      </c>
      <c r="G48" s="645" t="str">
        <f aca="false">'Bid Leveling'!G22</f>
        <v/>
      </c>
      <c r="H48" s="645" t="str">
        <f aca="false">'Bid Leveling'!H22</f>
        <v/>
      </c>
      <c r="I48" s="646" t="str">
        <f aca="false">'Bid Leveling'!I22</f>
        <v/>
      </c>
    </row>
    <row r="49" customFormat="false" ht="15" hidden="false" customHeight="true" outlineLevel="0" collapsed="false">
      <c r="B49" s="639" t="str">
        <f aca="false">'Bid Leveling'!B23</f>
        <v>Div 11 — Equipment</v>
      </c>
      <c r="C49" s="640" t="n">
        <f aca="false">'Bid Leveling'!C23</f>
        <v>1525590</v>
      </c>
      <c r="D49" s="641" t="str">
        <f aca="false">'Bid Leveling'!D23</f>
        <v/>
      </c>
      <c r="E49" s="641" t="str">
        <f aca="false">'Bid Leveling'!E23</f>
        <v/>
      </c>
      <c r="F49" s="641" t="str">
        <f aca="false">'Bid Leveling'!F23</f>
        <v/>
      </c>
      <c r="G49" s="641" t="str">
        <f aca="false">'Bid Leveling'!G23</f>
        <v/>
      </c>
      <c r="H49" s="641" t="str">
        <f aca="false">'Bid Leveling'!H23</f>
        <v/>
      </c>
      <c r="I49" s="642" t="str">
        <f aca="false">'Bid Leveling'!I23</f>
        <v/>
      </c>
    </row>
    <row r="50" customFormat="false" ht="15" hidden="false" customHeight="true" outlineLevel="0" collapsed="false">
      <c r="B50" s="643" t="str">
        <f aca="false">'Bid Leveling'!B24</f>
        <v>Div 12 — Furnishings</v>
      </c>
      <c r="C50" s="644" t="n">
        <f aca="false">'Bid Leveling'!C24</f>
        <v>1217056.5</v>
      </c>
      <c r="D50" s="645" t="str">
        <f aca="false">'Bid Leveling'!D24</f>
        <v/>
      </c>
      <c r="E50" s="645" t="str">
        <f aca="false">'Bid Leveling'!E24</f>
        <v/>
      </c>
      <c r="F50" s="645" t="str">
        <f aca="false">'Bid Leveling'!F24</f>
        <v/>
      </c>
      <c r="G50" s="645" t="str">
        <f aca="false">'Bid Leveling'!G24</f>
        <v/>
      </c>
      <c r="H50" s="645" t="str">
        <f aca="false">'Bid Leveling'!H24</f>
        <v/>
      </c>
      <c r="I50" s="646" t="str">
        <f aca="false">'Bid Leveling'!I24</f>
        <v/>
      </c>
    </row>
    <row r="51" customFormat="false" ht="15" hidden="false" customHeight="true" outlineLevel="0" collapsed="false">
      <c r="B51" s="639" t="str">
        <f aca="false">'Bid Leveling'!B25</f>
        <v>Div 14 — Conveying Equipment</v>
      </c>
      <c r="C51" s="640" t="n">
        <f aca="false">'Bid Leveling'!C25</f>
        <v>4104292.5</v>
      </c>
      <c r="D51" s="641" t="str">
        <f aca="false">'Bid Leveling'!D25</f>
        <v/>
      </c>
      <c r="E51" s="641" t="str">
        <f aca="false">'Bid Leveling'!E25</f>
        <v/>
      </c>
      <c r="F51" s="641" t="str">
        <f aca="false">'Bid Leveling'!F25</f>
        <v/>
      </c>
      <c r="G51" s="641" t="str">
        <f aca="false">'Bid Leveling'!G25</f>
        <v/>
      </c>
      <c r="H51" s="641" t="str">
        <f aca="false">'Bid Leveling'!H25</f>
        <v/>
      </c>
      <c r="I51" s="642" t="str">
        <f aca="false">'Bid Leveling'!I25</f>
        <v/>
      </c>
    </row>
    <row r="52" customFormat="false" ht="15" hidden="false" customHeight="true" outlineLevel="0" collapsed="false">
      <c r="B52" s="643" t="str">
        <f aca="false">'Bid Leveling'!B26</f>
        <v>Div 21 — Fire Suppression</v>
      </c>
      <c r="C52" s="644" t="n">
        <f aca="false">'Bid Leveling'!C26</f>
        <v>22577593.5</v>
      </c>
      <c r="D52" s="645" t="str">
        <f aca="false">'Bid Leveling'!D26</f>
        <v/>
      </c>
      <c r="E52" s="645" t="str">
        <f aca="false">'Bid Leveling'!E26</f>
        <v/>
      </c>
      <c r="F52" s="645" t="str">
        <f aca="false">'Bid Leveling'!F26</f>
        <v/>
      </c>
      <c r="G52" s="645" t="str">
        <f aca="false">'Bid Leveling'!G26</f>
        <v/>
      </c>
      <c r="H52" s="645" t="str">
        <f aca="false">'Bid Leveling'!H26</f>
        <v/>
      </c>
      <c r="I52" s="646" t="str">
        <f aca="false">'Bid Leveling'!I26</f>
        <v/>
      </c>
    </row>
    <row r="53" customFormat="false" ht="15" hidden="false" customHeight="true" outlineLevel="0" collapsed="false">
      <c r="B53" s="639" t="str">
        <f aca="false">'Bid Leveling'!B27</f>
        <v>Div 22 — Plumbing</v>
      </c>
      <c r="C53" s="640" t="n">
        <f aca="false">'Bid Leveling'!C27</f>
        <v>22312498.51875</v>
      </c>
      <c r="D53" s="641" t="str">
        <f aca="false">'Bid Leveling'!D27</f>
        <v/>
      </c>
      <c r="E53" s="641" t="str">
        <f aca="false">'Bid Leveling'!E27</f>
        <v/>
      </c>
      <c r="F53" s="641" t="str">
        <f aca="false">'Bid Leveling'!F27</f>
        <v/>
      </c>
      <c r="G53" s="641" t="str">
        <f aca="false">'Bid Leveling'!G27</f>
        <v/>
      </c>
      <c r="H53" s="641" t="str">
        <f aca="false">'Bid Leveling'!H27</f>
        <v/>
      </c>
      <c r="I53" s="642" t="str">
        <f aca="false">'Bid Leveling'!I27</f>
        <v/>
      </c>
    </row>
    <row r="54" customFormat="false" ht="15" hidden="false" customHeight="true" outlineLevel="0" collapsed="false">
      <c r="B54" s="643" t="str">
        <f aca="false">'Bid Leveling'!B28</f>
        <v>Div 23 — HVAC / Cooling Systems</v>
      </c>
      <c r="C54" s="644" t="n">
        <f aca="false">'Bid Leveling'!C28</f>
        <v>226484248.001927</v>
      </c>
      <c r="D54" s="645" t="str">
        <f aca="false">'Bid Leveling'!D28</f>
        <v/>
      </c>
      <c r="E54" s="645" t="str">
        <f aca="false">'Bid Leveling'!E28</f>
        <v/>
      </c>
      <c r="F54" s="645" t="str">
        <f aca="false">'Bid Leveling'!F28</f>
        <v/>
      </c>
      <c r="G54" s="645" t="str">
        <f aca="false">'Bid Leveling'!G28</f>
        <v/>
      </c>
      <c r="H54" s="645" t="str">
        <f aca="false">'Bid Leveling'!H28</f>
        <v/>
      </c>
      <c r="I54" s="646" t="str">
        <f aca="false">'Bid Leveling'!I28</f>
        <v/>
      </c>
    </row>
    <row r="55" customFormat="false" ht="15" hidden="false" customHeight="true" outlineLevel="0" collapsed="false">
      <c r="B55" s="639" t="str">
        <f aca="false">'Bid Leveling'!B29</f>
        <v>Div 25 — Integrated Automation</v>
      </c>
      <c r="C55" s="640" t="n">
        <f aca="false">'Bid Leveling'!C29</f>
        <v>13470732</v>
      </c>
      <c r="D55" s="641" t="str">
        <f aca="false">'Bid Leveling'!D29</f>
        <v/>
      </c>
      <c r="E55" s="641" t="str">
        <f aca="false">'Bid Leveling'!E29</f>
        <v/>
      </c>
      <c r="F55" s="641" t="str">
        <f aca="false">'Bid Leveling'!F29</f>
        <v/>
      </c>
      <c r="G55" s="641" t="str">
        <f aca="false">'Bid Leveling'!G29</f>
        <v/>
      </c>
      <c r="H55" s="641" t="str">
        <f aca="false">'Bid Leveling'!H29</f>
        <v/>
      </c>
      <c r="I55" s="642" t="str">
        <f aca="false">'Bid Leveling'!I29</f>
        <v/>
      </c>
    </row>
    <row r="56" customFormat="false" ht="15" hidden="false" customHeight="true" outlineLevel="0" collapsed="false">
      <c r="B56" s="643" t="str">
        <f aca="false">'Bid Leveling'!B30</f>
        <v>Div 26 — Electrical / Critical Power</v>
      </c>
      <c r="C56" s="644" t="n">
        <f aca="false">'Bid Leveling'!C30</f>
        <v>248147784.950389</v>
      </c>
      <c r="D56" s="645" t="str">
        <f aca="false">'Bid Leveling'!D30</f>
        <v/>
      </c>
      <c r="E56" s="645" t="str">
        <f aca="false">'Bid Leveling'!E30</f>
        <v/>
      </c>
      <c r="F56" s="645" t="str">
        <f aca="false">'Bid Leveling'!F30</f>
        <v/>
      </c>
      <c r="G56" s="645" t="str">
        <f aca="false">'Bid Leveling'!G30</f>
        <v/>
      </c>
      <c r="H56" s="645" t="str">
        <f aca="false">'Bid Leveling'!H30</f>
        <v/>
      </c>
      <c r="I56" s="646" t="str">
        <f aca="false">'Bid Leveling'!I30</f>
        <v/>
      </c>
    </row>
    <row r="57" customFormat="false" ht="15" hidden="false" customHeight="true" outlineLevel="0" collapsed="false">
      <c r="B57" s="639" t="str">
        <f aca="false">'Bid Leveling'!B31</f>
        <v>Div 27 — Communications / IT Infrastructure</v>
      </c>
      <c r="C57" s="640" t="n">
        <f aca="false">'Bid Leveling'!C31</f>
        <v>60417387.7013327</v>
      </c>
      <c r="D57" s="641" t="str">
        <f aca="false">'Bid Leveling'!D31</f>
        <v/>
      </c>
      <c r="E57" s="641" t="str">
        <f aca="false">'Bid Leveling'!E31</f>
        <v/>
      </c>
      <c r="F57" s="641" t="str">
        <f aca="false">'Bid Leveling'!F31</f>
        <v/>
      </c>
      <c r="G57" s="641" t="str">
        <f aca="false">'Bid Leveling'!G31</f>
        <v/>
      </c>
      <c r="H57" s="641" t="str">
        <f aca="false">'Bid Leveling'!H31</f>
        <v/>
      </c>
      <c r="I57" s="642" t="str">
        <f aca="false">'Bid Leveling'!I31</f>
        <v/>
      </c>
    </row>
    <row r="58" customFormat="false" ht="15" hidden="false" customHeight="true" outlineLevel="0" collapsed="false">
      <c r="B58" s="643" t="str">
        <f aca="false">'Bid Leveling'!B32</f>
        <v>Div 28 — Electronic Safety &amp; Security</v>
      </c>
      <c r="C58" s="644" t="n">
        <f aca="false">'Bid Leveling'!C32</f>
        <v>15750753.4249814</v>
      </c>
      <c r="D58" s="645" t="str">
        <f aca="false">'Bid Leveling'!D32</f>
        <v/>
      </c>
      <c r="E58" s="645" t="str">
        <f aca="false">'Bid Leveling'!E32</f>
        <v/>
      </c>
      <c r="F58" s="645" t="str">
        <f aca="false">'Bid Leveling'!F32</f>
        <v/>
      </c>
      <c r="G58" s="645" t="str">
        <f aca="false">'Bid Leveling'!G32</f>
        <v/>
      </c>
      <c r="H58" s="645" t="str">
        <f aca="false">'Bid Leveling'!H32</f>
        <v/>
      </c>
      <c r="I58" s="646" t="str">
        <f aca="false">'Bid Leveling'!I32</f>
        <v/>
      </c>
    </row>
    <row r="59" customFormat="false" ht="15" hidden="false" customHeight="true" outlineLevel="0" collapsed="false">
      <c r="B59" s="639" t="str">
        <f aca="false">'Bid Leveling'!B33</f>
        <v>Div 31 — Earthwork</v>
      </c>
      <c r="C59" s="640" t="n">
        <f aca="false">'Bid Leveling'!C33</f>
        <v>25614732</v>
      </c>
      <c r="D59" s="641" t="str">
        <f aca="false">'Bid Leveling'!D33</f>
        <v/>
      </c>
      <c r="E59" s="641" t="str">
        <f aca="false">'Bid Leveling'!E33</f>
        <v/>
      </c>
      <c r="F59" s="641" t="str">
        <f aca="false">'Bid Leveling'!F33</f>
        <v/>
      </c>
      <c r="G59" s="641" t="str">
        <f aca="false">'Bid Leveling'!G33</f>
        <v/>
      </c>
      <c r="H59" s="641" t="str">
        <f aca="false">'Bid Leveling'!H33</f>
        <v/>
      </c>
      <c r="I59" s="642" t="str">
        <f aca="false">'Bid Leveling'!I33</f>
        <v/>
      </c>
    </row>
    <row r="60" customFormat="false" ht="15" hidden="false" customHeight="true" outlineLevel="0" collapsed="false">
      <c r="B60" s="643" t="str">
        <f aca="false">'Bid Leveling'!B34</f>
        <v>Div 32 — Exterior Improvements</v>
      </c>
      <c r="C60" s="644" t="n">
        <f aca="false">'Bid Leveling'!C34</f>
        <v>9371809.46422509</v>
      </c>
      <c r="D60" s="645" t="str">
        <f aca="false">'Bid Leveling'!D34</f>
        <v/>
      </c>
      <c r="E60" s="645" t="str">
        <f aca="false">'Bid Leveling'!E34</f>
        <v/>
      </c>
      <c r="F60" s="645" t="str">
        <f aca="false">'Bid Leveling'!F34</f>
        <v/>
      </c>
      <c r="G60" s="645" t="str">
        <f aca="false">'Bid Leveling'!G34</f>
        <v/>
      </c>
      <c r="H60" s="645" t="str">
        <f aca="false">'Bid Leveling'!H34</f>
        <v/>
      </c>
      <c r="I60" s="646" t="str">
        <f aca="false">'Bid Leveling'!I34</f>
        <v/>
      </c>
    </row>
    <row r="61" customFormat="false" ht="15" hidden="false" customHeight="true" outlineLevel="0" collapsed="false">
      <c r="B61" s="639" t="str">
        <f aca="false">'Bid Leveling'!B35</f>
        <v>Div 33 — Utilities</v>
      </c>
      <c r="C61" s="640" t="n">
        <f aca="false">'Bid Leveling'!C35</f>
        <v>63598602.375</v>
      </c>
      <c r="D61" s="641" t="str">
        <f aca="false">'Bid Leveling'!D35</f>
        <v/>
      </c>
      <c r="E61" s="641" t="str">
        <f aca="false">'Bid Leveling'!E35</f>
        <v/>
      </c>
      <c r="F61" s="641" t="str">
        <f aca="false">'Bid Leveling'!F35</f>
        <v/>
      </c>
      <c r="G61" s="641" t="str">
        <f aca="false">'Bid Leveling'!G35</f>
        <v/>
      </c>
      <c r="H61" s="641" t="str">
        <f aca="false">'Bid Leveling'!H35</f>
        <v/>
      </c>
      <c r="I61" s="642" t="str">
        <f aca="false">'Bid Leveling'!I35</f>
        <v/>
      </c>
    </row>
    <row r="62" customFormat="false" ht="15" hidden="false" customHeight="true" outlineLevel="0" collapsed="false">
      <c r="B62" s="647" t="s">
        <v>3589</v>
      </c>
      <c r="C62" s="648" t="n">
        <f aca="false">SUM(C39:C61)</f>
        <v>975243237.067392</v>
      </c>
      <c r="D62" s="649" t="n">
        <f aca="false">SUM(D39:D61)</f>
        <v>0</v>
      </c>
      <c r="E62" s="649" t="n">
        <f aca="false">SUM(E39:E61)</f>
        <v>0</v>
      </c>
      <c r="F62" s="649" t="n">
        <f aca="false">SUM(F39:F61)</f>
        <v>0</v>
      </c>
      <c r="G62" s="649" t="n">
        <f aca="false">SUM(G39:G61)</f>
        <v>0</v>
      </c>
      <c r="H62" s="649" t="n">
        <f aca="false">SUM(H39:H61)</f>
        <v>0</v>
      </c>
      <c r="I62" s="650" t="str">
        <f aca="false">IF(OR(H62=0,C62=0),"",(H62-C62)/C62)</f>
        <v/>
      </c>
    </row>
    <row r="64" customFormat="false" ht="15.75" hidden="false" customHeight="true" outlineLevel="0" collapsed="false">
      <c r="A64" s="364" t="s">
        <v>3590</v>
      </c>
      <c r="B64" s="149"/>
      <c r="C64" s="149"/>
      <c r="D64" s="149"/>
      <c r="E64" s="149"/>
      <c r="F64" s="149"/>
      <c r="G64" s="149"/>
      <c r="H64" s="149"/>
      <c r="I64" s="149"/>
    </row>
    <row r="65" customFormat="false" ht="15" hidden="false" customHeight="true" outlineLevel="0" collapsed="false">
      <c r="B65" s="255" t="s">
        <v>3591</v>
      </c>
    </row>
    <row r="66" customFormat="false" ht="42" hidden="false" customHeight="true" outlineLevel="0" collapsed="false">
      <c r="B66" s="651" t="s">
        <v>3592</v>
      </c>
      <c r="C66" s="638" t="s">
        <v>3593</v>
      </c>
      <c r="D66" s="638" t="str">
        <f aca="false">B12</f>
        <v>National Build Group</v>
      </c>
      <c r="E66" s="638" t="str">
        <f aca="false">B13</f>
        <v>Western Constructors</v>
      </c>
      <c r="F66" s="638" t="str">
        <f aca="false">B14</f>
        <v>Metro Mission Critical</v>
      </c>
      <c r="G66" s="638" t="str">
        <f aca="false">B15</f>
        <v>Pinnacle CM (DC specialist)</v>
      </c>
    </row>
    <row r="67" customFormat="false" ht="15" hidden="false" customHeight="true" outlineLevel="0" collapsed="false">
      <c r="B67" s="652" t="s">
        <v>3594</v>
      </c>
      <c r="C67" s="653"/>
      <c r="D67" s="653"/>
      <c r="E67" s="653"/>
      <c r="F67" s="653"/>
      <c r="G67" s="653"/>
    </row>
    <row r="68" customFormat="false" ht="15" hidden="false" customHeight="true" outlineLevel="0" collapsed="false">
      <c r="B68" s="654" t="s">
        <v>3595</v>
      </c>
      <c r="C68" s="655"/>
      <c r="D68" s="655"/>
      <c r="E68" s="655"/>
      <c r="F68" s="655"/>
      <c r="G68" s="655"/>
    </row>
    <row r="69" customFormat="false" ht="15" hidden="false" customHeight="true" outlineLevel="0" collapsed="false">
      <c r="B69" s="652" t="s">
        <v>3596</v>
      </c>
      <c r="C69" s="656"/>
      <c r="D69" s="656"/>
      <c r="E69" s="656"/>
      <c r="F69" s="656"/>
      <c r="G69" s="656"/>
    </row>
    <row r="70" customFormat="false" ht="15" hidden="false" customHeight="true" outlineLevel="0" collapsed="false">
      <c r="B70" s="654" t="s">
        <v>3597</v>
      </c>
      <c r="C70" s="656"/>
      <c r="D70" s="656"/>
      <c r="E70" s="656"/>
      <c r="F70" s="656"/>
      <c r="G70" s="656"/>
    </row>
    <row r="71" customFormat="false" ht="15" hidden="false" customHeight="true" outlineLevel="0" collapsed="false">
      <c r="B71" s="652" t="s">
        <v>3598</v>
      </c>
      <c r="C71" s="653"/>
      <c r="D71" s="653"/>
      <c r="E71" s="653"/>
      <c r="F71" s="653"/>
      <c r="G71" s="653"/>
    </row>
    <row r="72" customFormat="false" ht="15" hidden="false" customHeight="true" outlineLevel="0" collapsed="false">
      <c r="B72" s="654" t="s">
        <v>3599</v>
      </c>
      <c r="C72" s="656"/>
      <c r="D72" s="656"/>
      <c r="E72" s="656"/>
      <c r="F72" s="656"/>
      <c r="G72" s="656"/>
    </row>
    <row r="73" customFormat="false" ht="15" hidden="false" customHeight="true" outlineLevel="0" collapsed="false">
      <c r="B73" s="652" t="s">
        <v>3600</v>
      </c>
      <c r="C73" s="655"/>
      <c r="D73" s="655"/>
      <c r="E73" s="655"/>
      <c r="F73" s="655"/>
      <c r="G73" s="655"/>
    </row>
    <row r="74" customFormat="false" ht="15" hidden="false" customHeight="true" outlineLevel="0" collapsed="false">
      <c r="B74" s="654" t="s">
        <v>3601</v>
      </c>
      <c r="C74" s="657"/>
      <c r="D74" s="657"/>
      <c r="E74" s="657"/>
      <c r="F74" s="657"/>
      <c r="G74" s="657"/>
    </row>
    <row r="75" customFormat="false" ht="15" hidden="false" customHeight="true" outlineLevel="0" collapsed="false">
      <c r="B75" s="652" t="s">
        <v>3602</v>
      </c>
      <c r="C75" s="658"/>
      <c r="D75" s="658"/>
      <c r="E75" s="658"/>
      <c r="F75" s="658"/>
      <c r="G75" s="658"/>
    </row>
    <row r="76" customFormat="false" ht="15" hidden="false" customHeight="true" outlineLevel="0" collapsed="false">
      <c r="B76" s="654" t="s">
        <v>3603</v>
      </c>
      <c r="C76" s="659"/>
      <c r="D76" s="659"/>
      <c r="E76" s="659"/>
      <c r="F76" s="659"/>
      <c r="G76" s="659"/>
    </row>
    <row r="77" customFormat="false" ht="15" hidden="false" customHeight="true" outlineLevel="0" collapsed="false">
      <c r="B77" s="652" t="s">
        <v>3604</v>
      </c>
      <c r="C77" s="653"/>
      <c r="D77" s="653"/>
      <c r="E77" s="653"/>
      <c r="F77" s="653"/>
      <c r="G77" s="653"/>
    </row>
    <row r="78" customFormat="false" ht="15" hidden="false" customHeight="true" outlineLevel="0" collapsed="false">
      <c r="B78" s="660" t="s">
        <v>3605</v>
      </c>
      <c r="C78" s="661"/>
      <c r="D78" s="661"/>
      <c r="E78" s="661"/>
      <c r="F78" s="661"/>
      <c r="G78" s="661"/>
    </row>
  </sheetData>
  <mergeCells count="11">
    <mergeCell ref="A1:K1"/>
    <mergeCell ref="A2:K2"/>
    <mergeCell ref="B4:G4"/>
    <mergeCell ref="A6:K6"/>
    <mergeCell ref="A10:K10"/>
    <mergeCell ref="A17:K17"/>
    <mergeCell ref="A18:B18"/>
    <mergeCell ref="C18:G18"/>
    <mergeCell ref="A19:B19"/>
    <mergeCell ref="A20:B20"/>
    <mergeCell ref="C20:K20"/>
  </mergeCells>
  <conditionalFormatting sqref="D12:I15">
    <cfRule type="colorScale" priority="2">
      <colorScale>
        <cfvo type="min" val="0"/>
        <cfvo type="percent" val="50"/>
        <cfvo type="max" val="0"/>
        <color rgb="FFF8696B"/>
        <color rgb="FFFFEB84"/>
        <color rgb="FF63BE7B"/>
      </colorScale>
    </cfRule>
  </conditionalFormatting>
  <conditionalFormatting sqref="J12:J15">
    <cfRule type="dataBar" priority="3">
      <dataBar showValue="1" minLength="10" maxLength="90">
        <cfvo type="min" val="0"/>
        <cfvo type="max" val="0"/>
        <color rgb="FF638EC6"/>
      </dataBar>
      <extLst>
        <ext xmlns:x14="http://schemas.microsoft.com/office/spreadsheetml/2009/9/main" uri="{B025F937-C7B1-47D3-B67F-A62EFF666E3E}">
          <x14:id>{364B7B3C-7AAE-473B-95A6-A4822BCCA75A}</x14:id>
        </ext>
      </extLst>
    </cfRule>
  </conditionalFormatting>
  <conditionalFormatting sqref="A12:C15">
    <cfRule type="expression" priority="4" aboveAverage="0" equalAverage="0" bottom="0" percent="0" rank="0" text="" dxfId="13">
      <formula>$K12=1</formula>
    </cfRule>
  </conditionalFormatting>
  <conditionalFormatting sqref="K12:K15">
    <cfRule type="expression" priority="5" aboveAverage="0" equalAverage="0" bottom="0" percent="0" rank="0" text="" dxfId="14">
      <formula>$K12=1</formula>
    </cfRule>
  </conditionalFormatting>
  <conditionalFormatting sqref="K8">
    <cfRule type="expression" priority="6" aboveAverage="0" equalAverage="0" bottom="0" percent="0" rank="0" text="" dxfId="15">
      <formula>$K$8="✓"</formula>
    </cfRule>
    <cfRule type="expression" priority="7" aboveAverage="0" equalAverage="0" bottom="0" percent="0" rank="0" text="" dxfId="16">
      <formula>$K$8="✗"</formula>
    </cfRule>
  </conditionalFormatting>
  <conditionalFormatting sqref="D78:G78">
    <cfRule type="containsText" priority="8" operator="containsText" aboveAverage="0" equalAverage="0" bottom="0" percent="0" rank="0" text="Fail" dxfId="10">
      <formula>NOT(ISERROR(SEARCH("Fail",D78)))</formula>
    </cfRule>
    <cfRule type="containsText" priority="9" operator="containsText" aboveAverage="0" equalAverage="0" bottom="0" percent="0" rank="0" text="Pass" dxfId="3">
      <formula>NOT(ISERROR(SEARCH("Pass",D78)))</formula>
    </cfRule>
  </conditionalFormatting>
  <dataValidations count="1">
    <dataValidation allowBlank="true" errorStyle="stop" operator="between" showDropDown="false" showErrorMessage="false" showInputMessage="false" sqref="E12:I15" type="whole">
      <formula1>1</formula1>
      <formula2>10</formula2>
    </dataValidation>
  </dataValidation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364B7B3C-7AAE-473B-95A6-A4822BCCA75A}">
            <x14:dataBar minLength="10" maxLength="90" axisPosition="none" gradient="true">
              <x14:cfvo type="min"/>
              <x14:cfvo type="max"/>
              <x14:negativeFillColor rgb="FF638EC6"/>
              <x14:axisColor rgb="FF000000"/>
            </x14:dataBar>
          </x14:cfRule>
          <xm:sqref>J12:J15</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8C8C"/>
    <pageSetUpPr fitToPage="true"/>
  </sheetPr>
  <dimension ref="A1:Q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E48" activeCellId="0" sqref="E48"/>
    </sheetView>
  </sheetViews>
  <sheetFormatPr defaultColWidth="8.57421875" defaultRowHeight="15" zeroHeight="false" outlineLevelRow="0" outlineLevelCol="0"/>
  <cols>
    <col collapsed="false" customWidth="true" hidden="false" outlineLevel="0" max="1" min="1" style="1" width="41"/>
    <col collapsed="false" customWidth="true" hidden="false" outlineLevel="0" max="2" min="2" style="1" width="7"/>
    <col collapsed="false" customWidth="true" hidden="false" outlineLevel="0" max="3" min="3" style="1" width="18.29"/>
    <col collapsed="false" customWidth="true" hidden="false" outlineLevel="0" max="4" min="4" style="1" width="12"/>
    <col collapsed="false" customWidth="true" hidden="false" outlineLevel="0" max="6" min="5" style="1" width="8"/>
    <col collapsed="false" customWidth="true" hidden="false" outlineLevel="0" max="8" min="7" style="1" width="12"/>
    <col collapsed="false" customWidth="true" hidden="false" outlineLevel="0" max="9" min="9" style="1" width="11"/>
    <col collapsed="false" customWidth="true" hidden="false" outlineLevel="0" max="10" min="10" style="1" width="13"/>
    <col collapsed="false" customWidth="true" hidden="false" outlineLevel="0" max="11" min="11" style="1" width="14"/>
    <col collapsed="false" customWidth="true" hidden="false" outlineLevel="0" max="12" min="12" style="1" width="20"/>
    <col collapsed="false" customWidth="true" hidden="false" outlineLevel="0" max="13" min="13" style="1" width="31.43"/>
    <col collapsed="false" customWidth="true" hidden="false" outlineLevel="0" max="14" min="14" style="1" width="33.29"/>
    <col collapsed="false" customWidth="true" hidden="false" outlineLevel="0" max="15" min="15" style="1" width="9.57"/>
    <col collapsed="false" customWidth="true" hidden="false" outlineLevel="0" max="16" min="16" style="1" width="11.43"/>
    <col collapsed="false" customWidth="true" hidden="false" outlineLevel="0" max="17" min="17" style="1" width="28.57"/>
  </cols>
  <sheetData>
    <row r="1" customFormat="false" ht="27.75" hidden="false" customHeight="true" outlineLevel="0" collapsed="false">
      <c r="A1" s="105" t="s">
        <v>3606</v>
      </c>
      <c r="B1" s="105"/>
      <c r="C1" s="105"/>
      <c r="D1" s="105"/>
      <c r="E1" s="105"/>
      <c r="F1" s="105"/>
      <c r="G1" s="105"/>
      <c r="H1" s="105"/>
      <c r="I1" s="105"/>
      <c r="J1" s="105"/>
      <c r="K1" s="105"/>
      <c r="L1" s="105"/>
      <c r="M1" s="197"/>
      <c r="N1" s="197"/>
      <c r="O1" s="197"/>
      <c r="P1" s="197"/>
      <c r="Q1" s="197"/>
    </row>
    <row r="2" customFormat="false" ht="15" hidden="false" customHeight="true" outlineLevel="0" collapsed="false">
      <c r="A2" s="3" t="s">
        <v>3607</v>
      </c>
      <c r="B2" s="3"/>
      <c r="C2" s="3"/>
      <c r="D2" s="3"/>
      <c r="E2" s="3"/>
      <c r="F2" s="3"/>
      <c r="G2" s="3"/>
      <c r="H2" s="3"/>
      <c r="I2" s="3"/>
      <c r="J2" s="3"/>
      <c r="K2" s="3"/>
      <c r="L2" s="3"/>
    </row>
    <row r="4" customFormat="false" ht="15" hidden="false" customHeight="true" outlineLevel="0" collapsed="false">
      <c r="A4" s="7" t="s">
        <v>3608</v>
      </c>
      <c r="B4" s="7"/>
      <c r="C4" s="7"/>
      <c r="D4" s="7"/>
      <c r="E4" s="7"/>
    </row>
    <row r="5" customFormat="false" ht="15" hidden="false" customHeight="true" outlineLevel="0" collapsed="false">
      <c r="A5" s="125" t="s">
        <v>3609</v>
      </c>
      <c r="B5" s="662" t="n">
        <v>46204</v>
      </c>
      <c r="C5" s="662"/>
      <c r="D5" s="662"/>
    </row>
    <row r="6" customFormat="false" ht="15" hidden="false" customHeight="true" outlineLevel="0" collapsed="false">
      <c r="A6" s="125" t="s">
        <v>3610</v>
      </c>
      <c r="B6" s="663" t="n">
        <f aca="false">'Construction Budget'!F3</f>
        <v>46143</v>
      </c>
      <c r="C6" s="663"/>
      <c r="D6" s="663"/>
    </row>
    <row r="7" customFormat="false" ht="15" hidden="false" customHeight="true" outlineLevel="0" collapsed="false">
      <c r="A7" s="125" t="s">
        <v>3611</v>
      </c>
      <c r="B7" s="510" t="n">
        <f aca="false">'Construction Budget'!H7</f>
        <v>0.035</v>
      </c>
      <c r="C7" s="510"/>
    </row>
    <row r="9" customFormat="false" ht="15" hidden="false" customHeight="true" outlineLevel="0" collapsed="false">
      <c r="A9" s="7" t="s">
        <v>3612</v>
      </c>
      <c r="B9" s="7"/>
      <c r="C9" s="7"/>
      <c r="D9" s="7"/>
      <c r="E9" s="7"/>
      <c r="F9" s="7"/>
      <c r="G9" s="7"/>
      <c r="H9" s="7"/>
      <c r="I9" s="7"/>
      <c r="J9" s="7"/>
      <c r="K9" s="7"/>
      <c r="L9" s="7"/>
      <c r="M9" s="141"/>
      <c r="N9" s="141"/>
      <c r="O9" s="141"/>
      <c r="P9" s="141"/>
      <c r="Q9" s="141"/>
    </row>
    <row r="10" customFormat="false" ht="27.75" hidden="false" customHeight="true" outlineLevel="0" collapsed="false">
      <c r="A10" s="503" t="s">
        <v>3613</v>
      </c>
      <c r="B10" s="503" t="s">
        <v>3614</v>
      </c>
      <c r="C10" s="618" t="s">
        <v>3615</v>
      </c>
      <c r="D10" s="503" t="s">
        <v>3616</v>
      </c>
      <c r="E10" s="503" t="s">
        <v>3617</v>
      </c>
      <c r="F10" s="503" t="s">
        <v>3618</v>
      </c>
      <c r="G10" s="503" t="s">
        <v>3619</v>
      </c>
      <c r="H10" s="503" t="s">
        <v>3620</v>
      </c>
      <c r="I10" s="503" t="s">
        <v>3621</v>
      </c>
      <c r="J10" s="503" t="s">
        <v>3622</v>
      </c>
      <c r="K10" s="503" t="s">
        <v>2572</v>
      </c>
      <c r="L10" s="503" t="s">
        <v>3623</v>
      </c>
      <c r="M10" s="664" t="s">
        <v>3624</v>
      </c>
      <c r="N10" s="664" t="s">
        <v>3625</v>
      </c>
      <c r="O10" s="664" t="s">
        <v>3626</v>
      </c>
      <c r="P10" s="664" t="s">
        <v>3627</v>
      </c>
      <c r="Q10" s="664" t="s">
        <v>3628</v>
      </c>
    </row>
    <row r="11" customFormat="false" ht="15" hidden="false" customHeight="true" outlineLevel="0" collapsed="false">
      <c r="A11" s="665" t="s">
        <v>2663</v>
      </c>
      <c r="B11" s="127" t="n">
        <v>5</v>
      </c>
      <c r="C11" s="666" t="s">
        <v>3629</v>
      </c>
      <c r="D11" s="667" t="n">
        <v>35000000</v>
      </c>
      <c r="E11" s="668" t="n">
        <v>22</v>
      </c>
      <c r="F11" s="668" t="n">
        <v>4</v>
      </c>
      <c r="G11" s="662" t="n">
        <v>46357</v>
      </c>
      <c r="H11" s="669" t="n">
        <f aca="false">G11-(E11+F11)*7</f>
        <v>46175</v>
      </c>
      <c r="I11" s="670" t="n">
        <f aca="false">H11-$B$5</f>
        <v>-29</v>
      </c>
      <c r="J11" s="131" t="n">
        <f aca="false">D11*$B$7*E11/52</f>
        <v>518269.230769231</v>
      </c>
      <c r="K11" s="562" t="s">
        <v>3630</v>
      </c>
      <c r="L11" s="10" t="str">
        <f aca="false">IF(OR(K11="PO Released",K11="In Fabrication",K11="Shipped",K11="Delivered"),"✓ Ordered",IF($B$5&gt;H11,"● LATE — order now",IF(H11-$B$5&lt;=30,"▲ Order ≤30 days","On track")))</f>
        <v>✓ Ordered</v>
      </c>
      <c r="M11" s="671" t="s">
        <v>3631</v>
      </c>
      <c r="N11" s="671" t="s">
        <v>3632</v>
      </c>
      <c r="O11" s="672" t="n">
        <v>0.15</v>
      </c>
      <c r="P11" s="673" t="n">
        <f aca="false">D11*O11</f>
        <v>5250000</v>
      </c>
      <c r="Q11" s="671" t="s">
        <v>3633</v>
      </c>
    </row>
    <row r="12" customFormat="false" ht="15" hidden="false" customHeight="true" outlineLevel="0" collapsed="false">
      <c r="A12" s="665" t="s">
        <v>3634</v>
      </c>
      <c r="B12" s="127" t="n">
        <v>9</v>
      </c>
      <c r="C12" s="666" t="s">
        <v>3629</v>
      </c>
      <c r="D12" s="667" t="n">
        <v>21000000</v>
      </c>
      <c r="E12" s="668" t="n">
        <v>18</v>
      </c>
      <c r="F12" s="668" t="n">
        <v>4</v>
      </c>
      <c r="G12" s="662" t="n">
        <v>46692</v>
      </c>
      <c r="H12" s="669" t="n">
        <f aca="false">G12-(E12+F12)*7</f>
        <v>46538</v>
      </c>
      <c r="I12" s="670" t="n">
        <f aca="false">H12-$B$5</f>
        <v>334</v>
      </c>
      <c r="J12" s="131" t="n">
        <f aca="false">D12*$B$7*E12/52</f>
        <v>254423.076923077</v>
      </c>
      <c r="K12" s="562" t="s">
        <v>3635</v>
      </c>
      <c r="L12" s="10" t="str">
        <f aca="false">IF(OR(K12="PO Released",K12="In Fabrication",K12="Shipped",K12="Delivered"),"✓ Ordered",IF($B$5&gt;H12,"● LATE — order now",IF(H12-$B$5&lt;=30,"▲ Order ≤30 days","On track")))</f>
        <v>On track</v>
      </c>
      <c r="M12" s="671" t="s">
        <v>3636</v>
      </c>
      <c r="N12" s="671" t="s">
        <v>3637</v>
      </c>
      <c r="O12" s="672" t="n">
        <v>0.2</v>
      </c>
      <c r="P12" s="673" t="n">
        <f aca="false">D12*O12</f>
        <v>4200000</v>
      </c>
      <c r="Q12" s="671" t="s">
        <v>3638</v>
      </c>
    </row>
    <row r="13" customFormat="false" ht="24" hidden="false" customHeight="true" outlineLevel="0" collapsed="false">
      <c r="A13" s="665" t="s">
        <v>3639</v>
      </c>
      <c r="B13" s="127" t="n">
        <v>21</v>
      </c>
      <c r="C13" s="674" t="s">
        <v>3640</v>
      </c>
      <c r="D13" s="667" t="n">
        <v>15000000</v>
      </c>
      <c r="E13" s="668" t="n">
        <v>24</v>
      </c>
      <c r="F13" s="668" t="n">
        <v>4</v>
      </c>
      <c r="G13" s="662" t="n">
        <v>46720</v>
      </c>
      <c r="H13" s="669" t="n">
        <f aca="false">G13-(E13+F13)*7</f>
        <v>46524</v>
      </c>
      <c r="I13" s="670" t="n">
        <f aca="false">H13-$B$5</f>
        <v>320</v>
      </c>
      <c r="J13" s="131" t="n">
        <f aca="false">D13*$B$7*E13/52</f>
        <v>242307.692307692</v>
      </c>
      <c r="K13" s="562" t="s">
        <v>3635</v>
      </c>
      <c r="L13" s="10" t="str">
        <f aca="false">IF(OR(K13="PO Released",K13="In Fabrication",K13="Shipped",K13="Delivered"),"✓ Ordered",IF($B$5&gt;H13,"● LATE — order now",IF(H13-$B$5&lt;=30,"▲ Order ≤30 days","On track")))</f>
        <v>On track</v>
      </c>
      <c r="M13" s="671" t="s">
        <v>3641</v>
      </c>
      <c r="N13" s="671" t="s">
        <v>3642</v>
      </c>
      <c r="O13" s="672" t="n">
        <v>0.15</v>
      </c>
      <c r="P13" s="673" t="n">
        <f aca="false">D13*O13</f>
        <v>2250000</v>
      </c>
      <c r="Q13" s="671" t="s">
        <v>3643</v>
      </c>
    </row>
    <row r="14" customFormat="false" ht="15" hidden="false" customHeight="true" outlineLevel="0" collapsed="false">
      <c r="A14" s="665" t="s">
        <v>3644</v>
      </c>
      <c r="B14" s="127" t="n">
        <v>23</v>
      </c>
      <c r="C14" s="674" t="s">
        <v>3640</v>
      </c>
      <c r="D14" s="667" t="n">
        <v>60000000</v>
      </c>
      <c r="E14" s="668" t="n">
        <v>28</v>
      </c>
      <c r="F14" s="668" t="n">
        <v>4</v>
      </c>
      <c r="G14" s="662" t="n">
        <v>46753</v>
      </c>
      <c r="H14" s="669" t="n">
        <f aca="false">G14-(E14+F14)*7</f>
        <v>46529</v>
      </c>
      <c r="I14" s="670" t="n">
        <f aca="false">H14-$B$5</f>
        <v>325</v>
      </c>
      <c r="J14" s="131" t="n">
        <f aca="false">D14*$B$7*E14/52</f>
        <v>1130769.23076923</v>
      </c>
      <c r="K14" s="562" t="s">
        <v>3635</v>
      </c>
      <c r="L14" s="10" t="str">
        <f aca="false">IF(OR(K14="PO Released",K14="In Fabrication",K14="Shipped",K14="Delivered"),"✓ Ordered",IF($B$5&gt;H14,"● LATE — order now",IF(H14-$B$5&lt;=30,"▲ Order ≤30 days","On track")))</f>
        <v>On track</v>
      </c>
      <c r="M14" s="671" t="s">
        <v>3645</v>
      </c>
      <c r="N14" s="671" t="s">
        <v>3646</v>
      </c>
      <c r="O14" s="672" t="n">
        <v>0.2</v>
      </c>
      <c r="P14" s="673" t="n">
        <f aca="false">D14*O14</f>
        <v>12000000</v>
      </c>
      <c r="Q14" s="671" t="s">
        <v>3647</v>
      </c>
    </row>
    <row r="15" customFormat="false" ht="15" hidden="false" customHeight="true" outlineLevel="0" collapsed="false">
      <c r="A15" s="665" t="s">
        <v>3648</v>
      </c>
      <c r="B15" s="127" t="n">
        <v>23</v>
      </c>
      <c r="C15" s="674" t="s">
        <v>3640</v>
      </c>
      <c r="D15" s="667" t="n">
        <v>50000000</v>
      </c>
      <c r="E15" s="668" t="n">
        <v>45</v>
      </c>
      <c r="F15" s="668" t="n">
        <v>6</v>
      </c>
      <c r="G15" s="662" t="n">
        <v>46661</v>
      </c>
      <c r="H15" s="669" t="n">
        <f aca="false">G15-(E15+F15)*7</f>
        <v>46304</v>
      </c>
      <c r="I15" s="670" t="n">
        <f aca="false">H15-$B$5</f>
        <v>100</v>
      </c>
      <c r="J15" s="131" t="n">
        <f aca="false">D15*$B$7*E15/52</f>
        <v>1514423.07692308</v>
      </c>
      <c r="K15" s="562" t="s">
        <v>3635</v>
      </c>
      <c r="L15" s="10" t="str">
        <f aca="false">IF(OR(K15="PO Released",K15="In Fabrication",K15="Shipped",K15="Delivered"),"✓ Ordered",IF($B$5&gt;H15,"● LATE — order now",IF(H15-$B$5&lt;=30,"▲ Order ≤30 days","On track")))</f>
        <v>On track</v>
      </c>
      <c r="M15" s="671" t="s">
        <v>3649</v>
      </c>
      <c r="N15" s="671" t="s">
        <v>3650</v>
      </c>
      <c r="O15" s="672" t="n">
        <v>0.3</v>
      </c>
      <c r="P15" s="673" t="n">
        <f aca="false">D15*O15</f>
        <v>15000000</v>
      </c>
      <c r="Q15" s="671" t="s">
        <v>3651</v>
      </c>
    </row>
    <row r="16" customFormat="false" ht="15" hidden="false" customHeight="true" outlineLevel="0" collapsed="false">
      <c r="A16" s="665" t="s">
        <v>3652</v>
      </c>
      <c r="B16" s="127" t="n">
        <v>23</v>
      </c>
      <c r="C16" s="674" t="s">
        <v>3640</v>
      </c>
      <c r="D16" s="667" t="n">
        <v>46000000</v>
      </c>
      <c r="E16" s="668" t="n">
        <v>34</v>
      </c>
      <c r="F16" s="668" t="n">
        <v>6</v>
      </c>
      <c r="G16" s="662" t="n">
        <v>46784</v>
      </c>
      <c r="H16" s="669" t="n">
        <f aca="false">G16-(E16+F16)*7</f>
        <v>46504</v>
      </c>
      <c r="I16" s="670" t="n">
        <f aca="false">H16-$B$5</f>
        <v>300</v>
      </c>
      <c r="J16" s="131" t="n">
        <f aca="false">D16*$B$7*E16/52</f>
        <v>1052692.30769231</v>
      </c>
      <c r="K16" s="562" t="s">
        <v>3635</v>
      </c>
      <c r="L16" s="10" t="str">
        <f aca="false">IF(OR(K16="PO Released",K16="In Fabrication",K16="Shipped",K16="Delivered"),"✓ Ordered",IF($B$5&gt;H16,"● LATE — order now",IF(H16-$B$5&lt;=30,"▲ Order ≤30 days","On track")))</f>
        <v>On track</v>
      </c>
      <c r="M16" s="671" t="s">
        <v>3653</v>
      </c>
      <c r="N16" s="671" t="s">
        <v>3654</v>
      </c>
      <c r="O16" s="672" t="n">
        <v>0.3</v>
      </c>
      <c r="P16" s="673" t="n">
        <f aca="false">D16*O16</f>
        <v>13800000</v>
      </c>
      <c r="Q16" s="671" t="s">
        <v>3655</v>
      </c>
    </row>
    <row r="17" customFormat="false" ht="15" hidden="false" customHeight="true" outlineLevel="0" collapsed="false">
      <c r="A17" s="665" t="s">
        <v>2086</v>
      </c>
      <c r="B17" s="127" t="n">
        <v>23</v>
      </c>
      <c r="C17" s="674" t="s">
        <v>3640</v>
      </c>
      <c r="D17" s="667" t="n">
        <v>43000000</v>
      </c>
      <c r="E17" s="668" t="n">
        <v>30</v>
      </c>
      <c r="F17" s="668" t="n">
        <v>6</v>
      </c>
      <c r="G17" s="662" t="n">
        <v>46753</v>
      </c>
      <c r="H17" s="669" t="n">
        <f aca="false">G17-(E17+F17)*7</f>
        <v>46501</v>
      </c>
      <c r="I17" s="670" t="n">
        <f aca="false">H17-$B$5</f>
        <v>297</v>
      </c>
      <c r="J17" s="131" t="n">
        <f aca="false">D17*$B$7*E17/52</f>
        <v>868269.230769231</v>
      </c>
      <c r="K17" s="562" t="s">
        <v>3635</v>
      </c>
      <c r="L17" s="10" t="str">
        <f aca="false">IF(OR(K17="PO Released",K17="In Fabrication",K17="Shipped",K17="Delivered"),"✓ Ordered",IF($B$5&gt;H17,"● LATE — order now",IF(H17-$B$5&lt;=30,"▲ Order ≤30 days","On track")))</f>
        <v>On track</v>
      </c>
      <c r="M17" s="671" t="s">
        <v>3656</v>
      </c>
      <c r="N17" s="671" t="s">
        <v>3657</v>
      </c>
      <c r="O17" s="672" t="n">
        <v>0.25</v>
      </c>
      <c r="P17" s="673" t="n">
        <f aca="false">D17*O17</f>
        <v>10750000</v>
      </c>
      <c r="Q17" s="671" t="s">
        <v>3658</v>
      </c>
    </row>
    <row r="18" customFormat="false" ht="15" hidden="false" customHeight="true" outlineLevel="0" collapsed="false">
      <c r="A18" s="665" t="s">
        <v>3659</v>
      </c>
      <c r="B18" s="127" t="n">
        <v>23</v>
      </c>
      <c r="C18" s="674" t="s">
        <v>3640</v>
      </c>
      <c r="D18" s="667" t="n">
        <v>36000000</v>
      </c>
      <c r="E18" s="668" t="n">
        <v>40</v>
      </c>
      <c r="F18" s="668" t="n">
        <v>6</v>
      </c>
      <c r="G18" s="662" t="n">
        <v>46692</v>
      </c>
      <c r="H18" s="669" t="n">
        <f aca="false">G18-(E18+F18)*7</f>
        <v>46370</v>
      </c>
      <c r="I18" s="670" t="n">
        <f aca="false">H18-$B$5</f>
        <v>166</v>
      </c>
      <c r="J18" s="131" t="n">
        <f aca="false">D18*$B$7*E18/52</f>
        <v>969230.769230769</v>
      </c>
      <c r="K18" s="562" t="s">
        <v>3635</v>
      </c>
      <c r="L18" s="10" t="str">
        <f aca="false">IF(OR(K18="PO Released",K18="In Fabrication",K18="Shipped",K18="Delivered"),"✓ Ordered",IF($B$5&gt;H18,"● LATE — order now",IF(H18-$B$5&lt;=30,"▲ Order ≤30 days","On track")))</f>
        <v>On track</v>
      </c>
      <c r="M18" s="671" t="s">
        <v>3660</v>
      </c>
      <c r="N18" s="671" t="s">
        <v>3661</v>
      </c>
      <c r="O18" s="672" t="n">
        <v>0.3</v>
      </c>
      <c r="P18" s="673" t="n">
        <f aca="false">D18*O18</f>
        <v>10800000</v>
      </c>
      <c r="Q18" s="671" t="s">
        <v>3662</v>
      </c>
    </row>
    <row r="19" customFormat="false" ht="15" hidden="false" customHeight="true" outlineLevel="0" collapsed="false">
      <c r="A19" s="665" t="s">
        <v>3663</v>
      </c>
      <c r="B19" s="127" t="n">
        <v>23</v>
      </c>
      <c r="C19" s="674" t="s">
        <v>3640</v>
      </c>
      <c r="D19" s="667" t="n">
        <v>24000000</v>
      </c>
      <c r="E19" s="668" t="n">
        <v>32</v>
      </c>
      <c r="F19" s="668" t="n">
        <v>6</v>
      </c>
      <c r="G19" s="662" t="n">
        <v>46720</v>
      </c>
      <c r="H19" s="669" t="n">
        <f aca="false">G19-(E19+F19)*7</f>
        <v>46454</v>
      </c>
      <c r="I19" s="670" t="n">
        <f aca="false">H19-$B$5</f>
        <v>250</v>
      </c>
      <c r="J19" s="131" t="n">
        <f aca="false">D19*$B$7*E19/52</f>
        <v>516923.076923077</v>
      </c>
      <c r="K19" s="562" t="s">
        <v>3635</v>
      </c>
      <c r="L19" s="10" t="str">
        <f aca="false">IF(OR(K19="PO Released",K19="In Fabrication",K19="Shipped",K19="Delivered"),"✓ Ordered",IF($B$5&gt;H19,"● LATE — order now",IF(H19-$B$5&lt;=30,"▲ Order ≤30 days","On track")))</f>
        <v>On track</v>
      </c>
      <c r="M19" s="671" t="s">
        <v>3664</v>
      </c>
      <c r="N19" s="671" t="s">
        <v>3665</v>
      </c>
      <c r="O19" s="672" t="n">
        <v>0.25</v>
      </c>
      <c r="P19" s="673" t="n">
        <f aca="false">D19*O19</f>
        <v>6000000</v>
      </c>
      <c r="Q19" s="671" t="s">
        <v>3666</v>
      </c>
    </row>
    <row r="20" customFormat="false" ht="15" hidden="false" customHeight="true" outlineLevel="0" collapsed="false">
      <c r="A20" s="665" t="s">
        <v>3667</v>
      </c>
      <c r="B20" s="127" t="n">
        <v>23</v>
      </c>
      <c r="C20" s="674" t="s">
        <v>3640</v>
      </c>
      <c r="D20" s="667" t="n">
        <v>20000000</v>
      </c>
      <c r="E20" s="668" t="n">
        <v>30</v>
      </c>
      <c r="F20" s="668" t="n">
        <v>4</v>
      </c>
      <c r="G20" s="662" t="n">
        <v>46692</v>
      </c>
      <c r="H20" s="669" t="n">
        <f aca="false">G20-(E20+F20)*7</f>
        <v>46454</v>
      </c>
      <c r="I20" s="670" t="n">
        <f aca="false">H20-$B$5</f>
        <v>250</v>
      </c>
      <c r="J20" s="131" t="n">
        <f aca="false">D20*$B$7*E20/52</f>
        <v>403846.153846154</v>
      </c>
      <c r="K20" s="562" t="s">
        <v>3635</v>
      </c>
      <c r="L20" s="10" t="str">
        <f aca="false">IF(OR(K20="PO Released",K20="In Fabrication",K20="Shipped",K20="Delivered"),"✓ Ordered",IF($B$5&gt;H20,"● LATE — order now",IF(H20-$B$5&lt;=30,"▲ Order ≤30 days","On track")))</f>
        <v>On track</v>
      </c>
      <c r="M20" s="671" t="s">
        <v>3668</v>
      </c>
      <c r="N20" s="671" t="s">
        <v>3669</v>
      </c>
      <c r="O20" s="672" t="n">
        <v>0.2</v>
      </c>
      <c r="P20" s="673" t="n">
        <f aca="false">D20*O20</f>
        <v>4000000</v>
      </c>
      <c r="Q20" s="671" t="s">
        <v>3670</v>
      </c>
    </row>
    <row r="21" customFormat="false" ht="15" hidden="false" customHeight="true" outlineLevel="0" collapsed="false">
      <c r="A21" s="665" t="s">
        <v>3671</v>
      </c>
      <c r="B21" s="127" t="n">
        <v>23</v>
      </c>
      <c r="C21" s="674" t="s">
        <v>3640</v>
      </c>
      <c r="D21" s="667" t="n">
        <v>16000000</v>
      </c>
      <c r="E21" s="668" t="n">
        <v>28</v>
      </c>
      <c r="F21" s="668" t="n">
        <v>4</v>
      </c>
      <c r="G21" s="662" t="n">
        <v>46661</v>
      </c>
      <c r="H21" s="669" t="n">
        <f aca="false">G21-(E21+F21)*7</f>
        <v>46437</v>
      </c>
      <c r="I21" s="670" t="n">
        <f aca="false">H21-$B$5</f>
        <v>233</v>
      </c>
      <c r="J21" s="131" t="n">
        <f aca="false">D21*$B$7*E21/52</f>
        <v>301538.461538462</v>
      </c>
      <c r="K21" s="562" t="s">
        <v>3635</v>
      </c>
      <c r="L21" s="10" t="str">
        <f aca="false">IF(OR(K21="PO Released",K21="In Fabrication",K21="Shipped",K21="Delivered"),"✓ Ordered",IF($B$5&gt;H21,"● LATE — order now",IF(H21-$B$5&lt;=30,"▲ Order ≤30 days","On track")))</f>
        <v>On track</v>
      </c>
      <c r="M21" s="671" t="s">
        <v>3672</v>
      </c>
      <c r="N21" s="671" t="s">
        <v>3673</v>
      </c>
      <c r="O21" s="672" t="n">
        <v>0.2</v>
      </c>
      <c r="P21" s="673" t="n">
        <f aca="false">D21*O21</f>
        <v>3200000</v>
      </c>
      <c r="Q21" s="671" t="s">
        <v>3674</v>
      </c>
    </row>
    <row r="22" customFormat="false" ht="15" hidden="false" customHeight="true" outlineLevel="0" collapsed="false">
      <c r="A22" s="665" t="s">
        <v>3675</v>
      </c>
      <c r="B22" s="127" t="n">
        <v>23</v>
      </c>
      <c r="C22" s="674" t="s">
        <v>3640</v>
      </c>
      <c r="D22" s="667" t="n">
        <v>14000000</v>
      </c>
      <c r="E22" s="668" t="n">
        <v>26</v>
      </c>
      <c r="F22" s="668" t="n">
        <v>4</v>
      </c>
      <c r="G22" s="662" t="n">
        <v>46692</v>
      </c>
      <c r="H22" s="669" t="n">
        <f aca="false">G22-(E22+F22)*7</f>
        <v>46482</v>
      </c>
      <c r="I22" s="670" t="n">
        <f aca="false">H22-$B$5</f>
        <v>278</v>
      </c>
      <c r="J22" s="131" t="n">
        <f aca="false">D22*$B$7*E22/52</f>
        <v>245000</v>
      </c>
      <c r="K22" s="562" t="s">
        <v>3635</v>
      </c>
      <c r="L22" s="10" t="str">
        <f aca="false">IF(OR(K22="PO Released",K22="In Fabrication",K22="Shipped",K22="Delivered"),"✓ Ordered",IF($B$5&gt;H22,"● LATE — order now",IF(H22-$B$5&lt;=30,"▲ Order ≤30 days","On track")))</f>
        <v>On track</v>
      </c>
      <c r="M22" s="671" t="s">
        <v>3676</v>
      </c>
      <c r="N22" s="671" t="s">
        <v>3677</v>
      </c>
      <c r="O22" s="672" t="n">
        <v>0.2</v>
      </c>
      <c r="P22" s="673" t="n">
        <f aca="false">D22*O22</f>
        <v>2800000</v>
      </c>
      <c r="Q22" s="671" t="s">
        <v>3678</v>
      </c>
    </row>
    <row r="23" customFormat="false" ht="15" hidden="false" customHeight="true" outlineLevel="0" collapsed="false">
      <c r="A23" s="665" t="s">
        <v>3679</v>
      </c>
      <c r="B23" s="127" t="n">
        <v>23</v>
      </c>
      <c r="C23" s="674" t="s">
        <v>3640</v>
      </c>
      <c r="D23" s="667" t="n">
        <v>14000000</v>
      </c>
      <c r="E23" s="668" t="n">
        <v>26</v>
      </c>
      <c r="F23" s="668" t="n">
        <v>6</v>
      </c>
      <c r="G23" s="662" t="n">
        <v>46541</v>
      </c>
      <c r="H23" s="669" t="n">
        <f aca="false">G23-(E23+F23)*7</f>
        <v>46317</v>
      </c>
      <c r="I23" s="670" t="n">
        <f aca="false">H23-$B$5</f>
        <v>113</v>
      </c>
      <c r="J23" s="131" t="n">
        <f aca="false">D23*$B$7*E23/52</f>
        <v>245000</v>
      </c>
      <c r="K23" s="562" t="s">
        <v>3635</v>
      </c>
      <c r="L23" s="10" t="str">
        <f aca="false">IF(OR(K23="PO Released",K23="In Fabrication",K23="Shipped",K23="Delivered"),"✓ Ordered",IF($B$5&gt;H23,"● LATE — order now",IF(H23-$B$5&lt;=30,"▲ Order ≤30 days","On track")))</f>
        <v>On track</v>
      </c>
      <c r="M23" s="671" t="s">
        <v>3680</v>
      </c>
      <c r="N23" s="671" t="s">
        <v>3681</v>
      </c>
      <c r="O23" s="672" t="n">
        <v>0.2</v>
      </c>
      <c r="P23" s="673" t="n">
        <f aca="false">D23*O23</f>
        <v>2800000</v>
      </c>
      <c r="Q23" s="671" t="s">
        <v>3682</v>
      </c>
    </row>
    <row r="24" customFormat="false" ht="15" hidden="false" customHeight="true" outlineLevel="0" collapsed="false">
      <c r="A24" s="665" t="s">
        <v>3683</v>
      </c>
      <c r="B24" s="127" t="n">
        <v>23</v>
      </c>
      <c r="C24" s="674" t="s">
        <v>3640</v>
      </c>
      <c r="D24" s="667" t="n">
        <v>12000000</v>
      </c>
      <c r="E24" s="668" t="n">
        <v>20</v>
      </c>
      <c r="F24" s="668" t="n">
        <v>4</v>
      </c>
      <c r="G24" s="662" t="n">
        <v>46631</v>
      </c>
      <c r="H24" s="669" t="n">
        <f aca="false">G24-(E24+F24)*7</f>
        <v>46463</v>
      </c>
      <c r="I24" s="670" t="n">
        <f aca="false">H24-$B$5</f>
        <v>259</v>
      </c>
      <c r="J24" s="131" t="n">
        <f aca="false">D24*$B$7*E24/52</f>
        <v>161538.461538462</v>
      </c>
      <c r="K24" s="562" t="s">
        <v>3635</v>
      </c>
      <c r="L24" s="10" t="str">
        <f aca="false">IF(OR(K24="PO Released",K24="In Fabrication",K24="Shipped",K24="Delivered"),"✓ Ordered",IF($B$5&gt;H24,"● LATE — order now",IF(H24-$B$5&lt;=30,"▲ Order ≤30 days","On track")))</f>
        <v>On track</v>
      </c>
      <c r="M24" s="671" t="s">
        <v>3684</v>
      </c>
      <c r="N24" s="671" t="s">
        <v>3685</v>
      </c>
      <c r="O24" s="672" t="n">
        <v>0.2</v>
      </c>
      <c r="P24" s="673" t="n">
        <f aca="false">D24*O24</f>
        <v>2400000</v>
      </c>
      <c r="Q24" s="671" t="s">
        <v>3686</v>
      </c>
    </row>
    <row r="25" customFormat="false" ht="15" hidden="false" customHeight="true" outlineLevel="0" collapsed="false">
      <c r="A25" s="665" t="s">
        <v>3687</v>
      </c>
      <c r="B25" s="127" t="n">
        <v>25</v>
      </c>
      <c r="C25" s="674" t="s">
        <v>3640</v>
      </c>
      <c r="D25" s="675" t="n">
        <v>26000000</v>
      </c>
      <c r="E25" s="676" t="n">
        <v>30</v>
      </c>
      <c r="F25" s="676" t="n">
        <v>6</v>
      </c>
      <c r="G25" s="677" t="n">
        <v>46753</v>
      </c>
      <c r="H25" s="669" t="n">
        <f aca="false">G25-(E25+F25)*7</f>
        <v>46501</v>
      </c>
      <c r="I25" s="670" t="n">
        <f aca="false">H25-$B$5</f>
        <v>297</v>
      </c>
      <c r="J25" s="131" t="n">
        <f aca="false">D25*$B$7*E25/52</f>
        <v>525000</v>
      </c>
      <c r="K25" s="678" t="s">
        <v>3635</v>
      </c>
      <c r="L25" s="10" t="str">
        <f aca="false">IF(OR(K25="PO Released",K25="In Fabrication",K25="Shipped",K25="Delivered"),"✓ Ordered",IF($B$5&gt;H25,"● LATE — order now",IF(H25-$B$5&lt;=30,"▲ Order ≤30 days","On track")))</f>
        <v>On track</v>
      </c>
      <c r="M25" s="671" t="s">
        <v>3688</v>
      </c>
      <c r="N25" s="671" t="s">
        <v>3689</v>
      </c>
      <c r="O25" s="672" t="n">
        <v>0.2</v>
      </c>
      <c r="P25" s="673" t="n">
        <f aca="false">D25*O25</f>
        <v>5200000</v>
      </c>
      <c r="Q25" s="671" t="s">
        <v>3690</v>
      </c>
    </row>
    <row r="26" customFormat="false" ht="24" hidden="false" customHeight="true" outlineLevel="0" collapsed="false">
      <c r="A26" s="665" t="s">
        <v>3691</v>
      </c>
      <c r="B26" s="127" t="n">
        <v>26</v>
      </c>
      <c r="C26" s="679" t="s">
        <v>3640</v>
      </c>
      <c r="D26" s="680" t="n">
        <v>120000000</v>
      </c>
      <c r="E26" s="668" t="n">
        <v>65</v>
      </c>
      <c r="F26" s="668" t="n">
        <v>8</v>
      </c>
      <c r="G26" s="681" t="n">
        <v>46600</v>
      </c>
      <c r="H26" s="682" t="n">
        <f aca="false">G26-(E26+F26)*7</f>
        <v>46089</v>
      </c>
      <c r="I26" s="670" t="n">
        <f aca="false">H26-$B$5</f>
        <v>-115</v>
      </c>
      <c r="J26" s="683" t="n">
        <f aca="false">D26*$B$7*E26/52</f>
        <v>5250000</v>
      </c>
      <c r="K26" s="684" t="s">
        <v>3635</v>
      </c>
      <c r="L26" s="685" t="str">
        <f aca="false">IF(OR(K26="PO Released",K26="In Fabrication",K26="Shipped",K26="Delivered"),"✓ Ordered",IF($B$5&gt;H26,"● LATE — order now",IF(H26-$B$5&lt;=30,"▲ Order ≤30 days","On track")))</f>
        <v>● LATE — order now</v>
      </c>
      <c r="M26" s="686" t="s">
        <v>3692</v>
      </c>
      <c r="N26" s="671" t="s">
        <v>3693</v>
      </c>
      <c r="O26" s="672" t="n">
        <v>0.3</v>
      </c>
      <c r="P26" s="673" t="n">
        <f aca="false">D26*O26</f>
        <v>36000000</v>
      </c>
      <c r="Q26" s="671" t="s">
        <v>3694</v>
      </c>
    </row>
    <row r="27" customFormat="false" ht="24" hidden="false" customHeight="true" outlineLevel="0" collapsed="false">
      <c r="A27" s="665" t="s">
        <v>3695</v>
      </c>
      <c r="B27" s="127" t="n">
        <v>26</v>
      </c>
      <c r="C27" s="679" t="s">
        <v>3640</v>
      </c>
      <c r="D27" s="680" t="n">
        <v>95000000</v>
      </c>
      <c r="E27" s="668" t="n">
        <v>78</v>
      </c>
      <c r="F27" s="668" t="n">
        <v>8</v>
      </c>
      <c r="G27" s="681" t="n">
        <v>46631</v>
      </c>
      <c r="H27" s="682" t="n">
        <f aca="false">G27-(E27+F27)*7</f>
        <v>46029</v>
      </c>
      <c r="I27" s="670" t="n">
        <f aca="false">H27-$B$5</f>
        <v>-175</v>
      </c>
      <c r="J27" s="683" t="n">
        <f aca="false">D27*$B$7*E27/52</f>
        <v>4987500</v>
      </c>
      <c r="K27" s="684" t="s">
        <v>3696</v>
      </c>
      <c r="L27" s="685" t="str">
        <f aca="false">IF(OR(K27="PO Released",K27="In Fabrication",K27="Shipped",K27="Delivered"),"✓ Ordered",IF($B$5&gt;H27,"● LATE — order now",IF(H27-$B$5&lt;=30,"▲ Order ≤30 days","On track")))</f>
        <v>● LATE — order now</v>
      </c>
      <c r="M27" s="686" t="s">
        <v>3697</v>
      </c>
      <c r="N27" s="671" t="s">
        <v>3698</v>
      </c>
      <c r="O27" s="672" t="n">
        <v>0.3</v>
      </c>
      <c r="P27" s="673" t="n">
        <f aca="false">D27*O27</f>
        <v>28500000</v>
      </c>
      <c r="Q27" s="671" t="s">
        <v>3699</v>
      </c>
    </row>
    <row r="28" customFormat="false" ht="15" hidden="false" customHeight="true" outlineLevel="0" collapsed="false">
      <c r="A28" s="665" t="s">
        <v>3700</v>
      </c>
      <c r="B28" s="127" t="n">
        <v>26</v>
      </c>
      <c r="C28" s="679" t="s">
        <v>3640</v>
      </c>
      <c r="D28" s="680" t="n">
        <v>90000000</v>
      </c>
      <c r="E28" s="668" t="n">
        <v>36</v>
      </c>
      <c r="F28" s="668" t="n">
        <v>6</v>
      </c>
      <c r="G28" s="681" t="n">
        <v>46692</v>
      </c>
      <c r="H28" s="682" t="n">
        <f aca="false">G28-(E28+F28)*7</f>
        <v>46398</v>
      </c>
      <c r="I28" s="670" t="n">
        <f aca="false">H28-$B$5</f>
        <v>194</v>
      </c>
      <c r="J28" s="683" t="n">
        <f aca="false">D28*$B$7*E28/52</f>
        <v>2180769.23076923</v>
      </c>
      <c r="K28" s="684" t="s">
        <v>3635</v>
      </c>
      <c r="L28" s="685" t="str">
        <f aca="false">IF(OR(K28="PO Released",K28="In Fabrication",K28="Shipped",K28="Delivered"),"✓ Ordered",IF($B$5&gt;H28,"● LATE — order now",IF(H28-$B$5&lt;=30,"▲ Order ≤30 days","On track")))</f>
        <v>On track</v>
      </c>
      <c r="M28" s="686" t="s">
        <v>3701</v>
      </c>
      <c r="N28" s="671" t="s">
        <v>3702</v>
      </c>
      <c r="O28" s="672" t="n">
        <v>0.25</v>
      </c>
      <c r="P28" s="673" t="n">
        <f aca="false">D28*O28</f>
        <v>22500000</v>
      </c>
      <c r="Q28" s="671" t="s">
        <v>3703</v>
      </c>
    </row>
    <row r="29" customFormat="false" ht="15" hidden="false" customHeight="true" outlineLevel="0" collapsed="false">
      <c r="A29" s="665" t="s">
        <v>3704</v>
      </c>
      <c r="B29" s="127" t="n">
        <v>26</v>
      </c>
      <c r="C29" s="679" t="s">
        <v>3640</v>
      </c>
      <c r="D29" s="680" t="n">
        <v>68000000</v>
      </c>
      <c r="E29" s="668" t="n">
        <v>60</v>
      </c>
      <c r="F29" s="668" t="n">
        <v>6</v>
      </c>
      <c r="G29" s="681" t="n">
        <v>46569</v>
      </c>
      <c r="H29" s="682" t="n">
        <f aca="false">G29-(E29+F29)*7</f>
        <v>46107</v>
      </c>
      <c r="I29" s="670" t="n">
        <f aca="false">H29-$B$5</f>
        <v>-97</v>
      </c>
      <c r="J29" s="683" t="n">
        <f aca="false">D29*$B$7*E29/52</f>
        <v>2746153.84615385</v>
      </c>
      <c r="K29" s="684" t="s">
        <v>3696</v>
      </c>
      <c r="L29" s="685" t="str">
        <f aca="false">IF(OR(K29="PO Released",K29="In Fabrication",K29="Shipped",K29="Delivered"),"✓ Ordered",IF($B$5&gt;H29,"● LATE — order now",IF(H29-$B$5&lt;=30,"▲ Order ≤30 days","On track")))</f>
        <v>● LATE — order now</v>
      </c>
      <c r="M29" s="686" t="s">
        <v>3705</v>
      </c>
      <c r="N29" s="671" t="s">
        <v>3706</v>
      </c>
      <c r="O29" s="672" t="n">
        <v>0.25</v>
      </c>
      <c r="P29" s="673" t="n">
        <f aca="false">D29*O29</f>
        <v>17000000</v>
      </c>
      <c r="Q29" s="671" t="s">
        <v>3707</v>
      </c>
    </row>
    <row r="30" customFormat="false" ht="15" hidden="false" customHeight="true" outlineLevel="0" collapsed="false">
      <c r="A30" s="665" t="s">
        <v>3708</v>
      </c>
      <c r="B30" s="127" t="n">
        <v>26</v>
      </c>
      <c r="C30" s="679" t="s">
        <v>3640</v>
      </c>
      <c r="D30" s="680" t="n">
        <v>45000000</v>
      </c>
      <c r="E30" s="668" t="n">
        <v>28</v>
      </c>
      <c r="F30" s="668" t="n">
        <v>4</v>
      </c>
      <c r="G30" s="681" t="n">
        <v>46753</v>
      </c>
      <c r="H30" s="682" t="n">
        <f aca="false">G30-(E30+F30)*7</f>
        <v>46529</v>
      </c>
      <c r="I30" s="670" t="n">
        <f aca="false">H30-$B$5</f>
        <v>325</v>
      </c>
      <c r="J30" s="683" t="n">
        <f aca="false">D30*$B$7*E30/52</f>
        <v>848076.923076923</v>
      </c>
      <c r="K30" s="684" t="s">
        <v>3635</v>
      </c>
      <c r="L30" s="685" t="str">
        <f aca="false">IF(OR(K30="PO Released",K30="In Fabrication",K30="Shipped",K30="Delivered"),"✓ Ordered",IF($B$5&gt;H30,"● LATE — order now",IF(H30-$B$5&lt;=30,"▲ Order ≤30 days","On track")))</f>
        <v>On track</v>
      </c>
      <c r="M30" s="686" t="s">
        <v>3709</v>
      </c>
      <c r="N30" s="671" t="s">
        <v>3710</v>
      </c>
      <c r="O30" s="672" t="n">
        <v>0.2</v>
      </c>
      <c r="P30" s="673" t="n">
        <f aca="false">D30*O30</f>
        <v>9000000</v>
      </c>
      <c r="Q30" s="671" t="s">
        <v>3711</v>
      </c>
    </row>
    <row r="31" customFormat="false" ht="15" hidden="false" customHeight="true" outlineLevel="0" collapsed="false">
      <c r="A31" s="665" t="s">
        <v>2624</v>
      </c>
      <c r="B31" s="127" t="n">
        <v>26</v>
      </c>
      <c r="C31" s="679" t="s">
        <v>3640</v>
      </c>
      <c r="D31" s="680" t="n">
        <v>40000000</v>
      </c>
      <c r="E31" s="668" t="n">
        <v>40</v>
      </c>
      <c r="F31" s="668" t="n">
        <v>8</v>
      </c>
      <c r="G31" s="681" t="n">
        <v>46570</v>
      </c>
      <c r="H31" s="682" t="n">
        <f aca="false">G31-(E31+F31)*7</f>
        <v>46234</v>
      </c>
      <c r="I31" s="670" t="n">
        <f aca="false">H31-$B$5</f>
        <v>30</v>
      </c>
      <c r="J31" s="683" t="n">
        <f aca="false">D31*$B$7*E31/52</f>
        <v>1076923.07692308</v>
      </c>
      <c r="K31" s="684" t="s">
        <v>3635</v>
      </c>
      <c r="L31" s="685" t="str">
        <f aca="false">IF(OR(K31="PO Released",K31="In Fabrication",K31="Shipped",K31="Delivered"),"✓ Ordered",IF($B$5&gt;H31,"● LATE — order now",IF(H31-$B$5&lt;=30,"▲ Order ≤30 days","On track")))</f>
        <v>▲ Order ≤30 days</v>
      </c>
      <c r="M31" s="686" t="s">
        <v>3712</v>
      </c>
      <c r="N31" s="671" t="s">
        <v>3713</v>
      </c>
      <c r="O31" s="672" t="n">
        <v>0.3</v>
      </c>
      <c r="P31" s="673" t="n">
        <f aca="false">D31*O31</f>
        <v>12000000</v>
      </c>
      <c r="Q31" s="671" t="s">
        <v>3714</v>
      </c>
    </row>
    <row r="32" customFormat="false" ht="15" hidden="false" customHeight="true" outlineLevel="0" collapsed="false">
      <c r="A32" s="665" t="s">
        <v>2096</v>
      </c>
      <c r="B32" s="127" t="n">
        <v>26</v>
      </c>
      <c r="C32" s="679" t="s">
        <v>3640</v>
      </c>
      <c r="D32" s="680" t="n">
        <v>38000000</v>
      </c>
      <c r="E32" s="668" t="n">
        <v>52</v>
      </c>
      <c r="F32" s="668" t="n">
        <v>6</v>
      </c>
      <c r="G32" s="681" t="n">
        <v>46600</v>
      </c>
      <c r="H32" s="682" t="n">
        <f aca="false">G32-(E32+F32)*7</f>
        <v>46194</v>
      </c>
      <c r="I32" s="670" t="n">
        <f aca="false">H32-$B$5</f>
        <v>-10</v>
      </c>
      <c r="J32" s="683" t="n">
        <f aca="false">D32*$B$7*E32/52</f>
        <v>1330000</v>
      </c>
      <c r="K32" s="684" t="s">
        <v>3635</v>
      </c>
      <c r="L32" s="685" t="str">
        <f aca="false">IF(OR(K32="PO Released",K32="In Fabrication",K32="Shipped",K32="Delivered"),"✓ Ordered",IF($B$5&gt;H32,"● LATE — order now",IF(H32-$B$5&lt;=30,"▲ Order ≤30 days","On track")))</f>
        <v>● LATE — order now</v>
      </c>
      <c r="M32" s="686" t="s">
        <v>3715</v>
      </c>
      <c r="N32" s="671" t="s">
        <v>3716</v>
      </c>
      <c r="O32" s="672" t="n">
        <v>0.25</v>
      </c>
      <c r="P32" s="673" t="n">
        <f aca="false">D32*O32</f>
        <v>9500000</v>
      </c>
      <c r="Q32" s="671" t="s">
        <v>3717</v>
      </c>
    </row>
    <row r="33" customFormat="false" ht="15" hidden="false" customHeight="true" outlineLevel="0" collapsed="false">
      <c r="A33" s="665" t="s">
        <v>3718</v>
      </c>
      <c r="B33" s="127" t="n">
        <v>26</v>
      </c>
      <c r="C33" s="679" t="s">
        <v>3640</v>
      </c>
      <c r="D33" s="680" t="n">
        <v>32000000</v>
      </c>
      <c r="E33" s="668" t="n">
        <v>22</v>
      </c>
      <c r="F33" s="668" t="n">
        <v>4</v>
      </c>
      <c r="G33" s="681" t="n">
        <v>46722</v>
      </c>
      <c r="H33" s="682" t="n">
        <f aca="false">G33-(E33+F33)*7</f>
        <v>46540</v>
      </c>
      <c r="I33" s="670" t="n">
        <f aca="false">H33-$B$5</f>
        <v>336</v>
      </c>
      <c r="J33" s="683" t="n">
        <f aca="false">D33*$B$7*E33/52</f>
        <v>473846.153846154</v>
      </c>
      <c r="K33" s="684" t="s">
        <v>3635</v>
      </c>
      <c r="L33" s="685" t="str">
        <f aca="false">IF(OR(K33="PO Released",K33="In Fabrication",K33="Shipped",K33="Delivered"),"✓ Ordered",IF($B$5&gt;H33,"● LATE — order now",IF(H33-$B$5&lt;=30,"▲ Order ≤30 days","On track")))</f>
        <v>On track</v>
      </c>
      <c r="M33" s="686" t="s">
        <v>3719</v>
      </c>
      <c r="N33" s="671" t="s">
        <v>3720</v>
      </c>
      <c r="O33" s="672" t="n">
        <v>0.2</v>
      </c>
      <c r="P33" s="673" t="n">
        <f aca="false">D33*O33</f>
        <v>6400000</v>
      </c>
      <c r="Q33" s="671" t="s">
        <v>3721</v>
      </c>
    </row>
    <row r="34" customFormat="false" ht="15" hidden="false" customHeight="true" outlineLevel="0" collapsed="false">
      <c r="A34" s="665" t="s">
        <v>3722</v>
      </c>
      <c r="B34" s="127" t="n">
        <v>26</v>
      </c>
      <c r="C34" s="679" t="s">
        <v>3640</v>
      </c>
      <c r="D34" s="680" t="n">
        <v>28000000</v>
      </c>
      <c r="E34" s="668" t="n">
        <v>44</v>
      </c>
      <c r="F34" s="668" t="n">
        <v>4</v>
      </c>
      <c r="G34" s="681" t="n">
        <v>46661</v>
      </c>
      <c r="H34" s="682" t="n">
        <f aca="false">G34-(E34+F34)*7</f>
        <v>46325</v>
      </c>
      <c r="I34" s="670" t="n">
        <f aca="false">H34-$B$5</f>
        <v>121</v>
      </c>
      <c r="J34" s="683" t="n">
        <f aca="false">D34*$B$7*E34/52</f>
        <v>829230.769230769</v>
      </c>
      <c r="K34" s="684" t="s">
        <v>3635</v>
      </c>
      <c r="L34" s="685" t="str">
        <f aca="false">IF(OR(K34="PO Released",K34="In Fabrication",K34="Shipped",K34="Delivered"),"✓ Ordered",IF($B$5&gt;H34,"● LATE — order now",IF(H34-$B$5&lt;=30,"▲ Order ≤30 days","On track")))</f>
        <v>On track</v>
      </c>
      <c r="M34" s="686" t="s">
        <v>3723</v>
      </c>
      <c r="N34" s="671" t="s">
        <v>3724</v>
      </c>
      <c r="O34" s="672" t="n">
        <v>0.2</v>
      </c>
      <c r="P34" s="673" t="n">
        <f aca="false">D34*O34</f>
        <v>5600000</v>
      </c>
      <c r="Q34" s="671" t="s">
        <v>3725</v>
      </c>
    </row>
    <row r="35" customFormat="false" ht="15" hidden="false" customHeight="true" outlineLevel="0" collapsed="false">
      <c r="A35" s="665" t="s">
        <v>3726</v>
      </c>
      <c r="B35" s="127" t="n">
        <v>26</v>
      </c>
      <c r="C35" s="679" t="s">
        <v>3640</v>
      </c>
      <c r="D35" s="680" t="n">
        <v>22000000</v>
      </c>
      <c r="E35" s="668" t="n">
        <v>30</v>
      </c>
      <c r="F35" s="668" t="n">
        <v>4</v>
      </c>
      <c r="G35" s="681" t="n">
        <v>46540</v>
      </c>
      <c r="H35" s="682" t="n">
        <f aca="false">G35-(E35+F35)*7</f>
        <v>46302</v>
      </c>
      <c r="I35" s="670" t="n">
        <f aca="false">H35-$B$5</f>
        <v>98</v>
      </c>
      <c r="J35" s="683" t="n">
        <f aca="false">D35*$B$7*E35/52</f>
        <v>444230.769230769</v>
      </c>
      <c r="K35" s="684" t="s">
        <v>3635</v>
      </c>
      <c r="L35" s="685" t="str">
        <f aca="false">IF(OR(K35="PO Released",K35="In Fabrication",K35="Shipped",K35="Delivered"),"✓ Ordered",IF($B$5&gt;H35,"● LATE — order now",IF(H35-$B$5&lt;=30,"▲ Order ≤30 days","On track")))</f>
        <v>On track</v>
      </c>
      <c r="M35" s="686" t="s">
        <v>3727</v>
      </c>
      <c r="N35" s="671" t="s">
        <v>3728</v>
      </c>
      <c r="O35" s="672" t="n">
        <v>0.2</v>
      </c>
      <c r="P35" s="673" t="n">
        <f aca="false">D35*O35</f>
        <v>4400000</v>
      </c>
      <c r="Q35" s="671" t="s">
        <v>3729</v>
      </c>
    </row>
    <row r="36" customFormat="false" ht="15" hidden="false" customHeight="true" outlineLevel="0" collapsed="false">
      <c r="A36" s="665" t="s">
        <v>3730</v>
      </c>
      <c r="B36" s="127" t="n">
        <v>26</v>
      </c>
      <c r="C36" s="679" t="s">
        <v>3640</v>
      </c>
      <c r="D36" s="680" t="n">
        <v>18000000</v>
      </c>
      <c r="E36" s="668" t="n">
        <v>32</v>
      </c>
      <c r="F36" s="668" t="n">
        <v>4</v>
      </c>
      <c r="G36" s="681" t="n">
        <v>46420</v>
      </c>
      <c r="H36" s="682" t="n">
        <f aca="false">G36-(E36+F36)*7</f>
        <v>46168</v>
      </c>
      <c r="I36" s="670" t="n">
        <f aca="false">H36-$B$5</f>
        <v>-36</v>
      </c>
      <c r="J36" s="683" t="n">
        <f aca="false">D36*$B$7*E36/52</f>
        <v>387692.307692308</v>
      </c>
      <c r="K36" s="684" t="s">
        <v>3635</v>
      </c>
      <c r="L36" s="685" t="str">
        <f aca="false">IF(OR(K36="PO Released",K36="In Fabrication",K36="Shipped",K36="Delivered"),"✓ Ordered",IF($B$5&gt;H36,"● LATE — order now",IF(H36-$B$5&lt;=30,"▲ Order ≤30 days","On track")))</f>
        <v>● LATE — order now</v>
      </c>
      <c r="M36" s="686" t="s">
        <v>3731</v>
      </c>
      <c r="N36" s="671" t="s">
        <v>3732</v>
      </c>
      <c r="O36" s="672" t="n">
        <v>0.15</v>
      </c>
      <c r="P36" s="673" t="n">
        <f aca="false">D36*O36</f>
        <v>2700000</v>
      </c>
      <c r="Q36" s="671" t="s">
        <v>3733</v>
      </c>
    </row>
    <row r="37" customFormat="false" ht="15" hidden="false" customHeight="true" outlineLevel="0" collapsed="false">
      <c r="A37" s="665" t="s">
        <v>3734</v>
      </c>
      <c r="B37" s="127" t="n">
        <v>27</v>
      </c>
      <c r="C37" s="679" t="s">
        <v>3640</v>
      </c>
      <c r="D37" s="680" t="n">
        <v>30000000</v>
      </c>
      <c r="E37" s="668" t="n">
        <v>20</v>
      </c>
      <c r="F37" s="668" t="n">
        <v>4</v>
      </c>
      <c r="G37" s="681" t="n">
        <v>46815</v>
      </c>
      <c r="H37" s="682" t="n">
        <f aca="false">G37-(E37+F37)*7</f>
        <v>46647</v>
      </c>
      <c r="I37" s="670" t="n">
        <f aca="false">H37-$B$5</f>
        <v>443</v>
      </c>
      <c r="J37" s="683" t="n">
        <f aca="false">D37*$B$7*E37/52</f>
        <v>403846.153846154</v>
      </c>
      <c r="K37" s="684" t="s">
        <v>3635</v>
      </c>
      <c r="L37" s="685" t="str">
        <f aca="false">IF(OR(K37="PO Released",K37="In Fabrication",K37="Shipped",K37="Delivered"),"✓ Ordered",IF($B$5&gt;H37,"● LATE — order now",IF(H37-$B$5&lt;=30,"▲ Order ≤30 days","On track")))</f>
        <v>On track</v>
      </c>
      <c r="M37" s="686" t="s">
        <v>3735</v>
      </c>
      <c r="N37" s="671" t="s">
        <v>3736</v>
      </c>
      <c r="O37" s="672" t="n">
        <v>0.2</v>
      </c>
      <c r="P37" s="673" t="n">
        <f aca="false">D37*O37</f>
        <v>6000000</v>
      </c>
      <c r="Q37" s="671" t="s">
        <v>3737</v>
      </c>
    </row>
    <row r="38" customFormat="false" ht="24" hidden="false" customHeight="true" outlineLevel="0" collapsed="false">
      <c r="A38" s="665" t="s">
        <v>3738</v>
      </c>
      <c r="B38" s="127" t="n">
        <v>27</v>
      </c>
      <c r="C38" s="679" t="s">
        <v>3640</v>
      </c>
      <c r="D38" s="680" t="n">
        <v>18000000</v>
      </c>
      <c r="E38" s="668" t="n">
        <v>18</v>
      </c>
      <c r="F38" s="668" t="n">
        <v>4</v>
      </c>
      <c r="G38" s="681" t="n">
        <v>46815</v>
      </c>
      <c r="H38" s="682" t="n">
        <f aca="false">G38-(E38+F38)*7</f>
        <v>46661</v>
      </c>
      <c r="I38" s="670" t="n">
        <f aca="false">H38-$B$5</f>
        <v>457</v>
      </c>
      <c r="J38" s="683" t="n">
        <f aca="false">D38*$B$7*E38/52</f>
        <v>218076.923076923</v>
      </c>
      <c r="K38" s="684" t="s">
        <v>3635</v>
      </c>
      <c r="L38" s="685" t="str">
        <f aca="false">IF(OR(K38="PO Released",K38="In Fabrication",K38="Shipped",K38="Delivered"),"✓ Ordered",IF($B$5&gt;H38,"● LATE — order now",IF(H38-$B$5&lt;=30,"▲ Order ≤30 days","On track")))</f>
        <v>On track</v>
      </c>
      <c r="M38" s="686" t="s">
        <v>3739</v>
      </c>
      <c r="N38" s="671" t="s">
        <v>3740</v>
      </c>
      <c r="O38" s="672" t="n">
        <v>0.15</v>
      </c>
      <c r="P38" s="673" t="n">
        <f aca="false">D38*O38</f>
        <v>2700000</v>
      </c>
      <c r="Q38" s="671" t="s">
        <v>3741</v>
      </c>
    </row>
    <row r="39" customFormat="false" ht="24" hidden="false" customHeight="true" outlineLevel="0" collapsed="false">
      <c r="A39" s="665" t="s">
        <v>3742</v>
      </c>
      <c r="B39" s="127" t="n">
        <v>28</v>
      </c>
      <c r="C39" s="679" t="s">
        <v>3640</v>
      </c>
      <c r="D39" s="680" t="n">
        <v>11000000</v>
      </c>
      <c r="E39" s="668" t="n">
        <v>22</v>
      </c>
      <c r="F39" s="668" t="n">
        <v>4</v>
      </c>
      <c r="G39" s="681" t="n">
        <v>46784</v>
      </c>
      <c r="H39" s="682" t="n">
        <f aca="false">G39-(E39+F39)*7</f>
        <v>46602</v>
      </c>
      <c r="I39" s="670" t="n">
        <f aca="false">H39-$B$5</f>
        <v>398</v>
      </c>
      <c r="J39" s="683" t="n">
        <f aca="false">D39*$B$7*E39/52</f>
        <v>162884.615384615</v>
      </c>
      <c r="K39" s="684" t="s">
        <v>3635</v>
      </c>
      <c r="L39" s="685" t="str">
        <f aca="false">IF(OR(K39="PO Released",K39="In Fabrication",K39="Shipped",K39="Delivered"),"✓ Ordered",IF($B$5&gt;H39,"● LATE — order now",IF(H39-$B$5&lt;=30,"▲ Order ≤30 days","On track")))</f>
        <v>On track</v>
      </c>
      <c r="M39" s="686" t="s">
        <v>3743</v>
      </c>
      <c r="N39" s="671" t="s">
        <v>3744</v>
      </c>
      <c r="O39" s="672" t="n">
        <v>0.15</v>
      </c>
      <c r="P39" s="673" t="n">
        <f aca="false">D39*O39</f>
        <v>1650000</v>
      </c>
      <c r="Q39" s="671" t="s">
        <v>3745</v>
      </c>
    </row>
    <row r="40" customFormat="false" ht="15" hidden="false" customHeight="true" outlineLevel="0" collapsed="false">
      <c r="A40" s="10" t="s">
        <v>3746</v>
      </c>
      <c r="C40" s="687"/>
      <c r="D40" s="688" t="n">
        <f aca="false">SUM(D11:D39)</f>
        <v>1087000000</v>
      </c>
      <c r="J40" s="688" t="n">
        <f aca="false">SUM(J11:J39)</f>
        <v>30288461.5384615</v>
      </c>
      <c r="M40" s="689"/>
      <c r="N40" s="689"/>
      <c r="O40" s="689"/>
      <c r="P40" s="690" t="n">
        <f aca="false">SUM(P11:P39)</f>
        <v>264400000</v>
      </c>
      <c r="Q40" s="689"/>
    </row>
    <row r="42" customFormat="false" ht="15" hidden="false" customHeight="true" outlineLevel="0" collapsed="false">
      <c r="A42" s="7" t="s">
        <v>3747</v>
      </c>
      <c r="B42" s="7"/>
      <c r="C42" s="7"/>
      <c r="D42" s="7"/>
      <c r="E42" s="7"/>
    </row>
    <row r="43" customFormat="false" ht="15" hidden="false" customHeight="true" outlineLevel="0" collapsed="false">
      <c r="A43" s="125" t="s">
        <v>3748</v>
      </c>
      <c r="B43" s="691" t="n">
        <f aca="false">D40</f>
        <v>1087000000</v>
      </c>
      <c r="C43" s="691"/>
      <c r="D43" s="691"/>
    </row>
    <row r="44" customFormat="false" ht="15" hidden="false" customHeight="true" outlineLevel="0" collapsed="false">
      <c r="A44" s="125" t="s">
        <v>3749</v>
      </c>
      <c r="B44" s="692" t="n">
        <f aca="false">COUNTIF(L11:L39,"● LATE*")</f>
        <v>5</v>
      </c>
      <c r="C44" s="692"/>
      <c r="D44" s="692"/>
    </row>
    <row r="45" customFormat="false" ht="15" hidden="false" customHeight="true" outlineLevel="0" collapsed="false">
      <c r="A45" s="125" t="s">
        <v>3750</v>
      </c>
      <c r="B45" s="692" t="n">
        <f aca="false">COUNTIF(L11:L39,"▲ Order*")</f>
        <v>1</v>
      </c>
      <c r="C45" s="692"/>
      <c r="D45" s="692"/>
    </row>
    <row r="46" customFormat="false" ht="15" hidden="false" customHeight="true" outlineLevel="0" collapsed="false">
      <c r="A46" s="125" t="s">
        <v>3751</v>
      </c>
      <c r="B46" s="691" t="n">
        <f aca="false">J40</f>
        <v>30288461.5384615</v>
      </c>
      <c r="C46" s="691"/>
      <c r="D46" s="691"/>
    </row>
    <row r="47" customFormat="false" ht="15" hidden="false" customHeight="true" outlineLevel="0" collapsed="false">
      <c r="A47" s="125" t="s">
        <v>3752</v>
      </c>
      <c r="B47" s="663" t="n">
        <f aca="false">MIN(H11:H39)</f>
        <v>46029</v>
      </c>
      <c r="C47" s="663"/>
      <c r="D47" s="663"/>
    </row>
    <row r="48" customFormat="false" ht="15" hidden="false" customHeight="true" outlineLevel="0" collapsed="false">
      <c r="A48" s="125" t="s">
        <v>3753</v>
      </c>
      <c r="B48" s="323" t="n">
        <f aca="false">SUMIF($C$11:$C$39,"Owner*",$D$11:$D$39)</f>
        <v>1031000000</v>
      </c>
    </row>
    <row r="49" customFormat="false" ht="15" hidden="false" customHeight="true" outlineLevel="0" collapsed="false">
      <c r="A49" s="125" t="s">
        <v>3754</v>
      </c>
      <c r="B49" s="693" t="n">
        <f aca="false">COUNTIF($C$11:$C$39,"Owner*")</f>
        <v>27</v>
      </c>
    </row>
    <row r="50" customFormat="false" ht="15" hidden="false" customHeight="true" outlineLevel="0" collapsed="false">
      <c r="A50" s="125" t="s">
        <v>3755</v>
      </c>
      <c r="B50" s="323" t="n">
        <f aca="false">SUMIF($C$11:$C$39,"Owner*",$J$11:$J$39)</f>
        <v>29515769.2307692</v>
      </c>
    </row>
    <row r="51" customFormat="false" ht="15" hidden="false" customHeight="true" outlineLevel="0" collapsed="false">
      <c r="A51" s="125" t="s">
        <v>3756</v>
      </c>
      <c r="B51" s="323" t="n">
        <f aca="false">SUMIF($C$11:$C$39,"GC*",$D$11:$D$39)</f>
        <v>56000000</v>
      </c>
    </row>
    <row r="52" customFormat="false" ht="15" hidden="false" customHeight="true" outlineLevel="0" collapsed="false">
      <c r="A52" s="125" t="s">
        <v>3757</v>
      </c>
      <c r="B52" s="323" t="n">
        <f aca="false">P40</f>
        <v>264400000</v>
      </c>
    </row>
    <row r="53" customFormat="false" ht="15" hidden="false" customHeight="true" outlineLevel="0" collapsed="false">
      <c r="A53" s="125" t="s">
        <v>3758</v>
      </c>
      <c r="B53" s="323" t="n">
        <f aca="false">SUMIF($C$11:$C$39,"Owner*",$P$11:$P$39)</f>
        <v>254950000</v>
      </c>
    </row>
    <row r="54" customFormat="false" ht="15" hidden="false" customHeight="true" outlineLevel="0" collapsed="false">
      <c r="A54" s="125" t="s">
        <v>3759</v>
      </c>
      <c r="B54" s="323" t="n">
        <f aca="false">SUMIF($C$11:$C$39,"GC*",$P$11:$P$39)</f>
        <v>9450000</v>
      </c>
    </row>
    <row r="55" customFormat="false" ht="15" hidden="false" customHeight="true" outlineLevel="0" collapsed="false">
      <c r="A55" s="125" t="s">
        <v>3760</v>
      </c>
      <c r="B55" s="693" t="n">
        <f aca="false">COUNTIF($Q$11:$Q$39,"High*")</f>
        <v>8</v>
      </c>
    </row>
  </sheetData>
  <mergeCells count="12">
    <mergeCell ref="A1:L1"/>
    <mergeCell ref="A2:L2"/>
    <mergeCell ref="A4:E4"/>
    <mergeCell ref="B5:D5"/>
    <mergeCell ref="B6:D6"/>
    <mergeCell ref="A9:L9"/>
    <mergeCell ref="A42:E42"/>
    <mergeCell ref="B43:D43"/>
    <mergeCell ref="B44:D44"/>
    <mergeCell ref="B45:D45"/>
    <mergeCell ref="B46:D46"/>
    <mergeCell ref="B47:D47"/>
  </mergeCells>
  <conditionalFormatting sqref="L11:L39">
    <cfRule type="containsText" priority="2" operator="containsText" aboveAverage="0" equalAverage="0" bottom="0" percent="0" rank="0" text="LATE" dxfId="17">
      <formula>NOT(ISERROR(SEARCH("LATE",L11)))</formula>
    </cfRule>
    <cfRule type="containsText" priority="3" operator="containsText" aboveAverage="0" equalAverage="0" bottom="0" percent="0" rank="0" text="≤30" dxfId="11">
      <formula>NOT(ISERROR(SEARCH("≤30",L11)))</formula>
    </cfRule>
    <cfRule type="containsText" priority="4" operator="containsText" aboveAverage="0" equalAverage="0" bottom="0" percent="0" rank="0" text="Ordered" dxfId="3">
      <formula>NOT(ISERROR(SEARCH("Ordered",L11)))</formula>
    </cfRule>
  </conditionalFormatting>
  <conditionalFormatting sqref="Q11:Q39">
    <cfRule type="beginsWith" priority="5" operator="beginsWith" aboveAverage="0" equalAverage="0" bottom="0" percent="0" rank="0" text="High" dxfId="18">
      <formula>LEFT(Q11,LEN("High"))="High"</formula>
    </cfRule>
    <cfRule type="beginsWith" priority="6" operator="beginsWith" aboveAverage="0" equalAverage="0" bottom="0" percent="0" rank="0" text="Med" dxfId="11">
      <formula>LEFT(Q11,LEN("Med"))="Med"</formula>
    </cfRule>
    <cfRule type="beginsWith" priority="7" operator="beginsWith" aboveAverage="0" equalAverage="0" bottom="0" percent="0" rank="0" text="Low" dxfId="9">
      <formula>LEFT(Q11,LEN("Low"))="Low"</formula>
    </cfRule>
  </conditionalFormatting>
  <dataValidations count="1">
    <dataValidation allowBlank="true" errorStyle="stop" operator="between" showDropDown="false" showErrorMessage="false" showInputMessage="false" sqref="K11:K39" type="list">
      <formula1>"Not Started,RFQ Issued,PO Released,In Fabrication,Shipped,Delivered"</formula1>
      <formula2>0</formula2>
    </dataValidation>
  </dataValidation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BV1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4" ySplit="6" topLeftCell="O7" activePane="bottomRight" state="frozen"/>
      <selection pane="topLeft" activeCell="A1" activeCellId="0" sqref="A1"/>
      <selection pane="topRight" activeCell="O1" activeCellId="0" sqref="O1"/>
      <selection pane="bottomLeft" activeCell="A7" activeCellId="0" sqref="A7"/>
      <selection pane="bottomRight" activeCell="AL7" activeCellId="0" sqref="AL7"/>
    </sheetView>
  </sheetViews>
  <sheetFormatPr defaultColWidth="8.5390625" defaultRowHeight="15" zeroHeight="false" outlineLevelRow="0" outlineLevelCol="0"/>
  <cols>
    <col collapsed="false" customWidth="true" hidden="false" outlineLevel="0" max="1" min="1" style="1" width="6.43"/>
    <col collapsed="false" customWidth="true" hidden="false" outlineLevel="0" max="2" min="2" style="1" width="47.57"/>
    <col collapsed="false" customWidth="true" hidden="false" outlineLevel="0" max="3" min="3" style="1" width="20.57"/>
    <col collapsed="false" customWidth="true" hidden="false" outlineLevel="0" max="4" min="4" style="1" width="7.29"/>
    <col collapsed="false" customWidth="true" hidden="false" outlineLevel="0" max="6" min="5" style="1" width="10.71"/>
    <col collapsed="false" customWidth="true" hidden="false" outlineLevel="0" max="7" min="7" style="1" width="11"/>
    <col collapsed="false" customWidth="true" hidden="false" outlineLevel="0" max="8" min="8" style="1" width="6.86"/>
    <col collapsed="false" customWidth="true" hidden="false" outlineLevel="0" max="9" min="9" style="1" width="10.29"/>
    <col collapsed="false" customWidth="true" hidden="false" outlineLevel="0" max="10" min="10" style="1" width="8"/>
    <col collapsed="false" customWidth="true" hidden="false" outlineLevel="0" max="11" min="11" style="1" width="13.29"/>
    <col collapsed="false" customWidth="true" hidden="false" outlineLevel="0" max="12" min="12" style="1" width="8.43"/>
    <col collapsed="false" customWidth="true" hidden="false" outlineLevel="0" max="13" min="13" style="1" width="14.86"/>
    <col collapsed="false" customWidth="true" hidden="false" outlineLevel="0" max="14" min="14" style="1" width="22.43"/>
    <col collapsed="false" customWidth="true" hidden="false" outlineLevel="0" max="74" min="15" style="1" width="3.86"/>
  </cols>
  <sheetData>
    <row r="1" customFormat="false" ht="21" hidden="false" customHeight="true" outlineLevel="0" collapsed="false">
      <c r="A1" s="694" t="s">
        <v>3761</v>
      </c>
      <c r="B1" s="197"/>
      <c r="C1" s="197"/>
      <c r="D1" s="197"/>
      <c r="E1" s="197"/>
      <c r="F1" s="197"/>
      <c r="G1" s="197"/>
      <c r="H1" s="197"/>
      <c r="I1" s="197"/>
      <c r="J1" s="197"/>
      <c r="K1" s="197"/>
      <c r="L1" s="197"/>
      <c r="M1" s="197"/>
      <c r="N1" s="197"/>
      <c r="O1" s="197"/>
      <c r="P1" s="197"/>
      <c r="Q1" s="197"/>
      <c r="R1" s="197"/>
      <c r="S1" s="197"/>
      <c r="T1" s="197"/>
      <c r="U1" s="197"/>
      <c r="V1" s="197"/>
      <c r="W1" s="197"/>
      <c r="X1" s="197"/>
      <c r="Y1" s="197"/>
      <c r="Z1" s="197"/>
      <c r="AA1" s="197"/>
      <c r="AB1" s="197"/>
      <c r="AC1" s="197"/>
      <c r="AD1" s="197"/>
      <c r="AE1" s="197"/>
      <c r="AF1" s="197"/>
      <c r="AG1" s="197"/>
      <c r="AH1" s="197"/>
      <c r="AI1" s="197"/>
      <c r="AJ1" s="197"/>
      <c r="AK1" s="197"/>
      <c r="AL1" s="197"/>
      <c r="AM1" s="197"/>
      <c r="AN1" s="197"/>
      <c r="AO1" s="197"/>
      <c r="AP1" s="197"/>
      <c r="AQ1" s="197"/>
      <c r="AR1" s="197"/>
      <c r="AS1" s="197"/>
      <c r="AT1" s="197"/>
      <c r="AU1" s="197"/>
      <c r="AV1" s="197"/>
      <c r="AW1" s="197"/>
      <c r="AX1" s="197"/>
      <c r="AY1" s="197"/>
      <c r="AZ1" s="197"/>
      <c r="BA1" s="197"/>
      <c r="BB1" s="197"/>
      <c r="BC1" s="197"/>
      <c r="BD1" s="197"/>
      <c r="BE1" s="197"/>
      <c r="BF1" s="197"/>
      <c r="BG1" s="197"/>
      <c r="BH1" s="197"/>
      <c r="BI1" s="197"/>
      <c r="BJ1" s="197"/>
      <c r="BK1" s="197"/>
      <c r="BL1" s="197"/>
      <c r="BM1" s="197"/>
      <c r="BN1" s="197"/>
      <c r="BO1" s="197"/>
      <c r="BP1" s="197"/>
      <c r="BQ1" s="197"/>
      <c r="BR1" s="197"/>
      <c r="BS1" s="197"/>
      <c r="BT1" s="197"/>
      <c r="BU1" s="197"/>
      <c r="BV1" s="197"/>
    </row>
    <row r="2" customFormat="false" ht="15" hidden="false" customHeight="true" outlineLevel="0" collapsed="false">
      <c r="A2" s="375" t="s">
        <v>3762</v>
      </c>
    </row>
    <row r="3" customFormat="false" ht="15" hidden="false" customHeight="true" outlineLevel="0" collapsed="false">
      <c r="A3" s="163" t="s">
        <v>3763</v>
      </c>
      <c r="B3" s="695" t="n">
        <f aca="false">'Construction Budget'!F3-(D8+D9+D10+D11+D17+D19+D22+D23)</f>
        <v>45658</v>
      </c>
      <c r="D3" s="197"/>
      <c r="E3" s="696" t="s">
        <v>3764</v>
      </c>
      <c r="F3" s="697"/>
      <c r="G3" s="696" t="s">
        <v>3765</v>
      </c>
      <c r="H3" s="696"/>
      <c r="I3" s="696"/>
      <c r="J3" s="696"/>
      <c r="K3" s="696"/>
    </row>
    <row r="4" customFormat="false" ht="15" hidden="false" customHeight="true" outlineLevel="0" collapsed="false">
      <c r="A4" s="163" t="s">
        <v>3609</v>
      </c>
      <c r="B4" s="698" t="n">
        <v>46204</v>
      </c>
      <c r="D4" s="149"/>
      <c r="E4" s="696" t="s">
        <v>3766</v>
      </c>
      <c r="F4" s="699"/>
      <c r="G4" s="696" t="s">
        <v>3767</v>
      </c>
      <c r="H4" s="700"/>
      <c r="I4" s="696" t="s">
        <v>3768</v>
      </c>
      <c r="J4" s="696"/>
      <c r="K4" s="696"/>
    </row>
    <row r="5" customFormat="false" ht="15" hidden="false" customHeight="true" outlineLevel="0" collapsed="false">
      <c r="A5" s="701" t="s">
        <v>3769</v>
      </c>
      <c r="B5" s="702" t="n">
        <f aca="false">'Construction Budget'!F3</f>
        <v>46143</v>
      </c>
      <c r="C5" s="701" t="s">
        <v>3770</v>
      </c>
      <c r="D5" s="703" t="n">
        <f aca="false">E62</f>
        <v>46143</v>
      </c>
      <c r="E5" s="701" t="s">
        <v>3771</v>
      </c>
      <c r="F5" s="701" t="str">
        <f aca="false">IF(D5=B5,"✓ Tied","⚠ off "&amp;TEXT(D5-B5,"0")&amp;"d")</f>
        <v>✓ Tied</v>
      </c>
      <c r="G5" s="701" t="s">
        <v>246</v>
      </c>
      <c r="H5" s="704" t="str">
        <f aca="false">'Construction Budget'!F4</f>
        <v>Q1 2029</v>
      </c>
      <c r="I5" s="701" t="s">
        <v>3772</v>
      </c>
      <c r="J5" s="703" t="n">
        <f aca="false">F166</f>
        <v>47173</v>
      </c>
      <c r="K5" s="701" t="s">
        <v>3773</v>
      </c>
      <c r="L5" s="701" t="str">
        <f aca="false">IF(J5&lt;=DATE(2029,3,31),"✓ On/Before "&amp;H5,"⚠ "&amp;TEXT(J5,"mmm-yy")&amp;" (after "&amp;H5&amp;")")</f>
        <v>✓ On/Before Q1 2029</v>
      </c>
    </row>
    <row r="6" customFormat="false" ht="32.25" hidden="false" customHeight="true" outlineLevel="0" collapsed="false">
      <c r="A6" s="705" t="s">
        <v>3774</v>
      </c>
      <c r="B6" s="706" t="s">
        <v>3775</v>
      </c>
      <c r="C6" s="706" t="s">
        <v>3776</v>
      </c>
      <c r="D6" s="707" t="s">
        <v>3777</v>
      </c>
      <c r="E6" s="705" t="s">
        <v>3778</v>
      </c>
      <c r="F6" s="705" t="s">
        <v>3779</v>
      </c>
      <c r="G6" s="707" t="s">
        <v>3780</v>
      </c>
      <c r="H6" s="707" t="s">
        <v>3781</v>
      </c>
      <c r="I6" s="705" t="s">
        <v>3782</v>
      </c>
      <c r="J6" s="707" t="s">
        <v>3783</v>
      </c>
      <c r="K6" s="705" t="s">
        <v>3784</v>
      </c>
      <c r="L6" s="705" t="s">
        <v>3785</v>
      </c>
      <c r="M6" s="705" t="s">
        <v>2572</v>
      </c>
      <c r="N6" s="705" t="s">
        <v>2944</v>
      </c>
      <c r="O6" s="708" t="n">
        <f aca="false">DATE(YEAR($B$3),MONTH($B$3),1)</f>
        <v>45658</v>
      </c>
      <c r="P6" s="708" t="n">
        <f aca="false">EDATE(O6,1)</f>
        <v>45689</v>
      </c>
      <c r="Q6" s="708" t="n">
        <f aca="false">EDATE(P6,1)</f>
        <v>45717</v>
      </c>
      <c r="R6" s="708" t="n">
        <f aca="false">EDATE(Q6,1)</f>
        <v>45748</v>
      </c>
      <c r="S6" s="708" t="n">
        <f aca="false">EDATE(R6,1)</f>
        <v>45778</v>
      </c>
      <c r="T6" s="708" t="n">
        <f aca="false">EDATE(S6,1)</f>
        <v>45809</v>
      </c>
      <c r="U6" s="708" t="n">
        <f aca="false">EDATE(T6,1)</f>
        <v>45839</v>
      </c>
      <c r="V6" s="708" t="n">
        <f aca="false">EDATE(U6,1)</f>
        <v>45870</v>
      </c>
      <c r="W6" s="708" t="n">
        <f aca="false">EDATE(V6,1)</f>
        <v>45901</v>
      </c>
      <c r="X6" s="708" t="n">
        <f aca="false">EDATE(W6,1)</f>
        <v>45931</v>
      </c>
      <c r="Y6" s="708" t="n">
        <f aca="false">EDATE(X6,1)</f>
        <v>45962</v>
      </c>
      <c r="Z6" s="708" t="n">
        <f aca="false">EDATE(Y6,1)</f>
        <v>45992</v>
      </c>
      <c r="AA6" s="708" t="n">
        <f aca="false">EDATE(Z6,1)</f>
        <v>46023</v>
      </c>
      <c r="AB6" s="708" t="n">
        <f aca="false">EDATE(AA6,1)</f>
        <v>46054</v>
      </c>
      <c r="AC6" s="708" t="n">
        <f aca="false">EDATE(AB6,1)</f>
        <v>46082</v>
      </c>
      <c r="AD6" s="708" t="n">
        <f aca="false">EDATE(AC6,1)</f>
        <v>46113</v>
      </c>
      <c r="AE6" s="708" t="n">
        <f aca="false">EDATE(AD6,1)</f>
        <v>46143</v>
      </c>
      <c r="AF6" s="708" t="n">
        <f aca="false">EDATE(AE6,1)</f>
        <v>46174</v>
      </c>
      <c r="AG6" s="708" t="n">
        <f aca="false">EDATE(AF6,1)</f>
        <v>46204</v>
      </c>
      <c r="AH6" s="708" t="n">
        <f aca="false">EDATE(AG6,1)</f>
        <v>46235</v>
      </c>
      <c r="AI6" s="708" t="n">
        <f aca="false">EDATE(AH6,1)</f>
        <v>46266</v>
      </c>
      <c r="AJ6" s="708" t="n">
        <f aca="false">EDATE(AI6,1)</f>
        <v>46296</v>
      </c>
      <c r="AK6" s="708" t="n">
        <f aca="false">EDATE(AJ6,1)</f>
        <v>46327</v>
      </c>
      <c r="AL6" s="708" t="n">
        <f aca="false">EDATE(AK6,1)</f>
        <v>46357</v>
      </c>
      <c r="AM6" s="708" t="n">
        <f aca="false">EDATE(AL6,1)</f>
        <v>46388</v>
      </c>
      <c r="AN6" s="708" t="n">
        <f aca="false">EDATE(AM6,1)</f>
        <v>46419</v>
      </c>
      <c r="AO6" s="708" t="n">
        <f aca="false">EDATE(AN6,1)</f>
        <v>46447</v>
      </c>
      <c r="AP6" s="708" t="n">
        <f aca="false">EDATE(AO6,1)</f>
        <v>46478</v>
      </c>
      <c r="AQ6" s="708" t="n">
        <f aca="false">EDATE(AP6,1)</f>
        <v>46508</v>
      </c>
      <c r="AR6" s="708" t="n">
        <f aca="false">EDATE(AQ6,1)</f>
        <v>46539</v>
      </c>
      <c r="AS6" s="708" t="n">
        <f aca="false">EDATE(AR6,1)</f>
        <v>46569</v>
      </c>
      <c r="AT6" s="708" t="n">
        <f aca="false">EDATE(AS6,1)</f>
        <v>46600</v>
      </c>
      <c r="AU6" s="708" t="n">
        <f aca="false">EDATE(AT6,1)</f>
        <v>46631</v>
      </c>
      <c r="AV6" s="708" t="n">
        <f aca="false">EDATE(AU6,1)</f>
        <v>46661</v>
      </c>
      <c r="AW6" s="708" t="n">
        <f aca="false">EDATE(AV6,1)</f>
        <v>46692</v>
      </c>
      <c r="AX6" s="708" t="n">
        <f aca="false">EDATE(AW6,1)</f>
        <v>46722</v>
      </c>
      <c r="AY6" s="708" t="n">
        <f aca="false">EDATE(AX6,1)</f>
        <v>46753</v>
      </c>
      <c r="AZ6" s="708" t="n">
        <f aca="false">EDATE(AY6,1)</f>
        <v>46784</v>
      </c>
      <c r="BA6" s="708" t="n">
        <f aca="false">EDATE(AZ6,1)</f>
        <v>46813</v>
      </c>
      <c r="BB6" s="708" t="n">
        <f aca="false">EDATE(BA6,1)</f>
        <v>46844</v>
      </c>
      <c r="BC6" s="708" t="n">
        <f aca="false">EDATE(BB6,1)</f>
        <v>46874</v>
      </c>
      <c r="BD6" s="708" t="n">
        <f aca="false">EDATE(BC6,1)</f>
        <v>46905</v>
      </c>
      <c r="BE6" s="708" t="n">
        <f aca="false">EDATE(BD6,1)</f>
        <v>46935</v>
      </c>
      <c r="BF6" s="708" t="n">
        <f aca="false">EDATE(BE6,1)</f>
        <v>46966</v>
      </c>
      <c r="BG6" s="708" t="n">
        <f aca="false">EDATE(BF6,1)</f>
        <v>46997</v>
      </c>
      <c r="BH6" s="708" t="n">
        <f aca="false">EDATE(BG6,1)</f>
        <v>47027</v>
      </c>
      <c r="BI6" s="708" t="n">
        <f aca="false">EDATE(BH6,1)</f>
        <v>47058</v>
      </c>
      <c r="BJ6" s="708" t="n">
        <f aca="false">EDATE(BI6,1)</f>
        <v>47088</v>
      </c>
      <c r="BK6" s="708" t="n">
        <f aca="false">EDATE(BJ6,1)</f>
        <v>47119</v>
      </c>
      <c r="BL6" s="708" t="n">
        <f aca="false">EDATE(BK6,1)</f>
        <v>47150</v>
      </c>
      <c r="BM6" s="708" t="n">
        <f aca="false">EDATE(BL6,1)</f>
        <v>47178</v>
      </c>
      <c r="BN6" s="708" t="n">
        <f aca="false">EDATE(BM6,1)</f>
        <v>47209</v>
      </c>
      <c r="BO6" s="708" t="n">
        <f aca="false">EDATE(BN6,1)</f>
        <v>47239</v>
      </c>
      <c r="BP6" s="708" t="n">
        <f aca="false">EDATE(BO6,1)</f>
        <v>47270</v>
      </c>
      <c r="BQ6" s="708" t="n">
        <f aca="false">EDATE(BP6,1)</f>
        <v>47300</v>
      </c>
      <c r="BR6" s="708" t="n">
        <f aca="false">EDATE(BQ6,1)</f>
        <v>47331</v>
      </c>
      <c r="BS6" s="708" t="n">
        <f aca="false">EDATE(BR6,1)</f>
        <v>47362</v>
      </c>
      <c r="BT6" s="708" t="n">
        <f aca="false">EDATE(BS6,1)</f>
        <v>47392</v>
      </c>
      <c r="BU6" s="708" t="n">
        <f aca="false">EDATE(BT6,1)</f>
        <v>47423</v>
      </c>
      <c r="BV6" s="708" t="n">
        <f aca="false">EDATE(BU6,1)</f>
        <v>47453</v>
      </c>
    </row>
    <row r="7" customFormat="false" ht="15" hidden="false" customHeight="true" outlineLevel="0" collapsed="false">
      <c r="A7" s="709" t="n">
        <v>1</v>
      </c>
      <c r="B7" s="710" t="s">
        <v>3786</v>
      </c>
      <c r="C7" s="710"/>
      <c r="D7" s="711" t="n">
        <f aca="false">F7-E7</f>
        <v>155</v>
      </c>
      <c r="E7" s="712" t="n">
        <f aca="false">MIN(E8:E15)</f>
        <v>45658</v>
      </c>
      <c r="F7" s="712" t="n">
        <f aca="false">MAX(F8:F15)</f>
        <v>45813</v>
      </c>
      <c r="G7" s="712" t="n">
        <v>45813</v>
      </c>
      <c r="H7" s="713" t="n">
        <f aca="false">IF($G7="","",$F7-$G7)</f>
        <v>0</v>
      </c>
      <c r="I7" s="709"/>
      <c r="J7" s="714"/>
      <c r="K7" s="710"/>
      <c r="L7" s="715" t="n">
        <f aca="false">IFERROR(SUMPRODUCT($D8:$D15,$L8:$L15)/SUM($D8:$D15),0)</f>
        <v>1</v>
      </c>
      <c r="M7" s="710" t="str">
        <f aca="false">IF(L7&gt;=1,"Complete",IF(L7&gt;0,"In Progress","Not Started"))</f>
        <v>Complete</v>
      </c>
      <c r="N7" s="716" t="s">
        <v>3787</v>
      </c>
      <c r="O7" s="717"/>
      <c r="P7" s="718"/>
      <c r="Q7" s="718"/>
      <c r="R7" s="718"/>
      <c r="S7" s="718"/>
      <c r="T7" s="718"/>
      <c r="U7" s="718"/>
      <c r="V7" s="718"/>
      <c r="W7" s="718"/>
      <c r="X7" s="718"/>
      <c r="Y7" s="718"/>
      <c r="Z7" s="718"/>
      <c r="AA7" s="718"/>
      <c r="AB7" s="718"/>
      <c r="AC7" s="718"/>
      <c r="AD7" s="718"/>
      <c r="AE7" s="718"/>
      <c r="AF7" s="718"/>
      <c r="AG7" s="718"/>
      <c r="AH7" s="718"/>
      <c r="AI7" s="718"/>
      <c r="AJ7" s="718"/>
      <c r="AK7" s="718"/>
      <c r="AL7" s="718"/>
      <c r="AM7" s="718"/>
      <c r="AN7" s="718"/>
      <c r="AO7" s="718"/>
      <c r="AP7" s="718"/>
      <c r="AQ7" s="718"/>
      <c r="AR7" s="718"/>
      <c r="AS7" s="718"/>
      <c r="AT7" s="718"/>
      <c r="AU7" s="718"/>
      <c r="AV7" s="718"/>
      <c r="AW7" s="718"/>
      <c r="AX7" s="718"/>
      <c r="AY7" s="718"/>
      <c r="AZ7" s="718"/>
      <c r="BA7" s="718"/>
      <c r="BB7" s="718"/>
      <c r="BC7" s="718"/>
      <c r="BD7" s="718"/>
      <c r="BE7" s="718"/>
      <c r="BF7" s="718"/>
      <c r="BG7" s="718"/>
      <c r="BH7" s="718"/>
      <c r="BI7" s="718"/>
      <c r="BJ7" s="718"/>
      <c r="BK7" s="718"/>
      <c r="BL7" s="718"/>
      <c r="BM7" s="718"/>
      <c r="BN7" s="718"/>
      <c r="BO7" s="718"/>
      <c r="BP7" s="718"/>
      <c r="BQ7" s="718"/>
      <c r="BR7" s="718"/>
      <c r="BS7" s="718"/>
      <c r="BT7" s="718"/>
      <c r="BU7" s="718"/>
      <c r="BV7" s="719"/>
    </row>
    <row r="8" customFormat="false" ht="15" hidden="false" customHeight="true" outlineLevel="0" collapsed="false">
      <c r="A8" s="720" t="n">
        <v>1.1</v>
      </c>
      <c r="B8" s="721" t="s">
        <v>3788</v>
      </c>
      <c r="C8" s="721" t="s">
        <v>3789</v>
      </c>
      <c r="D8" s="722" t="n">
        <v>45</v>
      </c>
      <c r="E8" s="723" t="n">
        <f aca="false">$B$3</f>
        <v>45658</v>
      </c>
      <c r="F8" s="723" t="n">
        <f aca="false">E8+D8</f>
        <v>45703</v>
      </c>
      <c r="G8" s="723" t="n">
        <v>45703</v>
      </c>
      <c r="H8" s="724" t="n">
        <f aca="false">IF($G8="","",$F8-$G8)</f>
        <v>0</v>
      </c>
      <c r="I8" s="720" t="s">
        <v>85</v>
      </c>
      <c r="J8" s="725" t="n">
        <f aca="false">MIN(E9)-F8</f>
        <v>0</v>
      </c>
      <c r="K8" s="726" t="str">
        <f aca="false">IF($D8="","",IF($J8&lt;=0,"● CRITICAL",""))</f>
        <v>● CRITICAL</v>
      </c>
      <c r="L8" s="727" t="n">
        <f aca="false">IF($B$4&gt;=F8,1,IF($B$4&lt;=E8,0,($B$4-E8)/(F8-E8)))</f>
        <v>1</v>
      </c>
      <c r="M8" s="721" t="str">
        <f aca="false">IF(L8&gt;=1,"Complete",IF(L8&gt;0,"In Progress","Not Started"))</f>
        <v>Complete</v>
      </c>
      <c r="N8" s="728" t="s">
        <v>3787</v>
      </c>
      <c r="O8" s="717"/>
      <c r="P8" s="718"/>
      <c r="Q8" s="718"/>
      <c r="R8" s="718"/>
      <c r="S8" s="718"/>
      <c r="T8" s="718"/>
      <c r="U8" s="718"/>
      <c r="V8" s="718"/>
      <c r="W8" s="718"/>
      <c r="X8" s="718"/>
      <c r="Y8" s="718"/>
      <c r="Z8" s="718"/>
      <c r="AA8" s="718"/>
      <c r="AB8" s="718"/>
      <c r="AC8" s="718"/>
      <c r="AD8" s="718"/>
      <c r="AE8" s="718"/>
      <c r="AF8" s="718"/>
      <c r="AG8" s="718"/>
      <c r="AH8" s="718"/>
      <c r="AI8" s="718"/>
      <c r="AJ8" s="718"/>
      <c r="AK8" s="718"/>
      <c r="AL8" s="718"/>
      <c r="AM8" s="718"/>
      <c r="AN8" s="718"/>
      <c r="AO8" s="718"/>
      <c r="AP8" s="718"/>
      <c r="AQ8" s="718"/>
      <c r="AR8" s="718"/>
      <c r="AS8" s="718"/>
      <c r="AT8" s="718"/>
      <c r="AU8" s="718"/>
      <c r="AV8" s="718"/>
      <c r="AW8" s="718"/>
      <c r="AX8" s="718"/>
      <c r="AY8" s="718"/>
      <c r="AZ8" s="718"/>
      <c r="BA8" s="718"/>
      <c r="BB8" s="718"/>
      <c r="BC8" s="718"/>
      <c r="BD8" s="718"/>
      <c r="BE8" s="718"/>
      <c r="BF8" s="718"/>
      <c r="BG8" s="718"/>
      <c r="BH8" s="718"/>
      <c r="BI8" s="718"/>
      <c r="BJ8" s="718"/>
      <c r="BK8" s="718"/>
      <c r="BL8" s="718"/>
      <c r="BM8" s="718"/>
      <c r="BN8" s="718"/>
      <c r="BO8" s="718"/>
      <c r="BP8" s="718"/>
      <c r="BQ8" s="718"/>
      <c r="BR8" s="718"/>
      <c r="BS8" s="718"/>
      <c r="BT8" s="718"/>
      <c r="BU8" s="718"/>
      <c r="BV8" s="719"/>
    </row>
    <row r="9" customFormat="false" ht="15" hidden="false" customHeight="true" outlineLevel="0" collapsed="false">
      <c r="A9" s="720" t="n">
        <v>1.2</v>
      </c>
      <c r="B9" s="721" t="s">
        <v>3790</v>
      </c>
      <c r="C9" s="721" t="s">
        <v>3789</v>
      </c>
      <c r="D9" s="722" t="n">
        <v>30</v>
      </c>
      <c r="E9" s="723" t="n">
        <f aca="false">F8</f>
        <v>45703</v>
      </c>
      <c r="F9" s="723" t="n">
        <f aca="false">E9+D9</f>
        <v>45733</v>
      </c>
      <c r="G9" s="723" t="n">
        <v>45733</v>
      </c>
      <c r="H9" s="724" t="n">
        <f aca="false">IF($G9="","",$F9-$G9)</f>
        <v>0</v>
      </c>
      <c r="I9" s="720" t="n">
        <v>1.1</v>
      </c>
      <c r="J9" s="725" t="n">
        <f aca="false">MIN(E10)-F9</f>
        <v>0</v>
      </c>
      <c r="K9" s="726" t="str">
        <f aca="false">IF($D9="","",IF($J9&lt;=0,"● CRITICAL",""))</f>
        <v>● CRITICAL</v>
      </c>
      <c r="L9" s="727" t="n">
        <f aca="false">IF($B$4&gt;=F9,1,IF($B$4&lt;=E9,0,($B$4-E9)/(F9-E9)))</f>
        <v>1</v>
      </c>
      <c r="M9" s="721" t="str">
        <f aca="false">IF(L9&gt;=1,"Complete",IF(L9&gt;0,"In Progress","Not Started"))</f>
        <v>Complete</v>
      </c>
      <c r="N9" s="728" t="s">
        <v>3787</v>
      </c>
      <c r="O9" s="717"/>
      <c r="P9" s="718"/>
      <c r="Q9" s="718"/>
      <c r="R9" s="718"/>
      <c r="S9" s="718"/>
      <c r="T9" s="718"/>
      <c r="U9" s="718"/>
      <c r="V9" s="718"/>
      <c r="W9" s="718"/>
      <c r="X9" s="718"/>
      <c r="Y9" s="718"/>
      <c r="Z9" s="718"/>
      <c r="AA9" s="718"/>
      <c r="AB9" s="718"/>
      <c r="AC9" s="718"/>
      <c r="AD9" s="718"/>
      <c r="AE9" s="718"/>
      <c r="AF9" s="718"/>
      <c r="AG9" s="718"/>
      <c r="AH9" s="718"/>
      <c r="AI9" s="718"/>
      <c r="AJ9" s="718"/>
      <c r="AK9" s="718"/>
      <c r="AL9" s="718"/>
      <c r="AM9" s="718"/>
      <c r="AN9" s="718"/>
      <c r="AO9" s="718"/>
      <c r="AP9" s="718"/>
      <c r="AQ9" s="718"/>
      <c r="AR9" s="718"/>
      <c r="AS9" s="718"/>
      <c r="AT9" s="718"/>
      <c r="AU9" s="718"/>
      <c r="AV9" s="718"/>
      <c r="AW9" s="718"/>
      <c r="AX9" s="718"/>
      <c r="AY9" s="718"/>
      <c r="AZ9" s="718"/>
      <c r="BA9" s="718"/>
      <c r="BB9" s="718"/>
      <c r="BC9" s="718"/>
      <c r="BD9" s="718"/>
      <c r="BE9" s="718"/>
      <c r="BF9" s="718"/>
      <c r="BG9" s="718"/>
      <c r="BH9" s="718"/>
      <c r="BI9" s="718"/>
      <c r="BJ9" s="718"/>
      <c r="BK9" s="718"/>
      <c r="BL9" s="718"/>
      <c r="BM9" s="718"/>
      <c r="BN9" s="718"/>
      <c r="BO9" s="718"/>
      <c r="BP9" s="718"/>
      <c r="BQ9" s="718"/>
      <c r="BR9" s="718"/>
      <c r="BS9" s="718"/>
      <c r="BT9" s="718"/>
      <c r="BU9" s="718"/>
      <c r="BV9" s="719"/>
    </row>
    <row r="10" customFormat="false" ht="15" hidden="false" customHeight="true" outlineLevel="0" collapsed="false">
      <c r="A10" s="720" t="n">
        <v>1.3</v>
      </c>
      <c r="B10" s="721" t="s">
        <v>3791</v>
      </c>
      <c r="C10" s="721" t="s">
        <v>3792</v>
      </c>
      <c r="D10" s="722" t="n">
        <v>60</v>
      </c>
      <c r="E10" s="723" t="n">
        <f aca="false">F9</f>
        <v>45733</v>
      </c>
      <c r="F10" s="723" t="n">
        <f aca="false">E10+D10</f>
        <v>45793</v>
      </c>
      <c r="G10" s="723" t="n">
        <v>45793</v>
      </c>
      <c r="H10" s="724" t="n">
        <f aca="false">IF($G10="","",$F10-$G10)</f>
        <v>0</v>
      </c>
      <c r="I10" s="720" t="n">
        <v>1.2</v>
      </c>
      <c r="J10" s="725" t="n">
        <f aca="false">MIN(E11)-F10</f>
        <v>0</v>
      </c>
      <c r="K10" s="726" t="str">
        <f aca="false">IF($D10="","",IF($J10&lt;=0,"● CRITICAL",""))</f>
        <v>● CRITICAL</v>
      </c>
      <c r="L10" s="727" t="n">
        <f aca="false">IF($B$4&gt;=F10,1,IF($B$4&lt;=E10,0,($B$4-E10)/(F10-E10)))</f>
        <v>1</v>
      </c>
      <c r="M10" s="721" t="str">
        <f aca="false">IF(L10&gt;=1,"Complete",IF(L10&gt;0,"In Progress","Not Started"))</f>
        <v>Complete</v>
      </c>
      <c r="N10" s="728" t="s">
        <v>2944</v>
      </c>
      <c r="O10" s="717"/>
      <c r="P10" s="718"/>
      <c r="Q10" s="718"/>
      <c r="R10" s="718"/>
      <c r="S10" s="718"/>
      <c r="T10" s="718"/>
      <c r="U10" s="718"/>
      <c r="V10" s="718"/>
      <c r="W10" s="718"/>
      <c r="X10" s="718"/>
      <c r="Y10" s="718"/>
      <c r="Z10" s="718"/>
      <c r="AA10" s="718"/>
      <c r="AB10" s="718"/>
      <c r="AC10" s="718"/>
      <c r="AD10" s="718"/>
      <c r="AE10" s="718"/>
      <c r="AF10" s="718"/>
      <c r="AG10" s="718"/>
      <c r="AH10" s="718"/>
      <c r="AI10" s="718"/>
      <c r="AJ10" s="718"/>
      <c r="AK10" s="718"/>
      <c r="AL10" s="718"/>
      <c r="AM10" s="718"/>
      <c r="AN10" s="718"/>
      <c r="AO10" s="718"/>
      <c r="AP10" s="718"/>
      <c r="AQ10" s="718"/>
      <c r="AR10" s="718"/>
      <c r="AS10" s="718"/>
      <c r="AT10" s="718"/>
      <c r="AU10" s="718"/>
      <c r="AV10" s="718"/>
      <c r="AW10" s="718"/>
      <c r="AX10" s="718"/>
      <c r="AY10" s="718"/>
      <c r="AZ10" s="718"/>
      <c r="BA10" s="718"/>
      <c r="BB10" s="718"/>
      <c r="BC10" s="718"/>
      <c r="BD10" s="718"/>
      <c r="BE10" s="718"/>
      <c r="BF10" s="718"/>
      <c r="BG10" s="718"/>
      <c r="BH10" s="718"/>
      <c r="BI10" s="718"/>
      <c r="BJ10" s="718"/>
      <c r="BK10" s="718"/>
      <c r="BL10" s="718"/>
      <c r="BM10" s="718"/>
      <c r="BN10" s="718"/>
      <c r="BO10" s="718"/>
      <c r="BP10" s="718"/>
      <c r="BQ10" s="718"/>
      <c r="BR10" s="718"/>
      <c r="BS10" s="718"/>
      <c r="BT10" s="718"/>
      <c r="BU10" s="718"/>
      <c r="BV10" s="719"/>
    </row>
    <row r="11" customFormat="false" ht="15" hidden="false" customHeight="true" outlineLevel="0" collapsed="false">
      <c r="A11" s="720" t="n">
        <v>1.4</v>
      </c>
      <c r="B11" s="721" t="s">
        <v>3793</v>
      </c>
      <c r="C11" s="721" t="s">
        <v>3794</v>
      </c>
      <c r="D11" s="722" t="n">
        <v>20</v>
      </c>
      <c r="E11" s="723" t="n">
        <f aca="false">F10</f>
        <v>45793</v>
      </c>
      <c r="F11" s="723" t="n">
        <f aca="false">E11+D11</f>
        <v>45813</v>
      </c>
      <c r="G11" s="723" t="n">
        <v>45813</v>
      </c>
      <c r="H11" s="724" t="n">
        <f aca="false">IF($G11="","",$F11-$G11)</f>
        <v>0</v>
      </c>
      <c r="I11" s="720" t="n">
        <v>1.3</v>
      </c>
      <c r="J11" s="725" t="n">
        <f aca="false">MIN(E15)-F11</f>
        <v>0</v>
      </c>
      <c r="K11" s="726" t="str">
        <f aca="false">IF($D11="","",IF($J11&lt;=0,"● CRITICAL",""))</f>
        <v>● CRITICAL</v>
      </c>
      <c r="L11" s="727" t="n">
        <f aca="false">IF($B$4&gt;=F11,1,IF($B$4&lt;=E11,0,($B$4-E11)/(F11-E11)))</f>
        <v>1</v>
      </c>
      <c r="M11" s="721" t="str">
        <f aca="false">IF(L11&gt;=1,"Complete",IF(L11&gt;0,"In Progress","Not Started"))</f>
        <v>Complete</v>
      </c>
      <c r="N11" s="728" t="s">
        <v>3795</v>
      </c>
      <c r="O11" s="717"/>
      <c r="P11" s="718"/>
      <c r="Q11" s="718"/>
      <c r="R11" s="718"/>
      <c r="S11" s="718"/>
      <c r="T11" s="718"/>
      <c r="U11" s="718"/>
      <c r="V11" s="718"/>
      <c r="W11" s="718"/>
      <c r="X11" s="718"/>
      <c r="Y11" s="718"/>
      <c r="Z11" s="718"/>
      <c r="AA11" s="718"/>
      <c r="AB11" s="718"/>
      <c r="AC11" s="718"/>
      <c r="AD11" s="718"/>
      <c r="AE11" s="718"/>
      <c r="AF11" s="718"/>
      <c r="AG11" s="718"/>
      <c r="AH11" s="718"/>
      <c r="AI11" s="718"/>
      <c r="AJ11" s="718"/>
      <c r="AK11" s="718"/>
      <c r="AL11" s="718"/>
      <c r="AM11" s="718"/>
      <c r="AN11" s="718"/>
      <c r="AO11" s="718"/>
      <c r="AP11" s="718"/>
      <c r="AQ11" s="718"/>
      <c r="AR11" s="718"/>
      <c r="AS11" s="718"/>
      <c r="AT11" s="718"/>
      <c r="AU11" s="718"/>
      <c r="AV11" s="718"/>
      <c r="AW11" s="718"/>
      <c r="AX11" s="718"/>
      <c r="AY11" s="718"/>
      <c r="AZ11" s="718"/>
      <c r="BA11" s="718"/>
      <c r="BB11" s="718"/>
      <c r="BC11" s="718"/>
      <c r="BD11" s="718"/>
      <c r="BE11" s="718"/>
      <c r="BF11" s="718"/>
      <c r="BG11" s="718"/>
      <c r="BH11" s="718"/>
      <c r="BI11" s="718"/>
      <c r="BJ11" s="718"/>
      <c r="BK11" s="718"/>
      <c r="BL11" s="718"/>
      <c r="BM11" s="718"/>
      <c r="BN11" s="718"/>
      <c r="BO11" s="718"/>
      <c r="BP11" s="718"/>
      <c r="BQ11" s="718"/>
      <c r="BR11" s="718"/>
      <c r="BS11" s="718"/>
      <c r="BT11" s="718"/>
      <c r="BU11" s="718"/>
      <c r="BV11" s="719"/>
    </row>
    <row r="12" customFormat="false" ht="15" hidden="false" customHeight="true" outlineLevel="0" collapsed="false">
      <c r="A12" s="729" t="s">
        <v>3796</v>
      </c>
      <c r="B12" s="721" t="s">
        <v>3797</v>
      </c>
      <c r="C12" s="721" t="s">
        <v>3798</v>
      </c>
      <c r="D12" s="722" t="n">
        <v>30</v>
      </c>
      <c r="E12" s="723" t="n">
        <f aca="false">F9</f>
        <v>45733</v>
      </c>
      <c r="F12" s="723" t="n">
        <f aca="false">E12+D12</f>
        <v>45763</v>
      </c>
      <c r="G12" s="723" t="n">
        <v>45763</v>
      </c>
      <c r="H12" s="724" t="n">
        <f aca="false">IF($G12="","",$F12-$G12)</f>
        <v>0</v>
      </c>
      <c r="I12" s="729" t="s">
        <v>3799</v>
      </c>
      <c r="J12" s="725" t="n">
        <f aca="false">$F$166-F12</f>
        <v>1410</v>
      </c>
      <c r="K12" s="726" t="str">
        <f aca="false">IF($D12="","",IF($J12&lt;=0,"● CRITICAL",""))</f>
        <v/>
      </c>
      <c r="L12" s="727" t="n">
        <f aca="false">IF($B$4&gt;=F12,1,IF($B$4&lt;=E12,0,($B$4-E12)/(F12-E12)))</f>
        <v>1</v>
      </c>
      <c r="M12" s="721" t="str">
        <f aca="false">IF(L12&gt;=1,"Complete",IF(L12&gt;0,"In Progress","Not Started"))</f>
        <v>Complete</v>
      </c>
      <c r="N12" s="728" t="s">
        <v>3800</v>
      </c>
      <c r="O12" s="717"/>
      <c r="P12" s="718"/>
      <c r="Q12" s="730"/>
      <c r="R12" s="730"/>
      <c r="S12" s="718"/>
      <c r="T12" s="718"/>
      <c r="U12" s="718"/>
      <c r="V12" s="718"/>
      <c r="W12" s="718"/>
      <c r="X12" s="718"/>
      <c r="Y12" s="718"/>
      <c r="Z12" s="718"/>
      <c r="AA12" s="718"/>
      <c r="AB12" s="718"/>
      <c r="AC12" s="718"/>
      <c r="AD12" s="718"/>
      <c r="AE12" s="718"/>
      <c r="AF12" s="718"/>
      <c r="AG12" s="718"/>
      <c r="AH12" s="718"/>
      <c r="AI12" s="718"/>
      <c r="AJ12" s="718"/>
      <c r="AK12" s="718"/>
      <c r="AL12" s="718"/>
      <c r="AM12" s="718"/>
      <c r="AN12" s="718"/>
      <c r="AO12" s="718"/>
      <c r="AP12" s="718"/>
      <c r="AQ12" s="718"/>
      <c r="AR12" s="718"/>
      <c r="AS12" s="718"/>
      <c r="AT12" s="718"/>
      <c r="AU12" s="718"/>
      <c r="AV12" s="718"/>
      <c r="AW12" s="718"/>
      <c r="AX12" s="718"/>
      <c r="AY12" s="718"/>
      <c r="AZ12" s="718"/>
      <c r="BA12" s="718"/>
      <c r="BB12" s="718"/>
      <c r="BC12" s="718"/>
      <c r="BD12" s="718"/>
      <c r="BE12" s="718"/>
      <c r="BF12" s="718"/>
      <c r="BG12" s="718"/>
      <c r="BH12" s="718"/>
      <c r="BI12" s="718"/>
      <c r="BJ12" s="718"/>
      <c r="BK12" s="718"/>
      <c r="BL12" s="718"/>
      <c r="BM12" s="718"/>
      <c r="BN12" s="718"/>
      <c r="BO12" s="718"/>
      <c r="BP12" s="718"/>
      <c r="BQ12" s="718"/>
      <c r="BR12" s="718"/>
      <c r="BS12" s="718"/>
      <c r="BT12" s="718"/>
      <c r="BU12" s="718"/>
      <c r="BV12" s="719"/>
    </row>
    <row r="13" customFormat="false" ht="15" hidden="false" customHeight="true" outlineLevel="0" collapsed="false">
      <c r="A13" s="729" t="s">
        <v>3801</v>
      </c>
      <c r="B13" s="721" t="s">
        <v>3802</v>
      </c>
      <c r="C13" s="721" t="s">
        <v>3787</v>
      </c>
      <c r="D13" s="722" t="n">
        <v>60</v>
      </c>
      <c r="E13" s="723" t="n">
        <f aca="false">F8</f>
        <v>45703</v>
      </c>
      <c r="F13" s="723" t="n">
        <f aca="false">E13+D13</f>
        <v>45763</v>
      </c>
      <c r="G13" s="723" t="n">
        <v>45763</v>
      </c>
      <c r="H13" s="724" t="n">
        <f aca="false">IF($G13="","",$F13-$G13)</f>
        <v>0</v>
      </c>
      <c r="I13" s="729" t="s">
        <v>3803</v>
      </c>
      <c r="J13" s="725" t="n">
        <f aca="false">$F$166-F13</f>
        <v>1410</v>
      </c>
      <c r="K13" s="726" t="str">
        <f aca="false">IF($D13="","",IF($J13&lt;=0,"● CRITICAL",""))</f>
        <v/>
      </c>
      <c r="L13" s="727" t="n">
        <f aca="false">IF($B$4&gt;=F13,1,IF($B$4&lt;=E13,0,($B$4-E13)/(F13-E13)))</f>
        <v>1</v>
      </c>
      <c r="M13" s="721" t="str">
        <f aca="false">IF(L13&gt;=1,"Complete",IF(L13&gt;0,"In Progress","Not Started"))</f>
        <v>Complete</v>
      </c>
      <c r="N13" s="728" t="s">
        <v>3787</v>
      </c>
      <c r="O13" s="717"/>
      <c r="P13" s="730"/>
      <c r="Q13" s="730"/>
      <c r="R13" s="730"/>
      <c r="S13" s="718"/>
      <c r="T13" s="718"/>
      <c r="U13" s="718"/>
      <c r="V13" s="718"/>
      <c r="W13" s="718"/>
      <c r="X13" s="718"/>
      <c r="Y13" s="718"/>
      <c r="Z13" s="718"/>
      <c r="AA13" s="718"/>
      <c r="AB13" s="718"/>
      <c r="AC13" s="718"/>
      <c r="AD13" s="718"/>
      <c r="AE13" s="718"/>
      <c r="AF13" s="718"/>
      <c r="AG13" s="718"/>
      <c r="AH13" s="718"/>
      <c r="AI13" s="718"/>
      <c r="AJ13" s="718"/>
      <c r="AK13" s="718"/>
      <c r="AL13" s="718"/>
      <c r="AM13" s="718"/>
      <c r="AN13" s="718"/>
      <c r="AO13" s="718"/>
      <c r="AP13" s="718"/>
      <c r="AQ13" s="718"/>
      <c r="AR13" s="718"/>
      <c r="AS13" s="718"/>
      <c r="AT13" s="718"/>
      <c r="AU13" s="718"/>
      <c r="AV13" s="718"/>
      <c r="AW13" s="718"/>
      <c r="AX13" s="718"/>
      <c r="AY13" s="718"/>
      <c r="AZ13" s="718"/>
      <c r="BA13" s="718"/>
      <c r="BB13" s="718"/>
      <c r="BC13" s="718"/>
      <c r="BD13" s="718"/>
      <c r="BE13" s="718"/>
      <c r="BF13" s="718"/>
      <c r="BG13" s="718"/>
      <c r="BH13" s="718"/>
      <c r="BI13" s="718"/>
      <c r="BJ13" s="718"/>
      <c r="BK13" s="718"/>
      <c r="BL13" s="718"/>
      <c r="BM13" s="718"/>
      <c r="BN13" s="718"/>
      <c r="BO13" s="718"/>
      <c r="BP13" s="718"/>
      <c r="BQ13" s="718"/>
      <c r="BR13" s="718"/>
      <c r="BS13" s="718"/>
      <c r="BT13" s="718"/>
      <c r="BU13" s="718"/>
      <c r="BV13" s="719"/>
    </row>
    <row r="14" customFormat="false" ht="15" hidden="false" customHeight="true" outlineLevel="0" collapsed="false">
      <c r="A14" s="729" t="s">
        <v>3804</v>
      </c>
      <c r="B14" s="721" t="s">
        <v>3805</v>
      </c>
      <c r="C14" s="721" t="s">
        <v>3806</v>
      </c>
      <c r="D14" s="722" t="n">
        <v>75</v>
      </c>
      <c r="E14" s="723" t="n">
        <f aca="false">F8</f>
        <v>45703</v>
      </c>
      <c r="F14" s="723" t="n">
        <f aca="false">E14+D14</f>
        <v>45778</v>
      </c>
      <c r="G14" s="723" t="n">
        <v>45778</v>
      </c>
      <c r="H14" s="724" t="n">
        <f aca="false">IF($G14="","",$F14-$G14)</f>
        <v>0</v>
      </c>
      <c r="I14" s="729" t="s">
        <v>3803</v>
      </c>
      <c r="J14" s="725" t="n">
        <f aca="false">$F$166-F14</f>
        <v>1395</v>
      </c>
      <c r="K14" s="726" t="str">
        <f aca="false">IF($D14="","",IF($J14&lt;=0,"● CRITICAL",""))</f>
        <v/>
      </c>
      <c r="L14" s="727" t="n">
        <f aca="false">IF($B$4&gt;=F14,1,IF($B$4&lt;=E14,0,($B$4-E14)/(F14-E14)))</f>
        <v>1</v>
      </c>
      <c r="M14" s="721" t="str">
        <f aca="false">IF(L14&gt;=1,"Complete",IF(L14&gt;0,"In Progress","Not Started"))</f>
        <v>Complete</v>
      </c>
      <c r="N14" s="728" t="s">
        <v>3807</v>
      </c>
      <c r="O14" s="717"/>
      <c r="P14" s="730"/>
      <c r="Q14" s="730"/>
      <c r="R14" s="730"/>
      <c r="S14" s="730"/>
      <c r="T14" s="718"/>
      <c r="U14" s="718"/>
      <c r="V14" s="718"/>
      <c r="W14" s="718"/>
      <c r="X14" s="718"/>
      <c r="Y14" s="718"/>
      <c r="Z14" s="718"/>
      <c r="AA14" s="718"/>
      <c r="AB14" s="718"/>
      <c r="AC14" s="718"/>
      <c r="AD14" s="718"/>
      <c r="AE14" s="718"/>
      <c r="AF14" s="718"/>
      <c r="AG14" s="718"/>
      <c r="AH14" s="718"/>
      <c r="AI14" s="718"/>
      <c r="AJ14" s="718"/>
      <c r="AK14" s="718"/>
      <c r="AL14" s="718"/>
      <c r="AM14" s="718"/>
      <c r="AN14" s="718"/>
      <c r="AO14" s="718"/>
      <c r="AP14" s="718"/>
      <c r="AQ14" s="718"/>
      <c r="AR14" s="718"/>
      <c r="AS14" s="718"/>
      <c r="AT14" s="718"/>
      <c r="AU14" s="718"/>
      <c r="AV14" s="718"/>
      <c r="AW14" s="718"/>
      <c r="AX14" s="718"/>
      <c r="AY14" s="718"/>
      <c r="AZ14" s="718"/>
      <c r="BA14" s="718"/>
      <c r="BB14" s="718"/>
      <c r="BC14" s="718"/>
      <c r="BD14" s="718"/>
      <c r="BE14" s="718"/>
      <c r="BF14" s="718"/>
      <c r="BG14" s="718"/>
      <c r="BH14" s="718"/>
      <c r="BI14" s="718"/>
      <c r="BJ14" s="718"/>
      <c r="BK14" s="718"/>
      <c r="BL14" s="718"/>
      <c r="BM14" s="718"/>
      <c r="BN14" s="718"/>
      <c r="BO14" s="718"/>
      <c r="BP14" s="718"/>
      <c r="BQ14" s="718"/>
      <c r="BR14" s="718"/>
      <c r="BS14" s="718"/>
      <c r="BT14" s="718"/>
      <c r="BU14" s="718"/>
      <c r="BV14" s="719"/>
    </row>
    <row r="15" customFormat="false" ht="15" hidden="false" customHeight="true" outlineLevel="0" collapsed="false">
      <c r="A15" s="720" t="n">
        <v>1.5</v>
      </c>
      <c r="B15" s="731" t="s">
        <v>3808</v>
      </c>
      <c r="C15" s="721" t="s">
        <v>85</v>
      </c>
      <c r="D15" s="722" t="n">
        <v>0</v>
      </c>
      <c r="E15" s="723" t="n">
        <f aca="false">F11</f>
        <v>45813</v>
      </c>
      <c r="F15" s="723" t="n">
        <f aca="false">E15+D15</f>
        <v>45813</v>
      </c>
      <c r="G15" s="723" t="n">
        <v>45813</v>
      </c>
      <c r="H15" s="724" t="n">
        <f aca="false">IF($G15="","",$F15-$G15)</f>
        <v>0</v>
      </c>
      <c r="I15" s="720" t="n">
        <v>1.4</v>
      </c>
      <c r="J15" s="725" t="n">
        <f aca="false">MIN(E17)-F15</f>
        <v>0</v>
      </c>
      <c r="K15" s="726" t="str">
        <f aca="false">IF($D15="","",IF($J15&lt;=0,"● CRITICAL",""))</f>
        <v>● CRITICAL</v>
      </c>
      <c r="L15" s="727" t="n">
        <f aca="false">IF($B$4&gt;=F15,1,IF($B$4&lt;=E15,0,($B$4-E15)/(F15-E15)))</f>
        <v>1</v>
      </c>
      <c r="M15" s="721" t="str">
        <f aca="false">IF(L15&gt;=1,"Complete",IF(L15&gt;0,"In Progress","Not Started"))</f>
        <v>Complete</v>
      </c>
      <c r="N15" s="728" t="s">
        <v>2944</v>
      </c>
      <c r="O15" s="717"/>
      <c r="P15" s="718"/>
      <c r="Q15" s="718"/>
      <c r="R15" s="718"/>
      <c r="S15" s="718"/>
      <c r="T15" s="718"/>
      <c r="U15" s="718"/>
      <c r="V15" s="718"/>
      <c r="W15" s="718"/>
      <c r="X15" s="718"/>
      <c r="Y15" s="718"/>
      <c r="Z15" s="718"/>
      <c r="AA15" s="718"/>
      <c r="AB15" s="718"/>
      <c r="AC15" s="718"/>
      <c r="AD15" s="718"/>
      <c r="AE15" s="718"/>
      <c r="AF15" s="718"/>
      <c r="AG15" s="718"/>
      <c r="AH15" s="718"/>
      <c r="AI15" s="718"/>
      <c r="AJ15" s="718"/>
      <c r="AK15" s="718"/>
      <c r="AL15" s="718"/>
      <c r="AM15" s="718"/>
      <c r="AN15" s="718"/>
      <c r="AO15" s="718"/>
      <c r="AP15" s="718"/>
      <c r="AQ15" s="718"/>
      <c r="AR15" s="718"/>
      <c r="AS15" s="718"/>
      <c r="AT15" s="718"/>
      <c r="AU15" s="718"/>
      <c r="AV15" s="718"/>
      <c r="AW15" s="718"/>
      <c r="AX15" s="718"/>
      <c r="AY15" s="718"/>
      <c r="AZ15" s="718"/>
      <c r="BA15" s="718"/>
      <c r="BB15" s="718"/>
      <c r="BC15" s="718"/>
      <c r="BD15" s="718"/>
      <c r="BE15" s="718"/>
      <c r="BF15" s="718"/>
      <c r="BG15" s="718"/>
      <c r="BH15" s="718"/>
      <c r="BI15" s="718"/>
      <c r="BJ15" s="718"/>
      <c r="BK15" s="718"/>
      <c r="BL15" s="718"/>
      <c r="BM15" s="718"/>
      <c r="BN15" s="718"/>
      <c r="BO15" s="718"/>
      <c r="BP15" s="718"/>
      <c r="BQ15" s="718"/>
      <c r="BR15" s="718"/>
      <c r="BS15" s="718"/>
      <c r="BT15" s="718"/>
      <c r="BU15" s="718"/>
      <c r="BV15" s="719"/>
    </row>
    <row r="16" customFormat="false" ht="15" hidden="false" customHeight="true" outlineLevel="0" collapsed="false">
      <c r="A16" s="709" t="n">
        <v>2</v>
      </c>
      <c r="B16" s="710" t="s">
        <v>3809</v>
      </c>
      <c r="C16" s="710"/>
      <c r="D16" s="711" t="n">
        <f aca="false">F16-E16</f>
        <v>330</v>
      </c>
      <c r="E16" s="712" t="n">
        <f aca="false">MIN(E17:E27)</f>
        <v>45813</v>
      </c>
      <c r="F16" s="712" t="n">
        <f aca="false">MAX(F17:F27)</f>
        <v>46143</v>
      </c>
      <c r="G16" s="712" t="n">
        <v>46143</v>
      </c>
      <c r="H16" s="713" t="n">
        <f aca="false">IF($G16="","",$F16-$G16)</f>
        <v>0</v>
      </c>
      <c r="I16" s="709"/>
      <c r="J16" s="714"/>
      <c r="K16" s="710"/>
      <c r="L16" s="715" t="n">
        <f aca="false">IFERROR(SUMPRODUCT($D17:$D27,$L17:$L27)/SUM($D17:$D27),0)</f>
        <v>1</v>
      </c>
      <c r="M16" s="710" t="str">
        <f aca="false">IF(L16&gt;=1,"Complete",IF(L16&gt;0,"In Progress","Not Started"))</f>
        <v>Complete</v>
      </c>
      <c r="N16" s="716" t="s">
        <v>2944</v>
      </c>
      <c r="O16" s="717"/>
      <c r="P16" s="718"/>
      <c r="Q16" s="718"/>
      <c r="R16" s="718"/>
      <c r="S16" s="718"/>
      <c r="T16" s="718"/>
      <c r="U16" s="718"/>
      <c r="V16" s="718"/>
      <c r="W16" s="718"/>
      <c r="X16" s="718"/>
      <c r="Y16" s="718"/>
      <c r="Z16" s="718"/>
      <c r="AA16" s="718"/>
      <c r="AB16" s="718"/>
      <c r="AC16" s="718"/>
      <c r="AD16" s="718"/>
      <c r="AE16" s="718"/>
      <c r="AF16" s="718"/>
      <c r="AG16" s="718"/>
      <c r="AH16" s="718"/>
      <c r="AI16" s="718"/>
      <c r="AJ16" s="718"/>
      <c r="AK16" s="718"/>
      <c r="AL16" s="718"/>
      <c r="AM16" s="718"/>
      <c r="AN16" s="718"/>
      <c r="AO16" s="718"/>
      <c r="AP16" s="718"/>
      <c r="AQ16" s="718"/>
      <c r="AR16" s="718"/>
      <c r="AS16" s="718"/>
      <c r="AT16" s="718"/>
      <c r="AU16" s="718"/>
      <c r="AV16" s="718"/>
      <c r="AW16" s="718"/>
      <c r="AX16" s="718"/>
      <c r="AY16" s="718"/>
      <c r="AZ16" s="718"/>
      <c r="BA16" s="718"/>
      <c r="BB16" s="718"/>
      <c r="BC16" s="718"/>
      <c r="BD16" s="718"/>
      <c r="BE16" s="718"/>
      <c r="BF16" s="718"/>
      <c r="BG16" s="718"/>
      <c r="BH16" s="718"/>
      <c r="BI16" s="718"/>
      <c r="BJ16" s="718"/>
      <c r="BK16" s="718"/>
      <c r="BL16" s="718"/>
      <c r="BM16" s="718"/>
      <c r="BN16" s="718"/>
      <c r="BO16" s="718"/>
      <c r="BP16" s="718"/>
      <c r="BQ16" s="718"/>
      <c r="BR16" s="718"/>
      <c r="BS16" s="718"/>
      <c r="BT16" s="718"/>
      <c r="BU16" s="718"/>
      <c r="BV16" s="719"/>
    </row>
    <row r="17" customFormat="false" ht="15" hidden="false" customHeight="true" outlineLevel="0" collapsed="false">
      <c r="A17" s="720" t="n">
        <v>2.1</v>
      </c>
      <c r="B17" s="721" t="s">
        <v>3810</v>
      </c>
      <c r="C17" s="721" t="s">
        <v>3811</v>
      </c>
      <c r="D17" s="722" t="n">
        <v>45</v>
      </c>
      <c r="E17" s="723" t="n">
        <f aca="false">F15</f>
        <v>45813</v>
      </c>
      <c r="F17" s="723" t="n">
        <f aca="false">E17+D17</f>
        <v>45858</v>
      </c>
      <c r="G17" s="723" t="n">
        <v>45858</v>
      </c>
      <c r="H17" s="724" t="n">
        <f aca="false">IF($G17="","",$F17-$G17)</f>
        <v>0</v>
      </c>
      <c r="I17" s="720" t="n">
        <v>1.5</v>
      </c>
      <c r="J17" s="725" t="n">
        <f aca="false">MIN(E18)-F17</f>
        <v>0</v>
      </c>
      <c r="K17" s="726" t="str">
        <f aca="false">IF($D17="","",IF($J17&lt;=0,"● CRITICAL",""))</f>
        <v>● CRITICAL</v>
      </c>
      <c r="L17" s="727" t="n">
        <f aca="false">IF($B$4&gt;=F17,1,IF($B$4&lt;=E17,0,($B$4-E17)/(F17-E17)))</f>
        <v>1</v>
      </c>
      <c r="M17" s="721" t="str">
        <f aca="false">IF(L17&gt;=1,"Complete",IF(L17&gt;0,"In Progress","Not Started"))</f>
        <v>Complete</v>
      </c>
      <c r="N17" s="728" t="s">
        <v>3800</v>
      </c>
      <c r="O17" s="717"/>
      <c r="P17" s="718"/>
      <c r="Q17" s="718"/>
      <c r="R17" s="718"/>
      <c r="S17" s="718"/>
      <c r="T17" s="718"/>
      <c r="U17" s="718"/>
      <c r="V17" s="718"/>
      <c r="W17" s="718"/>
      <c r="X17" s="718"/>
      <c r="Y17" s="718"/>
      <c r="Z17" s="718"/>
      <c r="AA17" s="718"/>
      <c r="AB17" s="718"/>
      <c r="AC17" s="718"/>
      <c r="AD17" s="718"/>
      <c r="AE17" s="718"/>
      <c r="AF17" s="718"/>
      <c r="AG17" s="718"/>
      <c r="AH17" s="718"/>
      <c r="AI17" s="718"/>
      <c r="AJ17" s="718"/>
      <c r="AK17" s="718"/>
      <c r="AL17" s="718"/>
      <c r="AM17" s="718"/>
      <c r="AN17" s="718"/>
      <c r="AO17" s="718"/>
      <c r="AP17" s="718"/>
      <c r="AQ17" s="718"/>
      <c r="AR17" s="718"/>
      <c r="AS17" s="718"/>
      <c r="AT17" s="718"/>
      <c r="AU17" s="718"/>
      <c r="AV17" s="718"/>
      <c r="AW17" s="718"/>
      <c r="AX17" s="718"/>
      <c r="AY17" s="718"/>
      <c r="AZ17" s="718"/>
      <c r="BA17" s="718"/>
      <c r="BB17" s="718"/>
      <c r="BC17" s="718"/>
      <c r="BD17" s="718"/>
      <c r="BE17" s="718"/>
      <c r="BF17" s="718"/>
      <c r="BG17" s="718"/>
      <c r="BH17" s="718"/>
      <c r="BI17" s="718"/>
      <c r="BJ17" s="718"/>
      <c r="BK17" s="718"/>
      <c r="BL17" s="718"/>
      <c r="BM17" s="718"/>
      <c r="BN17" s="718"/>
      <c r="BO17" s="718"/>
      <c r="BP17" s="718"/>
      <c r="BQ17" s="718"/>
      <c r="BR17" s="718"/>
      <c r="BS17" s="718"/>
      <c r="BT17" s="718"/>
      <c r="BU17" s="718"/>
      <c r="BV17" s="719"/>
    </row>
    <row r="18" customFormat="false" ht="15" hidden="false" customHeight="true" outlineLevel="0" collapsed="false">
      <c r="A18" s="720" t="n">
        <v>2.2</v>
      </c>
      <c r="B18" s="731" t="s">
        <v>3812</v>
      </c>
      <c r="C18" s="721" t="s">
        <v>85</v>
      </c>
      <c r="D18" s="722" t="n">
        <v>0</v>
      </c>
      <c r="E18" s="723" t="n">
        <f aca="false">F17</f>
        <v>45858</v>
      </c>
      <c r="F18" s="723" t="n">
        <f aca="false">E18+D18</f>
        <v>45858</v>
      </c>
      <c r="G18" s="723" t="n">
        <v>45858</v>
      </c>
      <c r="H18" s="724" t="n">
        <f aca="false">IF($G18="","",$F18-$G18)</f>
        <v>0</v>
      </c>
      <c r="I18" s="720" t="n">
        <v>2.1</v>
      </c>
      <c r="J18" s="725" t="n">
        <f aca="false">MIN(E19,E20,E21,E29)-F18</f>
        <v>0</v>
      </c>
      <c r="K18" s="726" t="str">
        <f aca="false">IF($D18="","",IF($J18&lt;=0,"● CRITICAL",""))</f>
        <v>● CRITICAL</v>
      </c>
      <c r="L18" s="727" t="n">
        <f aca="false">IF($B$4&gt;=F18,1,IF($B$4&lt;=E18,0,($B$4-E18)/(F18-E18)))</f>
        <v>1</v>
      </c>
      <c r="M18" s="721" t="str">
        <f aca="false">IF(L18&gt;=1,"Complete",IF(L18&gt;0,"In Progress","Not Started"))</f>
        <v>Complete</v>
      </c>
      <c r="N18" s="728" t="s">
        <v>2944</v>
      </c>
      <c r="O18" s="717"/>
      <c r="P18" s="718"/>
      <c r="Q18" s="718"/>
      <c r="R18" s="718"/>
      <c r="S18" s="718"/>
      <c r="T18" s="718"/>
      <c r="U18" s="718"/>
      <c r="V18" s="718"/>
      <c r="W18" s="718"/>
      <c r="X18" s="718"/>
      <c r="Y18" s="718"/>
      <c r="Z18" s="718"/>
      <c r="AA18" s="718"/>
      <c r="AB18" s="718"/>
      <c r="AC18" s="718"/>
      <c r="AD18" s="718"/>
      <c r="AE18" s="718"/>
      <c r="AF18" s="718"/>
      <c r="AG18" s="718"/>
      <c r="AH18" s="718"/>
      <c r="AI18" s="718"/>
      <c r="AJ18" s="718"/>
      <c r="AK18" s="718"/>
      <c r="AL18" s="718"/>
      <c r="AM18" s="718"/>
      <c r="AN18" s="718"/>
      <c r="AO18" s="718"/>
      <c r="AP18" s="718"/>
      <c r="AQ18" s="718"/>
      <c r="AR18" s="718"/>
      <c r="AS18" s="718"/>
      <c r="AT18" s="718"/>
      <c r="AU18" s="718"/>
      <c r="AV18" s="718"/>
      <c r="AW18" s="718"/>
      <c r="AX18" s="718"/>
      <c r="AY18" s="718"/>
      <c r="AZ18" s="718"/>
      <c r="BA18" s="718"/>
      <c r="BB18" s="718"/>
      <c r="BC18" s="718"/>
      <c r="BD18" s="718"/>
      <c r="BE18" s="718"/>
      <c r="BF18" s="718"/>
      <c r="BG18" s="718"/>
      <c r="BH18" s="718"/>
      <c r="BI18" s="718"/>
      <c r="BJ18" s="718"/>
      <c r="BK18" s="718"/>
      <c r="BL18" s="718"/>
      <c r="BM18" s="718"/>
      <c r="BN18" s="718"/>
      <c r="BO18" s="718"/>
      <c r="BP18" s="718"/>
      <c r="BQ18" s="718"/>
      <c r="BR18" s="718"/>
      <c r="BS18" s="718"/>
      <c r="BT18" s="718"/>
      <c r="BU18" s="718"/>
      <c r="BV18" s="719"/>
    </row>
    <row r="19" customFormat="false" ht="15" hidden="false" customHeight="true" outlineLevel="0" collapsed="false">
      <c r="A19" s="720" t="n">
        <v>2.3</v>
      </c>
      <c r="B19" s="721" t="s">
        <v>3813</v>
      </c>
      <c r="C19" s="721" t="s">
        <v>3814</v>
      </c>
      <c r="D19" s="722" t="n">
        <v>120</v>
      </c>
      <c r="E19" s="723" t="n">
        <f aca="false">F18</f>
        <v>45858</v>
      </c>
      <c r="F19" s="723" t="n">
        <f aca="false">E19+D19</f>
        <v>45978</v>
      </c>
      <c r="G19" s="723" t="n">
        <v>45978</v>
      </c>
      <c r="H19" s="724" t="n">
        <f aca="false">IF($G19="","",$F19-$G19)</f>
        <v>0</v>
      </c>
      <c r="I19" s="720" t="n">
        <v>2.2</v>
      </c>
      <c r="J19" s="725" t="n">
        <f aca="false">MIN(E22)-F19</f>
        <v>0</v>
      </c>
      <c r="K19" s="726" t="str">
        <f aca="false">IF($D19="","",IF($J19&lt;=0,"● CRITICAL",""))</f>
        <v>● CRITICAL</v>
      </c>
      <c r="L19" s="727" t="n">
        <f aca="false">IF($B$4&gt;=F19,1,IF($B$4&lt;=E19,0,($B$4-E19)/(F19-E19)))</f>
        <v>1</v>
      </c>
      <c r="M19" s="721" t="str">
        <f aca="false">IF(L19&gt;=1,"Complete",IF(L19&gt;0,"In Progress","Not Started"))</f>
        <v>Complete</v>
      </c>
      <c r="N19" s="728" t="s">
        <v>2944</v>
      </c>
      <c r="O19" s="717"/>
      <c r="P19" s="718"/>
      <c r="Q19" s="718"/>
      <c r="R19" s="718"/>
      <c r="S19" s="718"/>
      <c r="T19" s="718"/>
      <c r="U19" s="718"/>
      <c r="V19" s="718"/>
      <c r="W19" s="718"/>
      <c r="X19" s="718"/>
      <c r="Y19" s="718"/>
      <c r="Z19" s="718"/>
      <c r="AA19" s="718"/>
      <c r="AB19" s="718"/>
      <c r="AC19" s="718"/>
      <c r="AD19" s="718"/>
      <c r="AE19" s="718"/>
      <c r="AF19" s="718"/>
      <c r="AG19" s="718"/>
      <c r="AH19" s="718"/>
      <c r="AI19" s="718"/>
      <c r="AJ19" s="718"/>
      <c r="AK19" s="718"/>
      <c r="AL19" s="718"/>
      <c r="AM19" s="718"/>
      <c r="AN19" s="718"/>
      <c r="AO19" s="718"/>
      <c r="AP19" s="718"/>
      <c r="AQ19" s="718"/>
      <c r="AR19" s="718"/>
      <c r="AS19" s="718"/>
      <c r="AT19" s="718"/>
      <c r="AU19" s="718"/>
      <c r="AV19" s="718"/>
      <c r="AW19" s="718"/>
      <c r="AX19" s="718"/>
      <c r="AY19" s="718"/>
      <c r="AZ19" s="718"/>
      <c r="BA19" s="718"/>
      <c r="BB19" s="718"/>
      <c r="BC19" s="718"/>
      <c r="BD19" s="718"/>
      <c r="BE19" s="718"/>
      <c r="BF19" s="718"/>
      <c r="BG19" s="718"/>
      <c r="BH19" s="718"/>
      <c r="BI19" s="718"/>
      <c r="BJ19" s="718"/>
      <c r="BK19" s="718"/>
      <c r="BL19" s="718"/>
      <c r="BM19" s="718"/>
      <c r="BN19" s="718"/>
      <c r="BO19" s="718"/>
      <c r="BP19" s="718"/>
      <c r="BQ19" s="718"/>
      <c r="BR19" s="718"/>
      <c r="BS19" s="718"/>
      <c r="BT19" s="718"/>
      <c r="BU19" s="718"/>
      <c r="BV19" s="719"/>
    </row>
    <row r="20" customFormat="false" ht="15" hidden="false" customHeight="true" outlineLevel="0" collapsed="false">
      <c r="A20" s="720" t="n">
        <v>2.4</v>
      </c>
      <c r="B20" s="721" t="s">
        <v>3815</v>
      </c>
      <c r="C20" s="721" t="s">
        <v>3816</v>
      </c>
      <c r="D20" s="722" t="n">
        <v>110</v>
      </c>
      <c r="E20" s="723" t="n">
        <f aca="false">F18</f>
        <v>45858</v>
      </c>
      <c r="F20" s="723" t="n">
        <f aca="false">E20+D20</f>
        <v>45968</v>
      </c>
      <c r="G20" s="723" t="n">
        <v>45968</v>
      </c>
      <c r="H20" s="724" t="n">
        <f aca="false">IF($G20="","",$F20-$G20)</f>
        <v>0</v>
      </c>
      <c r="I20" s="720" t="n">
        <v>2.2</v>
      </c>
      <c r="J20" s="725" t="n">
        <f aca="false">$F$166-F20</f>
        <v>1205</v>
      </c>
      <c r="K20" s="726" t="str">
        <f aca="false">IF($D20="","",IF($J20&lt;=0,"● CRITICAL",""))</f>
        <v/>
      </c>
      <c r="L20" s="727" t="n">
        <f aca="false">IF($B$4&gt;=F20,1,IF($B$4&lt;=E20,0,($B$4-E20)/(F20-E20)))</f>
        <v>1</v>
      </c>
      <c r="M20" s="721" t="str">
        <f aca="false">IF(L20&gt;=1,"Complete",IF(L20&gt;0,"In Progress","Not Started"))</f>
        <v>Complete</v>
      </c>
      <c r="N20" s="728" t="s">
        <v>2944</v>
      </c>
      <c r="O20" s="717"/>
      <c r="P20" s="718"/>
      <c r="Q20" s="718"/>
      <c r="R20" s="718"/>
      <c r="S20" s="718"/>
      <c r="T20" s="718"/>
      <c r="U20" s="718"/>
      <c r="V20" s="718"/>
      <c r="W20" s="718"/>
      <c r="X20" s="718"/>
      <c r="Y20" s="718"/>
      <c r="Z20" s="718"/>
      <c r="AA20" s="718"/>
      <c r="AB20" s="718"/>
      <c r="AC20" s="718"/>
      <c r="AD20" s="718"/>
      <c r="AE20" s="718"/>
      <c r="AF20" s="718"/>
      <c r="AG20" s="718"/>
      <c r="AH20" s="718"/>
      <c r="AI20" s="718"/>
      <c r="AJ20" s="718"/>
      <c r="AK20" s="718"/>
      <c r="AL20" s="718"/>
      <c r="AM20" s="718"/>
      <c r="AN20" s="718"/>
      <c r="AO20" s="718"/>
      <c r="AP20" s="718"/>
      <c r="AQ20" s="718"/>
      <c r="AR20" s="718"/>
      <c r="AS20" s="718"/>
      <c r="AT20" s="718"/>
      <c r="AU20" s="718"/>
      <c r="AV20" s="718"/>
      <c r="AW20" s="718"/>
      <c r="AX20" s="718"/>
      <c r="AY20" s="718"/>
      <c r="AZ20" s="718"/>
      <c r="BA20" s="718"/>
      <c r="BB20" s="718"/>
      <c r="BC20" s="718"/>
      <c r="BD20" s="718"/>
      <c r="BE20" s="718"/>
      <c r="BF20" s="718"/>
      <c r="BG20" s="718"/>
      <c r="BH20" s="718"/>
      <c r="BI20" s="718"/>
      <c r="BJ20" s="718"/>
      <c r="BK20" s="718"/>
      <c r="BL20" s="718"/>
      <c r="BM20" s="718"/>
      <c r="BN20" s="718"/>
      <c r="BO20" s="718"/>
      <c r="BP20" s="718"/>
      <c r="BQ20" s="718"/>
      <c r="BR20" s="718"/>
      <c r="BS20" s="718"/>
      <c r="BT20" s="718"/>
      <c r="BU20" s="718"/>
      <c r="BV20" s="719"/>
    </row>
    <row r="21" customFormat="false" ht="15" hidden="false" customHeight="true" outlineLevel="0" collapsed="false">
      <c r="A21" s="720" t="n">
        <v>2.5</v>
      </c>
      <c r="B21" s="721" t="s">
        <v>3817</v>
      </c>
      <c r="C21" s="721" t="s">
        <v>3818</v>
      </c>
      <c r="D21" s="722" t="n">
        <v>150</v>
      </c>
      <c r="E21" s="723" t="n">
        <f aca="false">F18</f>
        <v>45858</v>
      </c>
      <c r="F21" s="723" t="n">
        <f aca="false">E21+D21</f>
        <v>46008</v>
      </c>
      <c r="G21" s="723" t="n">
        <v>46008</v>
      </c>
      <c r="H21" s="724" t="n">
        <f aca="false">IF($G21="","",$F21-$G21)</f>
        <v>0</v>
      </c>
      <c r="I21" s="720" t="n">
        <v>2.2</v>
      </c>
      <c r="J21" s="725" t="n">
        <f aca="false">$F$166-F21</f>
        <v>1165</v>
      </c>
      <c r="K21" s="726" t="str">
        <f aca="false">IF($D21="","",IF($J21&lt;=0,"● CRITICAL",""))</f>
        <v/>
      </c>
      <c r="L21" s="727" t="n">
        <f aca="false">IF($B$4&gt;=F21,1,IF($B$4&lt;=E21,0,($B$4-E21)/(F21-E21)))</f>
        <v>1</v>
      </c>
      <c r="M21" s="721" t="str">
        <f aca="false">IF(L21&gt;=1,"Complete",IF(L21&gt;0,"In Progress","Not Started"))</f>
        <v>Complete</v>
      </c>
      <c r="N21" s="728" t="s">
        <v>3807</v>
      </c>
      <c r="O21" s="717"/>
      <c r="P21" s="718"/>
      <c r="Q21" s="718"/>
      <c r="R21" s="718"/>
      <c r="S21" s="718"/>
      <c r="T21" s="718"/>
      <c r="U21" s="718"/>
      <c r="V21" s="718"/>
      <c r="W21" s="718"/>
      <c r="X21" s="718"/>
      <c r="Y21" s="718"/>
      <c r="Z21" s="718"/>
      <c r="AA21" s="718"/>
      <c r="AB21" s="718"/>
      <c r="AC21" s="718"/>
      <c r="AD21" s="718"/>
      <c r="AE21" s="718"/>
      <c r="AF21" s="718"/>
      <c r="AG21" s="718"/>
      <c r="AH21" s="718"/>
      <c r="AI21" s="718"/>
      <c r="AJ21" s="718"/>
      <c r="AK21" s="718"/>
      <c r="AL21" s="718"/>
      <c r="AM21" s="718"/>
      <c r="AN21" s="718"/>
      <c r="AO21" s="718"/>
      <c r="AP21" s="718"/>
      <c r="AQ21" s="718"/>
      <c r="AR21" s="718"/>
      <c r="AS21" s="718"/>
      <c r="AT21" s="718"/>
      <c r="AU21" s="718"/>
      <c r="AV21" s="718"/>
      <c r="AW21" s="718"/>
      <c r="AX21" s="718"/>
      <c r="AY21" s="718"/>
      <c r="AZ21" s="718"/>
      <c r="BA21" s="718"/>
      <c r="BB21" s="718"/>
      <c r="BC21" s="718"/>
      <c r="BD21" s="718"/>
      <c r="BE21" s="718"/>
      <c r="BF21" s="718"/>
      <c r="BG21" s="718"/>
      <c r="BH21" s="718"/>
      <c r="BI21" s="718"/>
      <c r="BJ21" s="718"/>
      <c r="BK21" s="718"/>
      <c r="BL21" s="718"/>
      <c r="BM21" s="718"/>
      <c r="BN21" s="718"/>
      <c r="BO21" s="718"/>
      <c r="BP21" s="718"/>
      <c r="BQ21" s="718"/>
      <c r="BR21" s="718"/>
      <c r="BS21" s="718"/>
      <c r="BT21" s="718"/>
      <c r="BU21" s="718"/>
      <c r="BV21" s="719"/>
    </row>
    <row r="22" customFormat="false" ht="15" hidden="false" customHeight="true" outlineLevel="0" collapsed="false">
      <c r="A22" s="720" t="n">
        <v>2.6</v>
      </c>
      <c r="B22" s="721" t="s">
        <v>3819</v>
      </c>
      <c r="C22" s="721" t="s">
        <v>3820</v>
      </c>
      <c r="D22" s="722" t="n">
        <v>75</v>
      </c>
      <c r="E22" s="723" t="n">
        <f aca="false">F19</f>
        <v>45978</v>
      </c>
      <c r="F22" s="723" t="n">
        <f aca="false">E22+D22</f>
        <v>46053</v>
      </c>
      <c r="G22" s="723" t="n">
        <v>46053</v>
      </c>
      <c r="H22" s="724" t="n">
        <f aca="false">IF($G22="","",$F22-$G22)</f>
        <v>0</v>
      </c>
      <c r="I22" s="720" t="n">
        <v>2.3</v>
      </c>
      <c r="J22" s="725" t="n">
        <f aca="false">MIN(E23)-F22</f>
        <v>0</v>
      </c>
      <c r="K22" s="726" t="str">
        <f aca="false">IF($D22="","",IF($J22&lt;=0,"● CRITICAL",""))</f>
        <v>● CRITICAL</v>
      </c>
      <c r="L22" s="727" t="n">
        <f aca="false">IF($B$4&gt;=F22,1,IF($B$4&lt;=E22,0,($B$4-E22)/(F22-E22)))</f>
        <v>1</v>
      </c>
      <c r="M22" s="721" t="str">
        <f aca="false">IF(L22&gt;=1,"Complete",IF(L22&gt;0,"In Progress","Not Started"))</f>
        <v>Complete</v>
      </c>
      <c r="N22" s="728" t="s">
        <v>3821</v>
      </c>
      <c r="O22" s="717"/>
      <c r="P22" s="718"/>
      <c r="Q22" s="718"/>
      <c r="R22" s="718"/>
      <c r="S22" s="718"/>
      <c r="T22" s="718"/>
      <c r="U22" s="718"/>
      <c r="V22" s="718"/>
      <c r="W22" s="718"/>
      <c r="X22" s="718"/>
      <c r="Y22" s="718"/>
      <c r="Z22" s="718"/>
      <c r="AA22" s="718"/>
      <c r="AB22" s="718"/>
      <c r="AC22" s="718"/>
      <c r="AD22" s="718"/>
      <c r="AE22" s="718"/>
      <c r="AF22" s="718"/>
      <c r="AG22" s="718"/>
      <c r="AH22" s="718"/>
      <c r="AI22" s="718"/>
      <c r="AJ22" s="718"/>
      <c r="AK22" s="718"/>
      <c r="AL22" s="718"/>
      <c r="AM22" s="718"/>
      <c r="AN22" s="718"/>
      <c r="AO22" s="718"/>
      <c r="AP22" s="718"/>
      <c r="AQ22" s="718"/>
      <c r="AR22" s="718"/>
      <c r="AS22" s="718"/>
      <c r="AT22" s="718"/>
      <c r="AU22" s="718"/>
      <c r="AV22" s="718"/>
      <c r="AW22" s="718"/>
      <c r="AX22" s="718"/>
      <c r="AY22" s="718"/>
      <c r="AZ22" s="718"/>
      <c r="BA22" s="718"/>
      <c r="BB22" s="718"/>
      <c r="BC22" s="718"/>
      <c r="BD22" s="718"/>
      <c r="BE22" s="718"/>
      <c r="BF22" s="718"/>
      <c r="BG22" s="718"/>
      <c r="BH22" s="718"/>
      <c r="BI22" s="718"/>
      <c r="BJ22" s="718"/>
      <c r="BK22" s="718"/>
      <c r="BL22" s="718"/>
      <c r="BM22" s="718"/>
      <c r="BN22" s="718"/>
      <c r="BO22" s="718"/>
      <c r="BP22" s="718"/>
      <c r="BQ22" s="718"/>
      <c r="BR22" s="718"/>
      <c r="BS22" s="718"/>
      <c r="BT22" s="718"/>
      <c r="BU22" s="718"/>
      <c r="BV22" s="719"/>
    </row>
    <row r="23" customFormat="false" ht="15" hidden="false" customHeight="true" outlineLevel="0" collapsed="false">
      <c r="A23" s="720" t="n">
        <v>2.7</v>
      </c>
      <c r="B23" s="721" t="s">
        <v>3822</v>
      </c>
      <c r="C23" s="721" t="s">
        <v>3823</v>
      </c>
      <c r="D23" s="722" t="n">
        <v>90</v>
      </c>
      <c r="E23" s="723" t="n">
        <f aca="false">F22</f>
        <v>46053</v>
      </c>
      <c r="F23" s="723" t="n">
        <f aca="false">E23+D23</f>
        <v>46143</v>
      </c>
      <c r="G23" s="723" t="n">
        <v>46143</v>
      </c>
      <c r="H23" s="724" t="n">
        <f aca="false">IF($G23="","",$F23-$G23)</f>
        <v>0</v>
      </c>
      <c r="I23" s="720" t="n">
        <v>2.6</v>
      </c>
      <c r="J23" s="725" t="n">
        <f aca="false">MIN(E27)-F23</f>
        <v>0</v>
      </c>
      <c r="K23" s="726" t="str">
        <f aca="false">IF($D23="","",IF($J23&lt;=0,"● CRITICAL",""))</f>
        <v>● CRITICAL</v>
      </c>
      <c r="L23" s="727" t="n">
        <f aca="false">IF($B$4&gt;=F23,1,IF($B$4&lt;=E23,0,($B$4-E23)/(F23-E23)))</f>
        <v>1</v>
      </c>
      <c r="M23" s="721" t="str">
        <f aca="false">IF(L23&gt;=1,"Complete",IF(L23&gt;0,"In Progress","Not Started"))</f>
        <v>Complete</v>
      </c>
      <c r="N23" s="728" t="s">
        <v>3824</v>
      </c>
      <c r="O23" s="717"/>
      <c r="P23" s="718"/>
      <c r="Q23" s="718"/>
      <c r="R23" s="718"/>
      <c r="S23" s="718"/>
      <c r="T23" s="718"/>
      <c r="U23" s="718"/>
      <c r="V23" s="718"/>
      <c r="W23" s="718"/>
      <c r="X23" s="718"/>
      <c r="Y23" s="718"/>
      <c r="Z23" s="718"/>
      <c r="AA23" s="718"/>
      <c r="AB23" s="718"/>
      <c r="AC23" s="718"/>
      <c r="AD23" s="718"/>
      <c r="AE23" s="718"/>
      <c r="AF23" s="718"/>
      <c r="AG23" s="718"/>
      <c r="AH23" s="718"/>
      <c r="AI23" s="718"/>
      <c r="AJ23" s="718"/>
      <c r="AK23" s="718"/>
      <c r="AL23" s="718"/>
      <c r="AM23" s="718"/>
      <c r="AN23" s="718"/>
      <c r="AO23" s="718"/>
      <c r="AP23" s="718"/>
      <c r="AQ23" s="718"/>
      <c r="AR23" s="718"/>
      <c r="AS23" s="718"/>
      <c r="AT23" s="718"/>
      <c r="AU23" s="718"/>
      <c r="AV23" s="718"/>
      <c r="AW23" s="718"/>
      <c r="AX23" s="718"/>
      <c r="AY23" s="718"/>
      <c r="AZ23" s="718"/>
      <c r="BA23" s="718"/>
      <c r="BB23" s="718"/>
      <c r="BC23" s="718"/>
      <c r="BD23" s="718"/>
      <c r="BE23" s="718"/>
      <c r="BF23" s="718"/>
      <c r="BG23" s="718"/>
      <c r="BH23" s="718"/>
      <c r="BI23" s="718"/>
      <c r="BJ23" s="718"/>
      <c r="BK23" s="718"/>
      <c r="BL23" s="718"/>
      <c r="BM23" s="718"/>
      <c r="BN23" s="718"/>
      <c r="BO23" s="718"/>
      <c r="BP23" s="718"/>
      <c r="BQ23" s="718"/>
      <c r="BR23" s="718"/>
      <c r="BS23" s="718"/>
      <c r="BT23" s="718"/>
      <c r="BU23" s="718"/>
      <c r="BV23" s="719"/>
    </row>
    <row r="24" customFormat="false" ht="15" hidden="false" customHeight="true" outlineLevel="0" collapsed="false">
      <c r="A24" s="729" t="s">
        <v>3825</v>
      </c>
      <c r="B24" s="721" t="s">
        <v>3826</v>
      </c>
      <c r="C24" s="721" t="s">
        <v>3820</v>
      </c>
      <c r="D24" s="722" t="n">
        <v>90</v>
      </c>
      <c r="E24" s="723" t="n">
        <f aca="false">F19</f>
        <v>45978</v>
      </c>
      <c r="F24" s="723" t="n">
        <f aca="false">E24+D24</f>
        <v>46068</v>
      </c>
      <c r="G24" s="723" t="n">
        <v>46068</v>
      </c>
      <c r="H24" s="724" t="n">
        <f aca="false">IF($G24="","",$F24-$G24)</f>
        <v>0</v>
      </c>
      <c r="I24" s="729" t="s">
        <v>3827</v>
      </c>
      <c r="J24" s="725" t="n">
        <f aca="false">$F$166-F24</f>
        <v>1105</v>
      </c>
      <c r="K24" s="726" t="str">
        <f aca="false">IF($D24="","",IF($J24&lt;=0,"● CRITICAL",""))</f>
        <v/>
      </c>
      <c r="L24" s="727" t="n">
        <f aca="false">IF($B$4&gt;=F24,1,IF($B$4&lt;=E24,0,($B$4-E24)/(F24-E24)))</f>
        <v>1</v>
      </c>
      <c r="M24" s="721" t="str">
        <f aca="false">IF(L24&gt;=1,"Complete",IF(L24&gt;0,"In Progress","Not Started"))</f>
        <v>Complete</v>
      </c>
      <c r="N24" s="728" t="s">
        <v>3821</v>
      </c>
      <c r="O24" s="717"/>
      <c r="P24" s="718"/>
      <c r="Q24" s="718"/>
      <c r="R24" s="718"/>
      <c r="S24" s="718"/>
      <c r="T24" s="718"/>
      <c r="U24" s="718"/>
      <c r="V24" s="718"/>
      <c r="W24" s="718"/>
      <c r="X24" s="718"/>
      <c r="Y24" s="730"/>
      <c r="Z24" s="730"/>
      <c r="AA24" s="730"/>
      <c r="AB24" s="730"/>
      <c r="AC24" s="718"/>
      <c r="AD24" s="718"/>
      <c r="AE24" s="718"/>
      <c r="AF24" s="718"/>
      <c r="AG24" s="718"/>
      <c r="AH24" s="718"/>
      <c r="AI24" s="718"/>
      <c r="AJ24" s="718"/>
      <c r="AK24" s="718"/>
      <c r="AL24" s="718"/>
      <c r="AM24" s="718"/>
      <c r="AN24" s="718"/>
      <c r="AO24" s="718"/>
      <c r="AP24" s="718"/>
      <c r="AQ24" s="718"/>
      <c r="AR24" s="718"/>
      <c r="AS24" s="718"/>
      <c r="AT24" s="718"/>
      <c r="AU24" s="718"/>
      <c r="AV24" s="718"/>
      <c r="AW24" s="718"/>
      <c r="AX24" s="718"/>
      <c r="AY24" s="718"/>
      <c r="AZ24" s="718"/>
      <c r="BA24" s="718"/>
      <c r="BB24" s="718"/>
      <c r="BC24" s="718"/>
      <c r="BD24" s="718"/>
      <c r="BE24" s="718"/>
      <c r="BF24" s="718"/>
      <c r="BG24" s="718"/>
      <c r="BH24" s="718"/>
      <c r="BI24" s="718"/>
      <c r="BJ24" s="718"/>
      <c r="BK24" s="718"/>
      <c r="BL24" s="718"/>
      <c r="BM24" s="718"/>
      <c r="BN24" s="718"/>
      <c r="BO24" s="718"/>
      <c r="BP24" s="718"/>
      <c r="BQ24" s="718"/>
      <c r="BR24" s="718"/>
      <c r="BS24" s="718"/>
      <c r="BT24" s="718"/>
      <c r="BU24" s="718"/>
      <c r="BV24" s="719"/>
    </row>
    <row r="25" customFormat="false" ht="15" hidden="false" customHeight="true" outlineLevel="0" collapsed="false">
      <c r="A25" s="729" t="s">
        <v>3828</v>
      </c>
      <c r="B25" s="721" t="s">
        <v>3829</v>
      </c>
      <c r="C25" s="721" t="s">
        <v>3820</v>
      </c>
      <c r="D25" s="722" t="n">
        <v>75</v>
      </c>
      <c r="E25" s="723" t="n">
        <f aca="false">F19</f>
        <v>45978</v>
      </c>
      <c r="F25" s="723" t="n">
        <f aca="false">E25+D25</f>
        <v>46053</v>
      </c>
      <c r="G25" s="723" t="n">
        <v>46053</v>
      </c>
      <c r="H25" s="724" t="n">
        <f aca="false">IF($G25="","",$F25-$G25)</f>
        <v>0</v>
      </c>
      <c r="I25" s="729" t="s">
        <v>3827</v>
      </c>
      <c r="J25" s="725" t="n">
        <f aca="false">$F$166-F25</f>
        <v>1120</v>
      </c>
      <c r="K25" s="726" t="str">
        <f aca="false">IF($D25="","",IF($J25&lt;=0,"● CRITICAL",""))</f>
        <v/>
      </c>
      <c r="L25" s="727" t="n">
        <f aca="false">IF($B$4&gt;=F25,1,IF($B$4&lt;=E25,0,($B$4-E25)/(F25-E25)))</f>
        <v>1</v>
      </c>
      <c r="M25" s="721" t="str">
        <f aca="false">IF(L25&gt;=1,"Complete",IF(L25&gt;0,"In Progress","Not Started"))</f>
        <v>Complete</v>
      </c>
      <c r="N25" s="728" t="s">
        <v>3821</v>
      </c>
      <c r="O25" s="717"/>
      <c r="P25" s="718"/>
      <c r="Q25" s="718"/>
      <c r="R25" s="718"/>
      <c r="S25" s="718"/>
      <c r="T25" s="718"/>
      <c r="U25" s="718"/>
      <c r="V25" s="718"/>
      <c r="W25" s="718"/>
      <c r="X25" s="718"/>
      <c r="Y25" s="730"/>
      <c r="Z25" s="730"/>
      <c r="AA25" s="730"/>
      <c r="AB25" s="718"/>
      <c r="AC25" s="718"/>
      <c r="AD25" s="718"/>
      <c r="AE25" s="718"/>
      <c r="AF25" s="718"/>
      <c r="AG25" s="718"/>
      <c r="AH25" s="718"/>
      <c r="AI25" s="718"/>
      <c r="AJ25" s="718"/>
      <c r="AK25" s="718"/>
      <c r="AL25" s="718"/>
      <c r="AM25" s="718"/>
      <c r="AN25" s="718"/>
      <c r="AO25" s="718"/>
      <c r="AP25" s="718"/>
      <c r="AQ25" s="718"/>
      <c r="AR25" s="718"/>
      <c r="AS25" s="718"/>
      <c r="AT25" s="718"/>
      <c r="AU25" s="718"/>
      <c r="AV25" s="718"/>
      <c r="AW25" s="718"/>
      <c r="AX25" s="718"/>
      <c r="AY25" s="718"/>
      <c r="AZ25" s="718"/>
      <c r="BA25" s="718"/>
      <c r="BB25" s="718"/>
      <c r="BC25" s="718"/>
      <c r="BD25" s="718"/>
      <c r="BE25" s="718"/>
      <c r="BF25" s="718"/>
      <c r="BG25" s="718"/>
      <c r="BH25" s="718"/>
      <c r="BI25" s="718"/>
      <c r="BJ25" s="718"/>
      <c r="BK25" s="718"/>
      <c r="BL25" s="718"/>
      <c r="BM25" s="718"/>
      <c r="BN25" s="718"/>
      <c r="BO25" s="718"/>
      <c r="BP25" s="718"/>
      <c r="BQ25" s="718"/>
      <c r="BR25" s="718"/>
      <c r="BS25" s="718"/>
      <c r="BT25" s="718"/>
      <c r="BU25" s="718"/>
      <c r="BV25" s="719"/>
    </row>
    <row r="26" customFormat="false" ht="15" hidden="false" customHeight="true" outlineLevel="0" collapsed="false">
      <c r="A26" s="729" t="s">
        <v>3830</v>
      </c>
      <c r="B26" s="721" t="s">
        <v>3831</v>
      </c>
      <c r="C26" s="721" t="s">
        <v>3832</v>
      </c>
      <c r="D26" s="722" t="n">
        <v>45</v>
      </c>
      <c r="E26" s="723" t="n">
        <f aca="false">F17</f>
        <v>45858</v>
      </c>
      <c r="F26" s="723" t="n">
        <f aca="false">E26+D26</f>
        <v>45903</v>
      </c>
      <c r="G26" s="723" t="n">
        <v>45903</v>
      </c>
      <c r="H26" s="724" t="n">
        <f aca="false">IF($G26="","",$F26-$G26)</f>
        <v>0</v>
      </c>
      <c r="I26" s="729" t="s">
        <v>3833</v>
      </c>
      <c r="J26" s="725" t="n">
        <f aca="false">$F$166-F26</f>
        <v>1270</v>
      </c>
      <c r="K26" s="726" t="str">
        <f aca="false">IF($D26="","",IF($J26&lt;=0,"● CRITICAL",""))</f>
        <v/>
      </c>
      <c r="L26" s="727" t="n">
        <f aca="false">IF($B$4&gt;=F26,1,IF($B$4&lt;=E26,0,($B$4-E26)/(F26-E26)))</f>
        <v>1</v>
      </c>
      <c r="M26" s="721" t="str">
        <f aca="false">IF(L26&gt;=1,"Complete",IF(L26&gt;0,"In Progress","Not Started"))</f>
        <v>Complete</v>
      </c>
      <c r="N26" s="728" t="s">
        <v>2944</v>
      </c>
      <c r="O26" s="717"/>
      <c r="P26" s="718"/>
      <c r="Q26" s="718"/>
      <c r="R26" s="718"/>
      <c r="S26" s="718"/>
      <c r="T26" s="718"/>
      <c r="U26" s="730"/>
      <c r="V26" s="730"/>
      <c r="W26" s="730"/>
      <c r="X26" s="718"/>
      <c r="Y26" s="718"/>
      <c r="Z26" s="718"/>
      <c r="AA26" s="718"/>
      <c r="AB26" s="718"/>
      <c r="AC26" s="718"/>
      <c r="AD26" s="718"/>
      <c r="AE26" s="718"/>
      <c r="AF26" s="718"/>
      <c r="AG26" s="718"/>
      <c r="AH26" s="718"/>
      <c r="AI26" s="718"/>
      <c r="AJ26" s="718"/>
      <c r="AK26" s="718"/>
      <c r="AL26" s="718"/>
      <c r="AM26" s="718"/>
      <c r="AN26" s="718"/>
      <c r="AO26" s="718"/>
      <c r="AP26" s="718"/>
      <c r="AQ26" s="718"/>
      <c r="AR26" s="718"/>
      <c r="AS26" s="718"/>
      <c r="AT26" s="718"/>
      <c r="AU26" s="718"/>
      <c r="AV26" s="718"/>
      <c r="AW26" s="718"/>
      <c r="AX26" s="718"/>
      <c r="AY26" s="718"/>
      <c r="AZ26" s="718"/>
      <c r="BA26" s="718"/>
      <c r="BB26" s="718"/>
      <c r="BC26" s="718"/>
      <c r="BD26" s="718"/>
      <c r="BE26" s="718"/>
      <c r="BF26" s="718"/>
      <c r="BG26" s="718"/>
      <c r="BH26" s="718"/>
      <c r="BI26" s="718"/>
      <c r="BJ26" s="718"/>
      <c r="BK26" s="718"/>
      <c r="BL26" s="718"/>
      <c r="BM26" s="718"/>
      <c r="BN26" s="718"/>
      <c r="BO26" s="718"/>
      <c r="BP26" s="718"/>
      <c r="BQ26" s="718"/>
      <c r="BR26" s="718"/>
      <c r="BS26" s="718"/>
      <c r="BT26" s="718"/>
      <c r="BU26" s="718"/>
      <c r="BV26" s="719"/>
    </row>
    <row r="27" customFormat="false" ht="15" hidden="false" customHeight="true" outlineLevel="0" collapsed="false">
      <c r="A27" s="720" t="n">
        <v>2.8</v>
      </c>
      <c r="B27" s="731" t="s">
        <v>3834</v>
      </c>
      <c r="C27" s="721" t="s">
        <v>85</v>
      </c>
      <c r="D27" s="722" t="n">
        <v>0</v>
      </c>
      <c r="E27" s="723" t="n">
        <f aca="false">F23</f>
        <v>46143</v>
      </c>
      <c r="F27" s="723" t="n">
        <f aca="false">E27+D27</f>
        <v>46143</v>
      </c>
      <c r="G27" s="723" t="n">
        <v>46143</v>
      </c>
      <c r="H27" s="724" t="n">
        <f aca="false">IF($G27="","",$F27-$G27)</f>
        <v>0</v>
      </c>
      <c r="I27" s="720" t="n">
        <v>2.7</v>
      </c>
      <c r="J27" s="725" t="n">
        <f aca="false">MIN(E62)-F27</f>
        <v>0</v>
      </c>
      <c r="K27" s="726" t="str">
        <f aca="false">IF($D27="","",IF($J27&lt;=0,"● CRITICAL",""))</f>
        <v>● CRITICAL</v>
      </c>
      <c r="L27" s="727" t="n">
        <f aca="false">IF($B$4&gt;=F27,1,IF($B$4&lt;=E27,0,($B$4-E27)/(F27-E27)))</f>
        <v>1</v>
      </c>
      <c r="M27" s="721" t="str">
        <f aca="false">IF(L27&gt;=1,"Complete",IF(L27&gt;0,"In Progress","Not Started"))</f>
        <v>Complete</v>
      </c>
      <c r="N27" s="728" t="s">
        <v>3835</v>
      </c>
      <c r="O27" s="717"/>
      <c r="P27" s="718"/>
      <c r="Q27" s="718"/>
      <c r="R27" s="718"/>
      <c r="S27" s="718"/>
      <c r="T27" s="718"/>
      <c r="U27" s="718"/>
      <c r="V27" s="718"/>
      <c r="W27" s="718"/>
      <c r="X27" s="718"/>
      <c r="Y27" s="718"/>
      <c r="Z27" s="718"/>
      <c r="AA27" s="718"/>
      <c r="AB27" s="718"/>
      <c r="AC27" s="718"/>
      <c r="AD27" s="718"/>
      <c r="AE27" s="718"/>
      <c r="AF27" s="718"/>
      <c r="AG27" s="718"/>
      <c r="AH27" s="718"/>
      <c r="AI27" s="718"/>
      <c r="AJ27" s="718"/>
      <c r="AK27" s="718"/>
      <c r="AL27" s="718"/>
      <c r="AM27" s="718"/>
      <c r="AN27" s="718"/>
      <c r="AO27" s="718"/>
      <c r="AP27" s="718"/>
      <c r="AQ27" s="718"/>
      <c r="AR27" s="718"/>
      <c r="AS27" s="718"/>
      <c r="AT27" s="718"/>
      <c r="AU27" s="718"/>
      <c r="AV27" s="718"/>
      <c r="AW27" s="718"/>
      <c r="AX27" s="718"/>
      <c r="AY27" s="718"/>
      <c r="AZ27" s="718"/>
      <c r="BA27" s="718"/>
      <c r="BB27" s="718"/>
      <c r="BC27" s="718"/>
      <c r="BD27" s="718"/>
      <c r="BE27" s="718"/>
      <c r="BF27" s="718"/>
      <c r="BG27" s="718"/>
      <c r="BH27" s="718"/>
      <c r="BI27" s="718"/>
      <c r="BJ27" s="718"/>
      <c r="BK27" s="718"/>
      <c r="BL27" s="718"/>
      <c r="BM27" s="718"/>
      <c r="BN27" s="718"/>
      <c r="BO27" s="718"/>
      <c r="BP27" s="718"/>
      <c r="BQ27" s="718"/>
      <c r="BR27" s="718"/>
      <c r="BS27" s="718"/>
      <c r="BT27" s="718"/>
      <c r="BU27" s="718"/>
      <c r="BV27" s="719"/>
    </row>
    <row r="28" customFormat="false" ht="15" hidden="false" customHeight="true" outlineLevel="0" collapsed="false">
      <c r="A28" s="709" t="n">
        <v>3</v>
      </c>
      <c r="B28" s="710" t="s">
        <v>3836</v>
      </c>
      <c r="C28" s="710"/>
      <c r="D28" s="711" t="n">
        <f aca="false">F28-E28</f>
        <v>315</v>
      </c>
      <c r="E28" s="712" t="n">
        <f aca="false">MIN(E29:E37)</f>
        <v>45858</v>
      </c>
      <c r="F28" s="712" t="n">
        <f aca="false">MAX(F29:F37)</f>
        <v>46173</v>
      </c>
      <c r="G28" s="712" t="n">
        <v>46173</v>
      </c>
      <c r="H28" s="713" t="n">
        <f aca="false">IF($G28="","",$F28-$G28)</f>
        <v>0</v>
      </c>
      <c r="I28" s="709"/>
      <c r="J28" s="714"/>
      <c r="K28" s="710"/>
      <c r="L28" s="715" t="n">
        <f aca="false">IFERROR(SUMPRODUCT($D29:$D37,$L29:$L37)/SUM($D29:$D37),0)</f>
        <v>1</v>
      </c>
      <c r="M28" s="710" t="str">
        <f aca="false">IF(L28&gt;=1,"Complete",IF(L28&gt;0,"In Progress","Not Started"))</f>
        <v>Complete</v>
      </c>
      <c r="N28" s="716" t="s">
        <v>3837</v>
      </c>
      <c r="O28" s="717"/>
      <c r="P28" s="718"/>
      <c r="Q28" s="718"/>
      <c r="R28" s="718"/>
      <c r="S28" s="718"/>
      <c r="T28" s="718"/>
      <c r="U28" s="718"/>
      <c r="V28" s="718"/>
      <c r="W28" s="718"/>
      <c r="X28" s="718"/>
      <c r="Y28" s="718"/>
      <c r="Z28" s="718"/>
      <c r="AA28" s="718"/>
      <c r="AB28" s="718"/>
      <c r="AC28" s="718"/>
      <c r="AD28" s="718"/>
      <c r="AE28" s="718"/>
      <c r="AF28" s="718"/>
      <c r="AG28" s="718"/>
      <c r="AH28" s="718"/>
      <c r="AI28" s="718"/>
      <c r="AJ28" s="718"/>
      <c r="AK28" s="718"/>
      <c r="AL28" s="718"/>
      <c r="AM28" s="718"/>
      <c r="AN28" s="718"/>
      <c r="AO28" s="718"/>
      <c r="AP28" s="718"/>
      <c r="AQ28" s="718"/>
      <c r="AR28" s="718"/>
      <c r="AS28" s="718"/>
      <c r="AT28" s="718"/>
      <c r="AU28" s="718"/>
      <c r="AV28" s="718"/>
      <c r="AW28" s="718"/>
      <c r="AX28" s="718"/>
      <c r="AY28" s="718"/>
      <c r="AZ28" s="718"/>
      <c r="BA28" s="718"/>
      <c r="BB28" s="718"/>
      <c r="BC28" s="718"/>
      <c r="BD28" s="718"/>
      <c r="BE28" s="718"/>
      <c r="BF28" s="718"/>
      <c r="BG28" s="718"/>
      <c r="BH28" s="718"/>
      <c r="BI28" s="718"/>
      <c r="BJ28" s="718"/>
      <c r="BK28" s="718"/>
      <c r="BL28" s="718"/>
      <c r="BM28" s="718"/>
      <c r="BN28" s="718"/>
      <c r="BO28" s="718"/>
      <c r="BP28" s="718"/>
      <c r="BQ28" s="718"/>
      <c r="BR28" s="718"/>
      <c r="BS28" s="718"/>
      <c r="BT28" s="718"/>
      <c r="BU28" s="718"/>
      <c r="BV28" s="719"/>
    </row>
    <row r="29" customFormat="false" ht="15" hidden="false" customHeight="true" outlineLevel="0" collapsed="false">
      <c r="A29" s="720" t="n">
        <v>3.1</v>
      </c>
      <c r="B29" s="721" t="s">
        <v>3838</v>
      </c>
      <c r="C29" s="721" t="s">
        <v>3839</v>
      </c>
      <c r="D29" s="722" t="n">
        <v>30</v>
      </c>
      <c r="E29" s="723" t="n">
        <f aca="false">F18</f>
        <v>45858</v>
      </c>
      <c r="F29" s="723" t="n">
        <f aca="false">E29+D29</f>
        <v>45888</v>
      </c>
      <c r="G29" s="723" t="n">
        <v>45888</v>
      </c>
      <c r="H29" s="724" t="n">
        <f aca="false">IF($G29="","",$F29-$G29)</f>
        <v>0</v>
      </c>
      <c r="I29" s="720" t="n">
        <v>2.2</v>
      </c>
      <c r="J29" s="725" t="n">
        <f aca="false">MIN(E30)-F29</f>
        <v>0</v>
      </c>
      <c r="K29" s="726" t="str">
        <f aca="false">IF($D29="","",IF($J29&lt;=0,"● CRITICAL",""))</f>
        <v>● CRITICAL</v>
      </c>
      <c r="L29" s="727" t="n">
        <f aca="false">IF($B$4&gt;=F29,1,IF($B$4&lt;=E29,0,($B$4-E29)/(F29-E29)))</f>
        <v>1</v>
      </c>
      <c r="M29" s="721" t="str">
        <f aca="false">IF(L29&gt;=1,"Complete",IF(L29&gt;0,"In Progress","Not Started"))</f>
        <v>Complete</v>
      </c>
      <c r="N29" s="728" t="s">
        <v>2944</v>
      </c>
      <c r="O29" s="717"/>
      <c r="P29" s="718"/>
      <c r="Q29" s="718"/>
      <c r="R29" s="718"/>
      <c r="S29" s="718"/>
      <c r="T29" s="718"/>
      <c r="U29" s="718"/>
      <c r="V29" s="718"/>
      <c r="W29" s="718"/>
      <c r="X29" s="718"/>
      <c r="Y29" s="718"/>
      <c r="Z29" s="718"/>
      <c r="AA29" s="718"/>
      <c r="AB29" s="718"/>
      <c r="AC29" s="718"/>
      <c r="AD29" s="718"/>
      <c r="AE29" s="718"/>
      <c r="AF29" s="718"/>
      <c r="AG29" s="718"/>
      <c r="AH29" s="718"/>
      <c r="AI29" s="718"/>
      <c r="AJ29" s="718"/>
      <c r="AK29" s="718"/>
      <c r="AL29" s="718"/>
      <c r="AM29" s="718"/>
      <c r="AN29" s="718"/>
      <c r="AO29" s="718"/>
      <c r="AP29" s="718"/>
      <c r="AQ29" s="718"/>
      <c r="AR29" s="718"/>
      <c r="AS29" s="718"/>
      <c r="AT29" s="718"/>
      <c r="AU29" s="718"/>
      <c r="AV29" s="718"/>
      <c r="AW29" s="718"/>
      <c r="AX29" s="718"/>
      <c r="AY29" s="718"/>
      <c r="AZ29" s="718"/>
      <c r="BA29" s="718"/>
      <c r="BB29" s="718"/>
      <c r="BC29" s="718"/>
      <c r="BD29" s="718"/>
      <c r="BE29" s="718"/>
      <c r="BF29" s="718"/>
      <c r="BG29" s="718"/>
      <c r="BH29" s="718"/>
      <c r="BI29" s="718"/>
      <c r="BJ29" s="718"/>
      <c r="BK29" s="718"/>
      <c r="BL29" s="718"/>
      <c r="BM29" s="718"/>
      <c r="BN29" s="718"/>
      <c r="BO29" s="718"/>
      <c r="BP29" s="718"/>
      <c r="BQ29" s="718"/>
      <c r="BR29" s="718"/>
      <c r="BS29" s="718"/>
      <c r="BT29" s="718"/>
      <c r="BU29" s="718"/>
      <c r="BV29" s="719"/>
    </row>
    <row r="30" customFormat="false" ht="15" hidden="false" customHeight="true" outlineLevel="0" collapsed="false">
      <c r="A30" s="720" t="n">
        <v>3.2</v>
      </c>
      <c r="B30" s="721" t="s">
        <v>3840</v>
      </c>
      <c r="C30" s="721" t="s">
        <v>3824</v>
      </c>
      <c r="D30" s="722" t="n">
        <v>60</v>
      </c>
      <c r="E30" s="723" t="n">
        <f aca="false">F29</f>
        <v>45888</v>
      </c>
      <c r="F30" s="723" t="n">
        <f aca="false">E30+D30</f>
        <v>45948</v>
      </c>
      <c r="G30" s="723" t="n">
        <v>45948</v>
      </c>
      <c r="H30" s="724" t="n">
        <f aca="false">IF($G30="","",$F30-$G30)</f>
        <v>0</v>
      </c>
      <c r="I30" s="720" t="n">
        <v>3.1</v>
      </c>
      <c r="J30" s="725" t="n">
        <f aca="false">MIN(E31)-F30</f>
        <v>0</v>
      </c>
      <c r="K30" s="726" t="str">
        <f aca="false">IF($D30="","",IF($J30&lt;=0,"● CRITICAL",""))</f>
        <v>● CRITICAL</v>
      </c>
      <c r="L30" s="727" t="n">
        <f aca="false">IF($B$4&gt;=F30,1,IF($B$4&lt;=E30,0,($B$4-E30)/(F30-E30)))</f>
        <v>1</v>
      </c>
      <c r="M30" s="721" t="str">
        <f aca="false">IF(L30&gt;=1,"Complete",IF(L30&gt;0,"In Progress","Not Started"))</f>
        <v>Complete</v>
      </c>
      <c r="N30" s="728" t="s">
        <v>3841</v>
      </c>
      <c r="O30" s="717"/>
      <c r="P30" s="718"/>
      <c r="Q30" s="718"/>
      <c r="R30" s="718"/>
      <c r="S30" s="718"/>
      <c r="T30" s="718"/>
      <c r="U30" s="718"/>
      <c r="V30" s="718"/>
      <c r="W30" s="718"/>
      <c r="X30" s="718"/>
      <c r="Y30" s="718"/>
      <c r="Z30" s="718"/>
      <c r="AA30" s="718"/>
      <c r="AB30" s="718"/>
      <c r="AC30" s="718"/>
      <c r="AD30" s="718"/>
      <c r="AE30" s="718"/>
      <c r="AF30" s="718"/>
      <c r="AG30" s="718"/>
      <c r="AH30" s="718"/>
      <c r="AI30" s="718"/>
      <c r="AJ30" s="718"/>
      <c r="AK30" s="718"/>
      <c r="AL30" s="718"/>
      <c r="AM30" s="718"/>
      <c r="AN30" s="718"/>
      <c r="AO30" s="718"/>
      <c r="AP30" s="718"/>
      <c r="AQ30" s="718"/>
      <c r="AR30" s="718"/>
      <c r="AS30" s="718"/>
      <c r="AT30" s="718"/>
      <c r="AU30" s="718"/>
      <c r="AV30" s="718"/>
      <c r="AW30" s="718"/>
      <c r="AX30" s="718"/>
      <c r="AY30" s="718"/>
      <c r="AZ30" s="718"/>
      <c r="BA30" s="718"/>
      <c r="BB30" s="718"/>
      <c r="BC30" s="718"/>
      <c r="BD30" s="718"/>
      <c r="BE30" s="718"/>
      <c r="BF30" s="718"/>
      <c r="BG30" s="718"/>
      <c r="BH30" s="718"/>
      <c r="BI30" s="718"/>
      <c r="BJ30" s="718"/>
      <c r="BK30" s="718"/>
      <c r="BL30" s="718"/>
      <c r="BM30" s="718"/>
      <c r="BN30" s="718"/>
      <c r="BO30" s="718"/>
      <c r="BP30" s="718"/>
      <c r="BQ30" s="718"/>
      <c r="BR30" s="718"/>
      <c r="BS30" s="718"/>
      <c r="BT30" s="718"/>
      <c r="BU30" s="718"/>
      <c r="BV30" s="719"/>
    </row>
    <row r="31" customFormat="false" ht="15" hidden="false" customHeight="true" outlineLevel="0" collapsed="false">
      <c r="A31" s="720" t="n">
        <v>3.3</v>
      </c>
      <c r="B31" s="721" t="s">
        <v>3842</v>
      </c>
      <c r="C31" s="721" t="s">
        <v>3824</v>
      </c>
      <c r="D31" s="722" t="n">
        <v>75</v>
      </c>
      <c r="E31" s="723" t="n">
        <f aca="false">F30</f>
        <v>45948</v>
      </c>
      <c r="F31" s="723" t="n">
        <f aca="false">E31+D31</f>
        <v>46023</v>
      </c>
      <c r="G31" s="723" t="n">
        <v>46023</v>
      </c>
      <c r="H31" s="724" t="n">
        <f aca="false">IF($G31="","",$F31-$G31)</f>
        <v>0</v>
      </c>
      <c r="I31" s="720" t="n">
        <v>3.2</v>
      </c>
      <c r="J31" s="725" t="n">
        <f aca="false">MIN(E32,E39)-F31</f>
        <v>0</v>
      </c>
      <c r="K31" s="726" t="str">
        <f aca="false">IF($D31="","",IF($J31&lt;=0,"● CRITICAL",""))</f>
        <v>● CRITICAL</v>
      </c>
      <c r="L31" s="727" t="n">
        <f aca="false">IF($B$4&gt;=F31,1,IF($B$4&lt;=E31,0,($B$4-E31)/(F31-E31)))</f>
        <v>1</v>
      </c>
      <c r="M31" s="721" t="str">
        <f aca="false">IF(L31&gt;=1,"Complete",IF(L31&gt;0,"In Progress","Not Started"))</f>
        <v>Complete</v>
      </c>
      <c r="N31" s="728" t="s">
        <v>3841</v>
      </c>
      <c r="O31" s="717"/>
      <c r="P31" s="718"/>
      <c r="Q31" s="718"/>
      <c r="R31" s="718"/>
      <c r="S31" s="718"/>
      <c r="T31" s="718"/>
      <c r="U31" s="718"/>
      <c r="V31" s="718"/>
      <c r="W31" s="718"/>
      <c r="X31" s="718"/>
      <c r="Y31" s="718"/>
      <c r="Z31" s="718"/>
      <c r="AA31" s="718"/>
      <c r="AB31" s="718"/>
      <c r="AC31" s="718"/>
      <c r="AD31" s="718"/>
      <c r="AE31" s="718"/>
      <c r="AF31" s="718"/>
      <c r="AG31" s="718"/>
      <c r="AH31" s="718"/>
      <c r="AI31" s="718"/>
      <c r="AJ31" s="718"/>
      <c r="AK31" s="718"/>
      <c r="AL31" s="718"/>
      <c r="AM31" s="718"/>
      <c r="AN31" s="718"/>
      <c r="AO31" s="718"/>
      <c r="AP31" s="718"/>
      <c r="AQ31" s="718"/>
      <c r="AR31" s="718"/>
      <c r="AS31" s="718"/>
      <c r="AT31" s="718"/>
      <c r="AU31" s="718"/>
      <c r="AV31" s="718"/>
      <c r="AW31" s="718"/>
      <c r="AX31" s="718"/>
      <c r="AY31" s="718"/>
      <c r="AZ31" s="718"/>
      <c r="BA31" s="718"/>
      <c r="BB31" s="718"/>
      <c r="BC31" s="718"/>
      <c r="BD31" s="718"/>
      <c r="BE31" s="718"/>
      <c r="BF31" s="718"/>
      <c r="BG31" s="718"/>
      <c r="BH31" s="718"/>
      <c r="BI31" s="718"/>
      <c r="BJ31" s="718"/>
      <c r="BK31" s="718"/>
      <c r="BL31" s="718"/>
      <c r="BM31" s="718"/>
      <c r="BN31" s="718"/>
      <c r="BO31" s="718"/>
      <c r="BP31" s="718"/>
      <c r="BQ31" s="718"/>
      <c r="BR31" s="718"/>
      <c r="BS31" s="718"/>
      <c r="BT31" s="718"/>
      <c r="BU31" s="718"/>
      <c r="BV31" s="719"/>
    </row>
    <row r="32" customFormat="false" ht="15" hidden="false" customHeight="true" outlineLevel="0" collapsed="false">
      <c r="A32" s="720" t="n">
        <v>3.4</v>
      </c>
      <c r="B32" s="721" t="s">
        <v>3843</v>
      </c>
      <c r="C32" s="721" t="s">
        <v>3824</v>
      </c>
      <c r="D32" s="722" t="n">
        <v>90</v>
      </c>
      <c r="E32" s="723" t="n">
        <f aca="false">F31</f>
        <v>46023</v>
      </c>
      <c r="F32" s="723" t="n">
        <f aca="false">E32+D32</f>
        <v>46113</v>
      </c>
      <c r="G32" s="723" t="n">
        <v>46113</v>
      </c>
      <c r="H32" s="724" t="n">
        <f aca="false">IF($G32="","",$F32-$G32)</f>
        <v>0</v>
      </c>
      <c r="I32" s="720" t="n">
        <v>3.3</v>
      </c>
      <c r="J32" s="725" t="n">
        <f aca="false">MIN(E33)-F32</f>
        <v>0</v>
      </c>
      <c r="K32" s="726" t="str">
        <f aca="false">IF($D32="","",IF($J32&lt;=0,"● CRITICAL",""))</f>
        <v>● CRITICAL</v>
      </c>
      <c r="L32" s="727" t="n">
        <f aca="false">IF($B$4&gt;=F32,1,IF($B$4&lt;=E32,0,($B$4-E32)/(F32-E32)))</f>
        <v>1</v>
      </c>
      <c r="M32" s="721" t="str">
        <f aca="false">IF(L32&gt;=1,"Complete",IF(L32&gt;0,"In Progress","Not Started"))</f>
        <v>Complete</v>
      </c>
      <c r="N32" s="728" t="s">
        <v>3841</v>
      </c>
      <c r="O32" s="717"/>
      <c r="P32" s="718"/>
      <c r="Q32" s="718"/>
      <c r="R32" s="718"/>
      <c r="S32" s="718"/>
      <c r="T32" s="718"/>
      <c r="U32" s="718"/>
      <c r="V32" s="718"/>
      <c r="W32" s="718"/>
      <c r="X32" s="718"/>
      <c r="Y32" s="718"/>
      <c r="Z32" s="718"/>
      <c r="AA32" s="718"/>
      <c r="AB32" s="718"/>
      <c r="AC32" s="718"/>
      <c r="AD32" s="718"/>
      <c r="AE32" s="718"/>
      <c r="AF32" s="718"/>
      <c r="AG32" s="718"/>
      <c r="AH32" s="718"/>
      <c r="AI32" s="718"/>
      <c r="AJ32" s="718"/>
      <c r="AK32" s="718"/>
      <c r="AL32" s="718"/>
      <c r="AM32" s="718"/>
      <c r="AN32" s="718"/>
      <c r="AO32" s="718"/>
      <c r="AP32" s="718"/>
      <c r="AQ32" s="718"/>
      <c r="AR32" s="718"/>
      <c r="AS32" s="718"/>
      <c r="AT32" s="718"/>
      <c r="AU32" s="718"/>
      <c r="AV32" s="718"/>
      <c r="AW32" s="718"/>
      <c r="AX32" s="718"/>
      <c r="AY32" s="718"/>
      <c r="AZ32" s="718"/>
      <c r="BA32" s="718"/>
      <c r="BB32" s="718"/>
      <c r="BC32" s="718"/>
      <c r="BD32" s="718"/>
      <c r="BE32" s="718"/>
      <c r="BF32" s="718"/>
      <c r="BG32" s="718"/>
      <c r="BH32" s="718"/>
      <c r="BI32" s="718"/>
      <c r="BJ32" s="718"/>
      <c r="BK32" s="718"/>
      <c r="BL32" s="718"/>
      <c r="BM32" s="718"/>
      <c r="BN32" s="718"/>
      <c r="BO32" s="718"/>
      <c r="BP32" s="718"/>
      <c r="BQ32" s="718"/>
      <c r="BR32" s="718"/>
      <c r="BS32" s="718"/>
      <c r="BT32" s="718"/>
      <c r="BU32" s="718"/>
      <c r="BV32" s="719"/>
    </row>
    <row r="33" customFormat="false" ht="15" hidden="false" customHeight="true" outlineLevel="0" collapsed="false">
      <c r="A33" s="720" t="n">
        <v>3.5</v>
      </c>
      <c r="B33" s="721" t="s">
        <v>3844</v>
      </c>
      <c r="C33" s="721" t="s">
        <v>3845</v>
      </c>
      <c r="D33" s="722" t="n">
        <v>60</v>
      </c>
      <c r="E33" s="723" t="n">
        <f aca="false">F32</f>
        <v>46113</v>
      </c>
      <c r="F33" s="723" t="n">
        <f aca="false">E33+D33</f>
        <v>46173</v>
      </c>
      <c r="G33" s="723" t="n">
        <v>46173</v>
      </c>
      <c r="H33" s="724" t="n">
        <f aca="false">IF($G33="","",$F33-$G33)</f>
        <v>0</v>
      </c>
      <c r="I33" s="720" t="n">
        <v>3.4</v>
      </c>
      <c r="J33" s="725" t="n">
        <f aca="false">MIN(E37)-F33</f>
        <v>0</v>
      </c>
      <c r="K33" s="726" t="str">
        <f aca="false">IF($D33="","",IF($J33&lt;=0,"● CRITICAL",""))</f>
        <v>● CRITICAL</v>
      </c>
      <c r="L33" s="727" t="n">
        <f aca="false">IF($B$4&gt;=F33,1,IF($B$4&lt;=E33,0,($B$4-E33)/(F33-E33)))</f>
        <v>1</v>
      </c>
      <c r="M33" s="721" t="str">
        <f aca="false">IF(L33&gt;=1,"Complete",IF(L33&gt;0,"In Progress","Not Started"))</f>
        <v>Complete</v>
      </c>
      <c r="N33" s="728" t="s">
        <v>3846</v>
      </c>
      <c r="O33" s="717"/>
      <c r="P33" s="718"/>
      <c r="Q33" s="718"/>
      <c r="R33" s="718"/>
      <c r="S33" s="718"/>
      <c r="T33" s="718"/>
      <c r="U33" s="718"/>
      <c r="V33" s="718"/>
      <c r="W33" s="718"/>
      <c r="X33" s="718"/>
      <c r="Y33" s="718"/>
      <c r="Z33" s="718"/>
      <c r="AA33" s="718"/>
      <c r="AB33" s="718"/>
      <c r="AC33" s="718"/>
      <c r="AD33" s="718"/>
      <c r="AE33" s="718"/>
      <c r="AF33" s="718"/>
      <c r="AG33" s="718"/>
      <c r="AH33" s="718"/>
      <c r="AI33" s="718"/>
      <c r="AJ33" s="718"/>
      <c r="AK33" s="718"/>
      <c r="AL33" s="718"/>
      <c r="AM33" s="718"/>
      <c r="AN33" s="718"/>
      <c r="AO33" s="718"/>
      <c r="AP33" s="718"/>
      <c r="AQ33" s="718"/>
      <c r="AR33" s="718"/>
      <c r="AS33" s="718"/>
      <c r="AT33" s="718"/>
      <c r="AU33" s="718"/>
      <c r="AV33" s="718"/>
      <c r="AW33" s="718"/>
      <c r="AX33" s="718"/>
      <c r="AY33" s="718"/>
      <c r="AZ33" s="718"/>
      <c r="BA33" s="718"/>
      <c r="BB33" s="718"/>
      <c r="BC33" s="718"/>
      <c r="BD33" s="718"/>
      <c r="BE33" s="718"/>
      <c r="BF33" s="718"/>
      <c r="BG33" s="718"/>
      <c r="BH33" s="718"/>
      <c r="BI33" s="718"/>
      <c r="BJ33" s="718"/>
      <c r="BK33" s="718"/>
      <c r="BL33" s="718"/>
      <c r="BM33" s="718"/>
      <c r="BN33" s="718"/>
      <c r="BO33" s="718"/>
      <c r="BP33" s="718"/>
      <c r="BQ33" s="718"/>
      <c r="BR33" s="718"/>
      <c r="BS33" s="718"/>
      <c r="BT33" s="718"/>
      <c r="BU33" s="718"/>
      <c r="BV33" s="719"/>
    </row>
    <row r="34" customFormat="false" ht="15" hidden="false" customHeight="true" outlineLevel="0" collapsed="false">
      <c r="A34" s="729" t="s">
        <v>3847</v>
      </c>
      <c r="B34" s="721" t="s">
        <v>3848</v>
      </c>
      <c r="C34" s="721" t="s">
        <v>3849</v>
      </c>
      <c r="D34" s="722" t="n">
        <v>60</v>
      </c>
      <c r="E34" s="723" t="n">
        <f aca="false">F31</f>
        <v>46023</v>
      </c>
      <c r="F34" s="723" t="n">
        <f aca="false">E34+D34</f>
        <v>46083</v>
      </c>
      <c r="G34" s="723" t="n">
        <v>46083</v>
      </c>
      <c r="H34" s="724" t="n">
        <f aca="false">IF($G34="","",$F34-$G34)</f>
        <v>0</v>
      </c>
      <c r="I34" s="729" t="s">
        <v>3850</v>
      </c>
      <c r="J34" s="725" t="n">
        <f aca="false">$F$166-F34</f>
        <v>1090</v>
      </c>
      <c r="K34" s="726" t="str">
        <f aca="false">IF($D34="","",IF($J34&lt;=0,"● CRITICAL",""))</f>
        <v/>
      </c>
      <c r="L34" s="727" t="n">
        <f aca="false">IF($B$4&gt;=F34,1,IF($B$4&lt;=E34,0,($B$4-E34)/(F34-E34)))</f>
        <v>1</v>
      </c>
      <c r="M34" s="721" t="str">
        <f aca="false">IF(L34&gt;=1,"Complete",IF(L34&gt;0,"In Progress","Not Started"))</f>
        <v>Complete</v>
      </c>
      <c r="N34" s="728" t="s">
        <v>3846</v>
      </c>
      <c r="O34" s="717"/>
      <c r="P34" s="718"/>
      <c r="Q34" s="718"/>
      <c r="R34" s="718"/>
      <c r="S34" s="718"/>
      <c r="T34" s="718"/>
      <c r="U34" s="718"/>
      <c r="V34" s="718"/>
      <c r="W34" s="718"/>
      <c r="X34" s="718"/>
      <c r="Y34" s="718"/>
      <c r="Z34" s="718"/>
      <c r="AA34" s="730"/>
      <c r="AB34" s="730"/>
      <c r="AC34" s="730"/>
      <c r="AD34" s="718"/>
      <c r="AE34" s="718"/>
      <c r="AF34" s="718"/>
      <c r="AG34" s="718"/>
      <c r="AH34" s="718"/>
      <c r="AI34" s="718"/>
      <c r="AJ34" s="718"/>
      <c r="AK34" s="718"/>
      <c r="AL34" s="718"/>
      <c r="AM34" s="718"/>
      <c r="AN34" s="718"/>
      <c r="AO34" s="718"/>
      <c r="AP34" s="718"/>
      <c r="AQ34" s="718"/>
      <c r="AR34" s="718"/>
      <c r="AS34" s="718"/>
      <c r="AT34" s="718"/>
      <c r="AU34" s="718"/>
      <c r="AV34" s="718"/>
      <c r="AW34" s="718"/>
      <c r="AX34" s="718"/>
      <c r="AY34" s="718"/>
      <c r="AZ34" s="718"/>
      <c r="BA34" s="718"/>
      <c r="BB34" s="718"/>
      <c r="BC34" s="718"/>
      <c r="BD34" s="718"/>
      <c r="BE34" s="718"/>
      <c r="BF34" s="718"/>
      <c r="BG34" s="718"/>
      <c r="BH34" s="718"/>
      <c r="BI34" s="718"/>
      <c r="BJ34" s="718"/>
      <c r="BK34" s="718"/>
      <c r="BL34" s="718"/>
      <c r="BM34" s="718"/>
      <c r="BN34" s="718"/>
      <c r="BO34" s="718"/>
      <c r="BP34" s="718"/>
      <c r="BQ34" s="718"/>
      <c r="BR34" s="718"/>
      <c r="BS34" s="718"/>
      <c r="BT34" s="718"/>
      <c r="BU34" s="718"/>
      <c r="BV34" s="719"/>
    </row>
    <row r="35" customFormat="false" ht="15" hidden="false" customHeight="true" outlineLevel="0" collapsed="false">
      <c r="A35" s="729" t="s">
        <v>3851</v>
      </c>
      <c r="B35" s="721" t="s">
        <v>3852</v>
      </c>
      <c r="C35" s="721" t="s">
        <v>3853</v>
      </c>
      <c r="D35" s="722" t="n">
        <v>45</v>
      </c>
      <c r="E35" s="723" t="n">
        <f aca="false">F32</f>
        <v>46113</v>
      </c>
      <c r="F35" s="723" t="n">
        <f aca="false">E35+D35</f>
        <v>46158</v>
      </c>
      <c r="G35" s="723" t="n">
        <v>46158</v>
      </c>
      <c r="H35" s="724" t="n">
        <f aca="false">IF($G35="","",$F35-$G35)</f>
        <v>0</v>
      </c>
      <c r="I35" s="729" t="s">
        <v>3854</v>
      </c>
      <c r="J35" s="725" t="n">
        <f aca="false">$F$166-F35</f>
        <v>1015</v>
      </c>
      <c r="K35" s="726" t="str">
        <f aca="false">IF($D35="","",IF($J35&lt;=0,"● CRITICAL",""))</f>
        <v/>
      </c>
      <c r="L35" s="727" t="n">
        <f aca="false">IF($B$4&gt;=F35,1,IF($B$4&lt;=E35,0,($B$4-E35)/(F35-E35)))</f>
        <v>1</v>
      </c>
      <c r="M35" s="721" t="str">
        <f aca="false">IF(L35&gt;=1,"Complete",IF(L35&gt;0,"In Progress","Not Started"))</f>
        <v>Complete</v>
      </c>
      <c r="N35" s="728" t="s">
        <v>3853</v>
      </c>
      <c r="O35" s="717"/>
      <c r="P35" s="718"/>
      <c r="Q35" s="718"/>
      <c r="R35" s="718"/>
      <c r="S35" s="718"/>
      <c r="T35" s="718"/>
      <c r="U35" s="718"/>
      <c r="V35" s="718"/>
      <c r="W35" s="718"/>
      <c r="X35" s="718"/>
      <c r="Y35" s="718"/>
      <c r="Z35" s="718"/>
      <c r="AA35" s="718"/>
      <c r="AB35" s="718"/>
      <c r="AC35" s="718"/>
      <c r="AD35" s="730"/>
      <c r="AE35" s="730"/>
      <c r="AF35" s="718"/>
      <c r="AG35" s="718"/>
      <c r="AH35" s="718"/>
      <c r="AI35" s="718"/>
      <c r="AJ35" s="718"/>
      <c r="AK35" s="718"/>
      <c r="AL35" s="718"/>
      <c r="AM35" s="718"/>
      <c r="AN35" s="718"/>
      <c r="AO35" s="718"/>
      <c r="AP35" s="718"/>
      <c r="AQ35" s="718"/>
      <c r="AR35" s="718"/>
      <c r="AS35" s="718"/>
      <c r="AT35" s="718"/>
      <c r="AU35" s="718"/>
      <c r="AV35" s="718"/>
      <c r="AW35" s="718"/>
      <c r="AX35" s="718"/>
      <c r="AY35" s="718"/>
      <c r="AZ35" s="718"/>
      <c r="BA35" s="718"/>
      <c r="BB35" s="718"/>
      <c r="BC35" s="718"/>
      <c r="BD35" s="718"/>
      <c r="BE35" s="718"/>
      <c r="BF35" s="718"/>
      <c r="BG35" s="718"/>
      <c r="BH35" s="718"/>
      <c r="BI35" s="718"/>
      <c r="BJ35" s="718"/>
      <c r="BK35" s="718"/>
      <c r="BL35" s="718"/>
      <c r="BM35" s="718"/>
      <c r="BN35" s="718"/>
      <c r="BO35" s="718"/>
      <c r="BP35" s="718"/>
      <c r="BQ35" s="718"/>
      <c r="BR35" s="718"/>
      <c r="BS35" s="718"/>
      <c r="BT35" s="718"/>
      <c r="BU35" s="718"/>
      <c r="BV35" s="719"/>
    </row>
    <row r="36" customFormat="false" ht="15" hidden="false" customHeight="true" outlineLevel="0" collapsed="false">
      <c r="A36" s="729" t="s">
        <v>3855</v>
      </c>
      <c r="B36" s="721" t="s">
        <v>3856</v>
      </c>
      <c r="C36" s="721" t="s">
        <v>3857</v>
      </c>
      <c r="D36" s="722" t="n">
        <v>30</v>
      </c>
      <c r="E36" s="723" t="n">
        <f aca="false">F32</f>
        <v>46113</v>
      </c>
      <c r="F36" s="723" t="n">
        <f aca="false">E36+D36</f>
        <v>46143</v>
      </c>
      <c r="G36" s="723" t="n">
        <v>46143</v>
      </c>
      <c r="H36" s="724" t="n">
        <f aca="false">IF($G36="","",$F36-$G36)</f>
        <v>0</v>
      </c>
      <c r="I36" s="729" t="s">
        <v>3854</v>
      </c>
      <c r="J36" s="725" t="n">
        <f aca="false">$F$166-F36</f>
        <v>1030</v>
      </c>
      <c r="K36" s="726" t="str">
        <f aca="false">IF($D36="","",IF($J36&lt;=0,"● CRITICAL",""))</f>
        <v/>
      </c>
      <c r="L36" s="727" t="n">
        <f aca="false">IF($B$4&gt;=F36,1,IF($B$4&lt;=E36,0,($B$4-E36)/(F36-E36)))</f>
        <v>1</v>
      </c>
      <c r="M36" s="721" t="str">
        <f aca="false">IF(L36&gt;=1,"Complete",IF(L36&gt;0,"In Progress","Not Started"))</f>
        <v>Complete</v>
      </c>
      <c r="N36" s="728" t="s">
        <v>3858</v>
      </c>
      <c r="O36" s="717"/>
      <c r="P36" s="718"/>
      <c r="Q36" s="718"/>
      <c r="R36" s="718"/>
      <c r="S36" s="718"/>
      <c r="T36" s="718"/>
      <c r="U36" s="718"/>
      <c r="V36" s="718"/>
      <c r="W36" s="718"/>
      <c r="X36" s="718"/>
      <c r="Y36" s="718"/>
      <c r="Z36" s="718"/>
      <c r="AA36" s="718"/>
      <c r="AB36" s="718"/>
      <c r="AC36" s="718"/>
      <c r="AD36" s="730"/>
      <c r="AE36" s="730"/>
      <c r="AF36" s="718"/>
      <c r="AG36" s="718"/>
      <c r="AH36" s="718"/>
      <c r="AI36" s="718"/>
      <c r="AJ36" s="718"/>
      <c r="AK36" s="718"/>
      <c r="AL36" s="718"/>
      <c r="AM36" s="718"/>
      <c r="AN36" s="718"/>
      <c r="AO36" s="718"/>
      <c r="AP36" s="718"/>
      <c r="AQ36" s="718"/>
      <c r="AR36" s="718"/>
      <c r="AS36" s="718"/>
      <c r="AT36" s="718"/>
      <c r="AU36" s="718"/>
      <c r="AV36" s="718"/>
      <c r="AW36" s="718"/>
      <c r="AX36" s="718"/>
      <c r="AY36" s="718"/>
      <c r="AZ36" s="718"/>
      <c r="BA36" s="718"/>
      <c r="BB36" s="718"/>
      <c r="BC36" s="718"/>
      <c r="BD36" s="718"/>
      <c r="BE36" s="718"/>
      <c r="BF36" s="718"/>
      <c r="BG36" s="718"/>
      <c r="BH36" s="718"/>
      <c r="BI36" s="718"/>
      <c r="BJ36" s="718"/>
      <c r="BK36" s="718"/>
      <c r="BL36" s="718"/>
      <c r="BM36" s="718"/>
      <c r="BN36" s="718"/>
      <c r="BO36" s="718"/>
      <c r="BP36" s="718"/>
      <c r="BQ36" s="718"/>
      <c r="BR36" s="718"/>
      <c r="BS36" s="718"/>
      <c r="BT36" s="718"/>
      <c r="BU36" s="718"/>
      <c r="BV36" s="719"/>
    </row>
    <row r="37" customFormat="false" ht="15" hidden="false" customHeight="true" outlineLevel="0" collapsed="false">
      <c r="A37" s="720" t="n">
        <v>3.6</v>
      </c>
      <c r="B37" s="731" t="s">
        <v>3859</v>
      </c>
      <c r="C37" s="721" t="s">
        <v>85</v>
      </c>
      <c r="D37" s="722" t="n">
        <v>0</v>
      </c>
      <c r="E37" s="723" t="n">
        <f aca="false">F33</f>
        <v>46173</v>
      </c>
      <c r="F37" s="723" t="n">
        <f aca="false">E37+D37</f>
        <v>46173</v>
      </c>
      <c r="G37" s="723" t="n">
        <v>46173</v>
      </c>
      <c r="H37" s="724" t="n">
        <f aca="false">IF($G37="","",$F37-$G37)</f>
        <v>0</v>
      </c>
      <c r="I37" s="720" t="n">
        <v>3.5</v>
      </c>
      <c r="J37" s="725" t="n">
        <f aca="false">MIN(E148)-F37</f>
        <v>0</v>
      </c>
      <c r="K37" s="726" t="str">
        <f aca="false">IF($D37="","",IF($J37&lt;=0,"● CRITICAL",""))</f>
        <v>● CRITICAL</v>
      </c>
      <c r="L37" s="727" t="n">
        <f aca="false">IF($B$4&gt;=F37,1,IF($B$4&lt;=E37,0,($B$4-E37)/(F37-E37)))</f>
        <v>1</v>
      </c>
      <c r="M37" s="721" t="str">
        <f aca="false">IF(L37&gt;=1,"Complete",IF(L37&gt;0,"In Progress","Not Started"))</f>
        <v>Complete</v>
      </c>
      <c r="N37" s="728" t="s">
        <v>3841</v>
      </c>
      <c r="O37" s="717"/>
      <c r="P37" s="718"/>
      <c r="Q37" s="718"/>
      <c r="R37" s="718"/>
      <c r="S37" s="718"/>
      <c r="T37" s="718"/>
      <c r="U37" s="718"/>
      <c r="V37" s="718"/>
      <c r="W37" s="718"/>
      <c r="X37" s="718"/>
      <c r="Y37" s="718"/>
      <c r="Z37" s="718"/>
      <c r="AA37" s="718"/>
      <c r="AB37" s="718"/>
      <c r="AC37" s="718"/>
      <c r="AD37" s="718"/>
      <c r="AE37" s="718"/>
      <c r="AF37" s="718"/>
      <c r="AG37" s="718"/>
      <c r="AH37" s="718"/>
      <c r="AI37" s="718"/>
      <c r="AJ37" s="718"/>
      <c r="AK37" s="718"/>
      <c r="AL37" s="718"/>
      <c r="AM37" s="718"/>
      <c r="AN37" s="718"/>
      <c r="AO37" s="718"/>
      <c r="AP37" s="718"/>
      <c r="AQ37" s="718"/>
      <c r="AR37" s="718"/>
      <c r="AS37" s="718"/>
      <c r="AT37" s="718"/>
      <c r="AU37" s="718"/>
      <c r="AV37" s="718"/>
      <c r="AW37" s="718"/>
      <c r="AX37" s="718"/>
      <c r="AY37" s="718"/>
      <c r="AZ37" s="718"/>
      <c r="BA37" s="718"/>
      <c r="BB37" s="718"/>
      <c r="BC37" s="718"/>
      <c r="BD37" s="718"/>
      <c r="BE37" s="718"/>
      <c r="BF37" s="718"/>
      <c r="BG37" s="718"/>
      <c r="BH37" s="718"/>
      <c r="BI37" s="718"/>
      <c r="BJ37" s="718"/>
      <c r="BK37" s="718"/>
      <c r="BL37" s="718"/>
      <c r="BM37" s="718"/>
      <c r="BN37" s="718"/>
      <c r="BO37" s="718"/>
      <c r="BP37" s="718"/>
      <c r="BQ37" s="718"/>
      <c r="BR37" s="718"/>
      <c r="BS37" s="718"/>
      <c r="BT37" s="718"/>
      <c r="BU37" s="718"/>
      <c r="BV37" s="719"/>
    </row>
    <row r="38" customFormat="false" ht="15" hidden="false" customHeight="true" outlineLevel="0" collapsed="false">
      <c r="A38" s="709" t="n">
        <v>4</v>
      </c>
      <c r="B38" s="710" t="s">
        <v>3860</v>
      </c>
      <c r="C38" s="710"/>
      <c r="D38" s="711" t="n">
        <f aca="false">F38-E38</f>
        <v>300</v>
      </c>
      <c r="E38" s="712" t="n">
        <f aca="false">MIN(E39:E60)</f>
        <v>46023</v>
      </c>
      <c r="F38" s="712" t="n">
        <f aca="false">MAX(F39:F60)</f>
        <v>46323</v>
      </c>
      <c r="G38" s="712" t="n">
        <v>46323</v>
      </c>
      <c r="H38" s="713" t="n">
        <f aca="false">IF($G38="","",$F38-$G38)</f>
        <v>0</v>
      </c>
      <c r="I38" s="709"/>
      <c r="J38" s="714"/>
      <c r="K38" s="710"/>
      <c r="L38" s="715" t="n">
        <f aca="false">IFERROR(SUMPRODUCT($D39:$D60,$L39:$L60)/SUM($D39:$D60),0)</f>
        <v>0.681707317073171</v>
      </c>
      <c r="M38" s="710" t="str">
        <f aca="false">IF(L38&gt;=1,"Complete",IF(L38&gt;0,"In Progress","Not Started"))</f>
        <v>In Progress</v>
      </c>
      <c r="N38" s="716" t="s">
        <v>3858</v>
      </c>
      <c r="O38" s="717"/>
      <c r="P38" s="718"/>
      <c r="Q38" s="718"/>
      <c r="R38" s="718"/>
      <c r="S38" s="718"/>
      <c r="T38" s="718"/>
      <c r="U38" s="718"/>
      <c r="V38" s="718"/>
      <c r="W38" s="718"/>
      <c r="X38" s="718"/>
      <c r="Y38" s="718"/>
      <c r="Z38" s="718"/>
      <c r="AA38" s="718"/>
      <c r="AB38" s="718"/>
      <c r="AC38" s="718"/>
      <c r="AD38" s="718"/>
      <c r="AE38" s="718"/>
      <c r="AF38" s="718"/>
      <c r="AG38" s="718"/>
      <c r="AH38" s="718"/>
      <c r="AI38" s="718"/>
      <c r="AJ38" s="718"/>
      <c r="AK38" s="718"/>
      <c r="AL38" s="718"/>
      <c r="AM38" s="718"/>
      <c r="AN38" s="718"/>
      <c r="AO38" s="718"/>
      <c r="AP38" s="718"/>
      <c r="AQ38" s="718"/>
      <c r="AR38" s="718"/>
      <c r="AS38" s="718"/>
      <c r="AT38" s="718"/>
      <c r="AU38" s="718"/>
      <c r="AV38" s="718"/>
      <c r="AW38" s="718"/>
      <c r="AX38" s="718"/>
      <c r="AY38" s="718"/>
      <c r="AZ38" s="718"/>
      <c r="BA38" s="718"/>
      <c r="BB38" s="718"/>
      <c r="BC38" s="718"/>
      <c r="BD38" s="718"/>
      <c r="BE38" s="718"/>
      <c r="BF38" s="718"/>
      <c r="BG38" s="718"/>
      <c r="BH38" s="718"/>
      <c r="BI38" s="718"/>
      <c r="BJ38" s="718"/>
      <c r="BK38" s="718"/>
      <c r="BL38" s="718"/>
      <c r="BM38" s="718"/>
      <c r="BN38" s="718"/>
      <c r="BO38" s="718"/>
      <c r="BP38" s="718"/>
      <c r="BQ38" s="718"/>
      <c r="BR38" s="718"/>
      <c r="BS38" s="718"/>
      <c r="BT38" s="718"/>
      <c r="BU38" s="718"/>
      <c r="BV38" s="719"/>
    </row>
    <row r="39" customFormat="false" ht="15" hidden="false" customHeight="true" outlineLevel="0" collapsed="false">
      <c r="A39" s="720" t="n">
        <v>4.1</v>
      </c>
      <c r="B39" s="721" t="s">
        <v>3861</v>
      </c>
      <c r="C39" s="721" t="s">
        <v>3795</v>
      </c>
      <c r="D39" s="722" t="n">
        <v>60</v>
      </c>
      <c r="E39" s="723" t="n">
        <f aca="false">F31</f>
        <v>46023</v>
      </c>
      <c r="F39" s="723" t="n">
        <f aca="false">E39+D39</f>
        <v>46083</v>
      </c>
      <c r="G39" s="723" t="n">
        <v>46083</v>
      </c>
      <c r="H39" s="724" t="n">
        <f aca="false">IF($G39="","",$F39-$G39)</f>
        <v>0</v>
      </c>
      <c r="I39" s="720" t="n">
        <v>3.3</v>
      </c>
      <c r="J39" s="725" t="n">
        <f aca="false">MIN(E40,E41)-F39</f>
        <v>0</v>
      </c>
      <c r="K39" s="726" t="str">
        <f aca="false">IF($D39="","",IF($J39&lt;=0,"● CRITICAL",""))</f>
        <v>● CRITICAL</v>
      </c>
      <c r="L39" s="727" t="n">
        <f aca="false">IF($B$4&gt;=F39,1,IF($B$4&lt;=E39,0,($B$4-E39)/(F39-E39)))</f>
        <v>1</v>
      </c>
      <c r="M39" s="721" t="str">
        <f aca="false">IF(L39&gt;=1,"Complete",IF(L39&gt;0,"In Progress","Not Started"))</f>
        <v>Complete</v>
      </c>
      <c r="N39" s="728" t="s">
        <v>3795</v>
      </c>
      <c r="O39" s="717"/>
      <c r="P39" s="718"/>
      <c r="Q39" s="718"/>
      <c r="R39" s="718"/>
      <c r="S39" s="718"/>
      <c r="T39" s="718"/>
      <c r="U39" s="718"/>
      <c r="V39" s="718"/>
      <c r="W39" s="718"/>
      <c r="X39" s="718"/>
      <c r="Y39" s="718"/>
      <c r="Z39" s="718"/>
      <c r="AA39" s="718"/>
      <c r="AB39" s="718"/>
      <c r="AC39" s="718"/>
      <c r="AD39" s="718"/>
      <c r="AE39" s="718"/>
      <c r="AF39" s="718"/>
      <c r="AG39" s="718"/>
      <c r="AH39" s="718"/>
      <c r="AI39" s="718"/>
      <c r="AJ39" s="718"/>
      <c r="AK39" s="718"/>
      <c r="AL39" s="718"/>
      <c r="AM39" s="718"/>
      <c r="AN39" s="718"/>
      <c r="AO39" s="718"/>
      <c r="AP39" s="718"/>
      <c r="AQ39" s="718"/>
      <c r="AR39" s="718"/>
      <c r="AS39" s="718"/>
      <c r="AT39" s="718"/>
      <c r="AU39" s="718"/>
      <c r="AV39" s="718"/>
      <c r="AW39" s="718"/>
      <c r="AX39" s="718"/>
      <c r="AY39" s="718"/>
      <c r="AZ39" s="718"/>
      <c r="BA39" s="718"/>
      <c r="BB39" s="718"/>
      <c r="BC39" s="718"/>
      <c r="BD39" s="718"/>
      <c r="BE39" s="718"/>
      <c r="BF39" s="718"/>
      <c r="BG39" s="718"/>
      <c r="BH39" s="718"/>
      <c r="BI39" s="718"/>
      <c r="BJ39" s="718"/>
      <c r="BK39" s="718"/>
      <c r="BL39" s="718"/>
      <c r="BM39" s="718"/>
      <c r="BN39" s="718"/>
      <c r="BO39" s="718"/>
      <c r="BP39" s="718"/>
      <c r="BQ39" s="718"/>
      <c r="BR39" s="718"/>
      <c r="BS39" s="718"/>
      <c r="BT39" s="718"/>
      <c r="BU39" s="718"/>
      <c r="BV39" s="719"/>
    </row>
    <row r="40" customFormat="false" ht="15" hidden="false" customHeight="true" outlineLevel="0" collapsed="false">
      <c r="A40" s="720" t="n">
        <v>4.2</v>
      </c>
      <c r="B40" s="721" t="s">
        <v>3862</v>
      </c>
      <c r="C40" s="721" t="s">
        <v>3857</v>
      </c>
      <c r="D40" s="722" t="n">
        <v>90</v>
      </c>
      <c r="E40" s="723" t="n">
        <f aca="false">F39</f>
        <v>46083</v>
      </c>
      <c r="F40" s="723" t="n">
        <f aca="false">E40+D40</f>
        <v>46173</v>
      </c>
      <c r="G40" s="723" t="n">
        <v>46173</v>
      </c>
      <c r="H40" s="724" t="n">
        <f aca="false">IF($G40="","",$F40-$G40)</f>
        <v>0</v>
      </c>
      <c r="I40" s="720" t="n">
        <v>4.1</v>
      </c>
      <c r="J40" s="725" t="n">
        <f aca="false">$F$166-F40</f>
        <v>1000</v>
      </c>
      <c r="K40" s="726" t="str">
        <f aca="false">IF($D40="","",IF($J40&lt;=0,"● CRITICAL",""))</f>
        <v/>
      </c>
      <c r="L40" s="727" t="n">
        <f aca="false">IF($B$4&gt;=F40,1,IF($B$4&lt;=E40,0,($B$4-E40)/(F40-E40)))</f>
        <v>1</v>
      </c>
      <c r="M40" s="721" t="str">
        <f aca="false">IF(L40&gt;=1,"Complete",IF(L40&gt;0,"In Progress","Not Started"))</f>
        <v>Complete</v>
      </c>
      <c r="N40" s="728" t="s">
        <v>3858</v>
      </c>
      <c r="O40" s="717"/>
      <c r="P40" s="718"/>
      <c r="Q40" s="718"/>
      <c r="R40" s="718"/>
      <c r="S40" s="718"/>
      <c r="T40" s="718"/>
      <c r="U40" s="718"/>
      <c r="V40" s="718"/>
      <c r="W40" s="718"/>
      <c r="X40" s="718"/>
      <c r="Y40" s="718"/>
      <c r="Z40" s="718"/>
      <c r="AA40" s="718"/>
      <c r="AB40" s="718"/>
      <c r="AC40" s="718"/>
      <c r="AD40" s="718"/>
      <c r="AE40" s="718"/>
      <c r="AF40" s="718"/>
      <c r="AG40" s="718"/>
      <c r="AH40" s="718"/>
      <c r="AI40" s="718"/>
      <c r="AJ40" s="718"/>
      <c r="AK40" s="718"/>
      <c r="AL40" s="718"/>
      <c r="AM40" s="718"/>
      <c r="AN40" s="718"/>
      <c r="AO40" s="718"/>
      <c r="AP40" s="718"/>
      <c r="AQ40" s="718"/>
      <c r="AR40" s="718"/>
      <c r="AS40" s="718"/>
      <c r="AT40" s="718"/>
      <c r="AU40" s="718"/>
      <c r="AV40" s="718"/>
      <c r="AW40" s="718"/>
      <c r="AX40" s="718"/>
      <c r="AY40" s="718"/>
      <c r="AZ40" s="718"/>
      <c r="BA40" s="718"/>
      <c r="BB40" s="718"/>
      <c r="BC40" s="718"/>
      <c r="BD40" s="718"/>
      <c r="BE40" s="718"/>
      <c r="BF40" s="718"/>
      <c r="BG40" s="718"/>
      <c r="BH40" s="718"/>
      <c r="BI40" s="718"/>
      <c r="BJ40" s="718"/>
      <c r="BK40" s="718"/>
      <c r="BL40" s="718"/>
      <c r="BM40" s="718"/>
      <c r="BN40" s="718"/>
      <c r="BO40" s="718"/>
      <c r="BP40" s="718"/>
      <c r="BQ40" s="718"/>
      <c r="BR40" s="718"/>
      <c r="BS40" s="718"/>
      <c r="BT40" s="718"/>
      <c r="BU40" s="718"/>
      <c r="BV40" s="719"/>
    </row>
    <row r="41" customFormat="false" ht="15" hidden="false" customHeight="true" outlineLevel="0" collapsed="false">
      <c r="A41" s="720" t="n">
        <v>4.3</v>
      </c>
      <c r="B41" s="731" t="s">
        <v>3863</v>
      </c>
      <c r="C41" s="721" t="s">
        <v>85</v>
      </c>
      <c r="D41" s="722" t="n">
        <v>0</v>
      </c>
      <c r="E41" s="723" t="n">
        <f aca="false">F39</f>
        <v>46083</v>
      </c>
      <c r="F41" s="723" t="n">
        <f aca="false">E41+D41</f>
        <v>46083</v>
      </c>
      <c r="G41" s="723" t="n">
        <v>46083</v>
      </c>
      <c r="H41" s="724" t="n">
        <f aca="false">IF($G41="","",$F41-$G41)</f>
        <v>0</v>
      </c>
      <c r="I41" s="720" t="n">
        <v>4.1</v>
      </c>
      <c r="J41" s="725" t="n">
        <f aca="false">MIN(E42,E43,E44,E45,E46,E47,E48,E49,E50,E51,E52,E53,E54,E55,E56)-F41</f>
        <v>0</v>
      </c>
      <c r="K41" s="726" t="str">
        <f aca="false">IF($D41="","",IF($J41&lt;=0,"● CRITICAL",""))</f>
        <v>● CRITICAL</v>
      </c>
      <c r="L41" s="727" t="n">
        <f aca="false">IF($B$4&gt;=F41,1,IF($B$4&lt;=E41,0,($B$4-E41)/(F41-E41)))</f>
        <v>1</v>
      </c>
      <c r="M41" s="721" t="str">
        <f aca="false">IF(L41&gt;=1,"Complete",IF(L41&gt;0,"In Progress","Not Started"))</f>
        <v>Complete</v>
      </c>
      <c r="N41" s="728" t="s">
        <v>3857</v>
      </c>
      <c r="O41" s="717"/>
      <c r="P41" s="718"/>
      <c r="Q41" s="718"/>
      <c r="R41" s="718"/>
      <c r="S41" s="718"/>
      <c r="T41" s="718"/>
      <c r="U41" s="718"/>
      <c r="V41" s="718"/>
      <c r="W41" s="718"/>
      <c r="X41" s="718"/>
      <c r="Y41" s="718"/>
      <c r="Z41" s="718"/>
      <c r="AA41" s="718"/>
      <c r="AB41" s="718"/>
      <c r="AC41" s="718"/>
      <c r="AD41" s="718"/>
      <c r="AE41" s="718"/>
      <c r="AF41" s="718"/>
      <c r="AG41" s="718"/>
      <c r="AH41" s="718"/>
      <c r="AI41" s="718"/>
      <c r="AJ41" s="718"/>
      <c r="AK41" s="718"/>
      <c r="AL41" s="718"/>
      <c r="AM41" s="718"/>
      <c r="AN41" s="718"/>
      <c r="AO41" s="718"/>
      <c r="AP41" s="718"/>
      <c r="AQ41" s="718"/>
      <c r="AR41" s="718"/>
      <c r="AS41" s="718"/>
      <c r="AT41" s="718"/>
      <c r="AU41" s="718"/>
      <c r="AV41" s="718"/>
      <c r="AW41" s="718"/>
      <c r="AX41" s="718"/>
      <c r="AY41" s="718"/>
      <c r="AZ41" s="718"/>
      <c r="BA41" s="718"/>
      <c r="BB41" s="718"/>
      <c r="BC41" s="718"/>
      <c r="BD41" s="718"/>
      <c r="BE41" s="718"/>
      <c r="BF41" s="718"/>
      <c r="BG41" s="718"/>
      <c r="BH41" s="718"/>
      <c r="BI41" s="718"/>
      <c r="BJ41" s="718"/>
      <c r="BK41" s="718"/>
      <c r="BL41" s="718"/>
      <c r="BM41" s="718"/>
      <c r="BN41" s="718"/>
      <c r="BO41" s="718"/>
      <c r="BP41" s="718"/>
      <c r="BQ41" s="718"/>
      <c r="BR41" s="718"/>
      <c r="BS41" s="718"/>
      <c r="BT41" s="718"/>
      <c r="BU41" s="718"/>
      <c r="BV41" s="719"/>
    </row>
    <row r="42" customFormat="false" ht="15" hidden="false" customHeight="true" outlineLevel="0" collapsed="false">
      <c r="A42" s="720" t="n">
        <v>4.4</v>
      </c>
      <c r="B42" s="721" t="s">
        <v>3864</v>
      </c>
      <c r="C42" s="721" t="s">
        <v>2573</v>
      </c>
      <c r="D42" s="722" t="n">
        <v>240</v>
      </c>
      <c r="E42" s="723" t="n">
        <f aca="false">F41</f>
        <v>46083</v>
      </c>
      <c r="F42" s="723" t="n">
        <f aca="false">E42+D42</f>
        <v>46323</v>
      </c>
      <c r="G42" s="723" t="n">
        <v>46323</v>
      </c>
      <c r="H42" s="724" t="n">
        <f aca="false">IF($G42="","",$F42-$G42)</f>
        <v>0</v>
      </c>
      <c r="I42" s="720" t="n">
        <v>4.3</v>
      </c>
      <c r="J42" s="725" t="n">
        <f aca="false">MIN(E60,E101)-F42</f>
        <v>0</v>
      </c>
      <c r="K42" s="726" t="str">
        <f aca="false">IF($D42="","",IF($J42&lt;=0,"● CRITICAL",""))</f>
        <v>● CRITICAL</v>
      </c>
      <c r="L42" s="727" t="n">
        <f aca="false">IF($B$4&gt;=F42,1,IF($B$4&lt;=E42,0,($B$4-E42)/(F42-E42)))</f>
        <v>0.504166666666667</v>
      </c>
      <c r="M42" s="721" t="str">
        <f aca="false">IF(L42&gt;=1,"Complete",IF(L42&gt;0,"In Progress","Not Started"))</f>
        <v>In Progress</v>
      </c>
      <c r="N42" s="728" t="s">
        <v>3865</v>
      </c>
      <c r="O42" s="717"/>
      <c r="P42" s="718"/>
      <c r="Q42" s="718"/>
      <c r="R42" s="718"/>
      <c r="S42" s="718"/>
      <c r="T42" s="718"/>
      <c r="U42" s="718"/>
      <c r="V42" s="718"/>
      <c r="W42" s="718"/>
      <c r="X42" s="718"/>
      <c r="Y42" s="718"/>
      <c r="Z42" s="718"/>
      <c r="AA42" s="718"/>
      <c r="AB42" s="718"/>
      <c r="AC42" s="718"/>
      <c r="AD42" s="718"/>
      <c r="AE42" s="718"/>
      <c r="AF42" s="718"/>
      <c r="AG42" s="718"/>
      <c r="AH42" s="718"/>
      <c r="AI42" s="718"/>
      <c r="AJ42" s="718"/>
      <c r="AK42" s="718"/>
      <c r="AL42" s="718"/>
      <c r="AM42" s="718"/>
      <c r="AN42" s="718"/>
      <c r="AO42" s="718"/>
      <c r="AP42" s="718"/>
      <c r="AQ42" s="718"/>
      <c r="AR42" s="718"/>
      <c r="AS42" s="718"/>
      <c r="AT42" s="718"/>
      <c r="AU42" s="718"/>
      <c r="AV42" s="718"/>
      <c r="AW42" s="718"/>
      <c r="AX42" s="718"/>
      <c r="AY42" s="718"/>
      <c r="AZ42" s="718"/>
      <c r="BA42" s="718"/>
      <c r="BB42" s="718"/>
      <c r="BC42" s="718"/>
      <c r="BD42" s="718"/>
      <c r="BE42" s="718"/>
      <c r="BF42" s="718"/>
      <c r="BG42" s="718"/>
      <c r="BH42" s="718"/>
      <c r="BI42" s="718"/>
      <c r="BJ42" s="718"/>
      <c r="BK42" s="718"/>
      <c r="BL42" s="718"/>
      <c r="BM42" s="718"/>
      <c r="BN42" s="718"/>
      <c r="BO42" s="718"/>
      <c r="BP42" s="718"/>
      <c r="BQ42" s="718"/>
      <c r="BR42" s="718"/>
      <c r="BS42" s="718"/>
      <c r="BT42" s="718"/>
      <c r="BU42" s="718"/>
      <c r="BV42" s="719"/>
    </row>
    <row r="43" customFormat="false" ht="15" hidden="false" customHeight="true" outlineLevel="0" collapsed="false">
      <c r="A43" s="720" t="n">
        <v>4.5</v>
      </c>
      <c r="B43" s="721" t="s">
        <v>3866</v>
      </c>
      <c r="C43" s="721" t="s">
        <v>2573</v>
      </c>
      <c r="D43" s="722" t="n">
        <v>210</v>
      </c>
      <c r="E43" s="723" t="n">
        <f aca="false">F41</f>
        <v>46083</v>
      </c>
      <c r="F43" s="723" t="n">
        <f aca="false">E43+D43</f>
        <v>46293</v>
      </c>
      <c r="G43" s="723" t="n">
        <v>46293</v>
      </c>
      <c r="H43" s="724" t="n">
        <f aca="false">IF($G43="","",$F43-$G43)</f>
        <v>0</v>
      </c>
      <c r="I43" s="720" t="n">
        <v>4.3</v>
      </c>
      <c r="J43" s="725" t="n">
        <f aca="false">MIN(E102)-F43</f>
        <v>425</v>
      </c>
      <c r="K43" s="726" t="str">
        <f aca="false">IF($D43="","",IF($J43&lt;=0,"● CRITICAL",""))</f>
        <v/>
      </c>
      <c r="L43" s="727" t="n">
        <f aca="false">IF($B$4&gt;=F43,1,IF($B$4&lt;=E43,0,($B$4-E43)/(F43-E43)))</f>
        <v>0.576190476190476</v>
      </c>
      <c r="M43" s="721" t="str">
        <f aca="false">IF(L43&gt;=1,"Complete",IF(L43&gt;0,"In Progress","Not Started"))</f>
        <v>In Progress</v>
      </c>
      <c r="N43" s="728" t="s">
        <v>3865</v>
      </c>
      <c r="O43" s="717"/>
      <c r="P43" s="718"/>
      <c r="Q43" s="718"/>
      <c r="R43" s="718"/>
      <c r="S43" s="718"/>
      <c r="T43" s="718"/>
      <c r="U43" s="718"/>
      <c r="V43" s="718"/>
      <c r="W43" s="718"/>
      <c r="X43" s="718"/>
      <c r="Y43" s="718"/>
      <c r="Z43" s="718"/>
      <c r="AA43" s="718"/>
      <c r="AB43" s="718"/>
      <c r="AC43" s="718"/>
      <c r="AD43" s="718"/>
      <c r="AE43" s="718"/>
      <c r="AF43" s="718"/>
      <c r="AG43" s="718"/>
      <c r="AH43" s="718"/>
      <c r="AI43" s="718"/>
      <c r="AJ43" s="718"/>
      <c r="AK43" s="718"/>
      <c r="AL43" s="718"/>
      <c r="AM43" s="718"/>
      <c r="AN43" s="718"/>
      <c r="AO43" s="718"/>
      <c r="AP43" s="718"/>
      <c r="AQ43" s="718"/>
      <c r="AR43" s="718"/>
      <c r="AS43" s="718"/>
      <c r="AT43" s="718"/>
      <c r="AU43" s="718"/>
      <c r="AV43" s="718"/>
      <c r="AW43" s="718"/>
      <c r="AX43" s="718"/>
      <c r="AY43" s="718"/>
      <c r="AZ43" s="718"/>
      <c r="BA43" s="718"/>
      <c r="BB43" s="718"/>
      <c r="BC43" s="718"/>
      <c r="BD43" s="718"/>
      <c r="BE43" s="718"/>
      <c r="BF43" s="718"/>
      <c r="BG43" s="718"/>
      <c r="BH43" s="718"/>
      <c r="BI43" s="718"/>
      <c r="BJ43" s="718"/>
      <c r="BK43" s="718"/>
      <c r="BL43" s="718"/>
      <c r="BM43" s="718"/>
      <c r="BN43" s="718"/>
      <c r="BO43" s="718"/>
      <c r="BP43" s="718"/>
      <c r="BQ43" s="718"/>
      <c r="BR43" s="718"/>
      <c r="BS43" s="718"/>
      <c r="BT43" s="718"/>
      <c r="BU43" s="718"/>
      <c r="BV43" s="719"/>
    </row>
    <row r="44" customFormat="false" ht="15" hidden="false" customHeight="true" outlineLevel="0" collapsed="false">
      <c r="A44" s="720" t="n">
        <v>4.6</v>
      </c>
      <c r="B44" s="721" t="s">
        <v>3867</v>
      </c>
      <c r="C44" s="721" t="s">
        <v>2573</v>
      </c>
      <c r="D44" s="722" t="n">
        <v>180</v>
      </c>
      <c r="E44" s="723" t="n">
        <f aca="false">F41</f>
        <v>46083</v>
      </c>
      <c r="F44" s="723" t="n">
        <f aca="false">E44+D44</f>
        <v>46263</v>
      </c>
      <c r="G44" s="723" t="n">
        <v>46263</v>
      </c>
      <c r="H44" s="724" t="n">
        <f aca="false">IF($G44="","",$F44-$G44)</f>
        <v>0</v>
      </c>
      <c r="I44" s="720" t="n">
        <v>4.3</v>
      </c>
      <c r="J44" s="725" t="n">
        <f aca="false">MIN(E103)-F44</f>
        <v>545</v>
      </c>
      <c r="K44" s="726" t="str">
        <f aca="false">IF($D44="","",IF($J44&lt;=0,"● CRITICAL",""))</f>
        <v/>
      </c>
      <c r="L44" s="727" t="n">
        <f aca="false">IF($B$4&gt;=F44,1,IF($B$4&lt;=E44,0,($B$4-E44)/(F44-E44)))</f>
        <v>0.672222222222222</v>
      </c>
      <c r="M44" s="721" t="str">
        <f aca="false">IF(L44&gt;=1,"Complete",IF(L44&gt;0,"In Progress","Not Started"))</f>
        <v>In Progress</v>
      </c>
      <c r="N44" s="728" t="s">
        <v>3865</v>
      </c>
      <c r="O44" s="717"/>
      <c r="P44" s="718"/>
      <c r="Q44" s="718"/>
      <c r="R44" s="718"/>
      <c r="S44" s="718"/>
      <c r="T44" s="718"/>
      <c r="U44" s="718"/>
      <c r="V44" s="718"/>
      <c r="W44" s="718"/>
      <c r="X44" s="718"/>
      <c r="Y44" s="718"/>
      <c r="Z44" s="718"/>
      <c r="AA44" s="718"/>
      <c r="AB44" s="718"/>
      <c r="AC44" s="718"/>
      <c r="AD44" s="718"/>
      <c r="AE44" s="718"/>
      <c r="AF44" s="718"/>
      <c r="AG44" s="718"/>
      <c r="AH44" s="718"/>
      <c r="AI44" s="718"/>
      <c r="AJ44" s="718"/>
      <c r="AK44" s="718"/>
      <c r="AL44" s="718"/>
      <c r="AM44" s="718"/>
      <c r="AN44" s="718"/>
      <c r="AO44" s="718"/>
      <c r="AP44" s="718"/>
      <c r="AQ44" s="718"/>
      <c r="AR44" s="718"/>
      <c r="AS44" s="718"/>
      <c r="AT44" s="718"/>
      <c r="AU44" s="718"/>
      <c r="AV44" s="718"/>
      <c r="AW44" s="718"/>
      <c r="AX44" s="718"/>
      <c r="AY44" s="718"/>
      <c r="AZ44" s="718"/>
      <c r="BA44" s="718"/>
      <c r="BB44" s="718"/>
      <c r="BC44" s="718"/>
      <c r="BD44" s="718"/>
      <c r="BE44" s="718"/>
      <c r="BF44" s="718"/>
      <c r="BG44" s="718"/>
      <c r="BH44" s="718"/>
      <c r="BI44" s="718"/>
      <c r="BJ44" s="718"/>
      <c r="BK44" s="718"/>
      <c r="BL44" s="718"/>
      <c r="BM44" s="718"/>
      <c r="BN44" s="718"/>
      <c r="BO44" s="718"/>
      <c r="BP44" s="718"/>
      <c r="BQ44" s="718"/>
      <c r="BR44" s="718"/>
      <c r="BS44" s="718"/>
      <c r="BT44" s="718"/>
      <c r="BU44" s="718"/>
      <c r="BV44" s="719"/>
    </row>
    <row r="45" customFormat="false" ht="15" hidden="false" customHeight="true" outlineLevel="0" collapsed="false">
      <c r="A45" s="720" t="n">
        <v>4.7</v>
      </c>
      <c r="B45" s="721" t="s">
        <v>3868</v>
      </c>
      <c r="C45" s="721" t="s">
        <v>2573</v>
      </c>
      <c r="D45" s="722" t="n">
        <v>210</v>
      </c>
      <c r="E45" s="723" t="n">
        <f aca="false">F41</f>
        <v>46083</v>
      </c>
      <c r="F45" s="723" t="n">
        <f aca="false">E45+D45</f>
        <v>46293</v>
      </c>
      <c r="G45" s="723" t="n">
        <v>46293</v>
      </c>
      <c r="H45" s="724" t="n">
        <f aca="false">IF($G45="","",$F45-$G45)</f>
        <v>0</v>
      </c>
      <c r="I45" s="720" t="n">
        <v>4.3</v>
      </c>
      <c r="J45" s="725" t="n">
        <f aca="false">MIN(E104)-F45</f>
        <v>335</v>
      </c>
      <c r="K45" s="726" t="str">
        <f aca="false">IF($D45="","",IF($J45&lt;=0,"● CRITICAL",""))</f>
        <v/>
      </c>
      <c r="L45" s="727" t="n">
        <f aca="false">IF($B$4&gt;=F45,1,IF($B$4&lt;=E45,0,($B$4-E45)/(F45-E45)))</f>
        <v>0.576190476190476</v>
      </c>
      <c r="M45" s="721" t="str">
        <f aca="false">IF(L45&gt;=1,"Complete",IF(L45&gt;0,"In Progress","Not Started"))</f>
        <v>In Progress</v>
      </c>
      <c r="N45" s="728" t="s">
        <v>3865</v>
      </c>
      <c r="O45" s="717"/>
      <c r="P45" s="718"/>
      <c r="Q45" s="718"/>
      <c r="R45" s="718"/>
      <c r="S45" s="718"/>
      <c r="T45" s="718"/>
      <c r="U45" s="718"/>
      <c r="V45" s="718"/>
      <c r="W45" s="718"/>
      <c r="X45" s="718"/>
      <c r="Y45" s="718"/>
      <c r="Z45" s="718"/>
      <c r="AA45" s="718"/>
      <c r="AB45" s="718"/>
      <c r="AC45" s="718"/>
      <c r="AD45" s="718"/>
      <c r="AE45" s="718"/>
      <c r="AF45" s="718"/>
      <c r="AG45" s="718"/>
      <c r="AH45" s="718"/>
      <c r="AI45" s="718"/>
      <c r="AJ45" s="718"/>
      <c r="AK45" s="718"/>
      <c r="AL45" s="718"/>
      <c r="AM45" s="718"/>
      <c r="AN45" s="718"/>
      <c r="AO45" s="718"/>
      <c r="AP45" s="718"/>
      <c r="AQ45" s="718"/>
      <c r="AR45" s="718"/>
      <c r="AS45" s="718"/>
      <c r="AT45" s="718"/>
      <c r="AU45" s="718"/>
      <c r="AV45" s="718"/>
      <c r="AW45" s="718"/>
      <c r="AX45" s="718"/>
      <c r="AY45" s="718"/>
      <c r="AZ45" s="718"/>
      <c r="BA45" s="718"/>
      <c r="BB45" s="718"/>
      <c r="BC45" s="718"/>
      <c r="BD45" s="718"/>
      <c r="BE45" s="718"/>
      <c r="BF45" s="718"/>
      <c r="BG45" s="718"/>
      <c r="BH45" s="718"/>
      <c r="BI45" s="718"/>
      <c r="BJ45" s="718"/>
      <c r="BK45" s="718"/>
      <c r="BL45" s="718"/>
      <c r="BM45" s="718"/>
      <c r="BN45" s="718"/>
      <c r="BO45" s="718"/>
      <c r="BP45" s="718"/>
      <c r="BQ45" s="718"/>
      <c r="BR45" s="718"/>
      <c r="BS45" s="718"/>
      <c r="BT45" s="718"/>
      <c r="BU45" s="718"/>
      <c r="BV45" s="719"/>
    </row>
    <row r="46" customFormat="false" ht="15" hidden="false" customHeight="true" outlineLevel="0" collapsed="false">
      <c r="A46" s="720" t="n">
        <v>4.8</v>
      </c>
      <c r="B46" s="721" t="s">
        <v>3869</v>
      </c>
      <c r="C46" s="721" t="s">
        <v>2573</v>
      </c>
      <c r="D46" s="722" t="n">
        <v>200</v>
      </c>
      <c r="E46" s="723" t="n">
        <f aca="false">F41</f>
        <v>46083</v>
      </c>
      <c r="F46" s="723" t="n">
        <f aca="false">E46+D46</f>
        <v>46283</v>
      </c>
      <c r="G46" s="723" t="n">
        <v>46283</v>
      </c>
      <c r="H46" s="724" t="n">
        <f aca="false">IF($G46="","",$F46-$G46)</f>
        <v>0</v>
      </c>
      <c r="I46" s="720" t="n">
        <v>4.3</v>
      </c>
      <c r="J46" s="725" t="n">
        <f aca="false">MIN(E105)-F46</f>
        <v>435</v>
      </c>
      <c r="K46" s="726" t="str">
        <f aca="false">IF($D46="","",IF($J46&lt;=0,"● CRITICAL",""))</f>
        <v/>
      </c>
      <c r="L46" s="727" t="n">
        <f aca="false">IF($B$4&gt;=F46,1,IF($B$4&lt;=E46,0,($B$4-E46)/(F46-E46)))</f>
        <v>0.605</v>
      </c>
      <c r="M46" s="721" t="str">
        <f aca="false">IF(L46&gt;=1,"Complete",IF(L46&gt;0,"In Progress","Not Started"))</f>
        <v>In Progress</v>
      </c>
      <c r="N46" s="728" t="s">
        <v>3865</v>
      </c>
      <c r="O46" s="717"/>
      <c r="P46" s="718"/>
      <c r="Q46" s="718"/>
      <c r="R46" s="718"/>
      <c r="S46" s="718"/>
      <c r="T46" s="718"/>
      <c r="U46" s="718"/>
      <c r="V46" s="718"/>
      <c r="W46" s="718"/>
      <c r="X46" s="718"/>
      <c r="Y46" s="718"/>
      <c r="Z46" s="718"/>
      <c r="AA46" s="718"/>
      <c r="AB46" s="718"/>
      <c r="AC46" s="718"/>
      <c r="AD46" s="718"/>
      <c r="AE46" s="718"/>
      <c r="AF46" s="718"/>
      <c r="AG46" s="718"/>
      <c r="AH46" s="718"/>
      <c r="AI46" s="718"/>
      <c r="AJ46" s="718"/>
      <c r="AK46" s="718"/>
      <c r="AL46" s="718"/>
      <c r="AM46" s="718"/>
      <c r="AN46" s="718"/>
      <c r="AO46" s="718"/>
      <c r="AP46" s="718"/>
      <c r="AQ46" s="718"/>
      <c r="AR46" s="718"/>
      <c r="AS46" s="718"/>
      <c r="AT46" s="718"/>
      <c r="AU46" s="718"/>
      <c r="AV46" s="718"/>
      <c r="AW46" s="718"/>
      <c r="AX46" s="718"/>
      <c r="AY46" s="718"/>
      <c r="AZ46" s="718"/>
      <c r="BA46" s="718"/>
      <c r="BB46" s="718"/>
      <c r="BC46" s="718"/>
      <c r="BD46" s="718"/>
      <c r="BE46" s="718"/>
      <c r="BF46" s="718"/>
      <c r="BG46" s="718"/>
      <c r="BH46" s="718"/>
      <c r="BI46" s="718"/>
      <c r="BJ46" s="718"/>
      <c r="BK46" s="718"/>
      <c r="BL46" s="718"/>
      <c r="BM46" s="718"/>
      <c r="BN46" s="718"/>
      <c r="BO46" s="718"/>
      <c r="BP46" s="718"/>
      <c r="BQ46" s="718"/>
      <c r="BR46" s="718"/>
      <c r="BS46" s="718"/>
      <c r="BT46" s="718"/>
      <c r="BU46" s="718"/>
      <c r="BV46" s="719"/>
    </row>
    <row r="47" customFormat="false" ht="15" hidden="false" customHeight="true" outlineLevel="0" collapsed="false">
      <c r="A47" s="720" t="n">
        <v>4.9</v>
      </c>
      <c r="B47" s="721" t="s">
        <v>3870</v>
      </c>
      <c r="C47" s="721" t="s">
        <v>2573</v>
      </c>
      <c r="D47" s="722" t="n">
        <v>180</v>
      </c>
      <c r="E47" s="723" t="n">
        <f aca="false">F41</f>
        <v>46083</v>
      </c>
      <c r="F47" s="723" t="n">
        <f aca="false">E47+D47</f>
        <v>46263</v>
      </c>
      <c r="G47" s="723" t="n">
        <v>46263</v>
      </c>
      <c r="H47" s="724" t="n">
        <f aca="false">IF($G47="","",$F47-$G47)</f>
        <v>0</v>
      </c>
      <c r="I47" s="720" t="n">
        <v>4.3</v>
      </c>
      <c r="J47" s="725" t="n">
        <f aca="false">MIN(E106)-F47</f>
        <v>545</v>
      </c>
      <c r="K47" s="726" t="str">
        <f aca="false">IF($D47="","",IF($J47&lt;=0,"● CRITICAL",""))</f>
        <v/>
      </c>
      <c r="L47" s="727" t="n">
        <f aca="false">IF($B$4&gt;=F47,1,IF($B$4&lt;=E47,0,($B$4-E47)/(F47-E47)))</f>
        <v>0.672222222222222</v>
      </c>
      <c r="M47" s="721" t="str">
        <f aca="false">IF(L47&gt;=1,"Complete",IF(L47&gt;0,"In Progress","Not Started"))</f>
        <v>In Progress</v>
      </c>
      <c r="N47" s="728" t="s">
        <v>3865</v>
      </c>
      <c r="O47" s="717"/>
      <c r="P47" s="718"/>
      <c r="Q47" s="718"/>
      <c r="R47" s="718"/>
      <c r="S47" s="718"/>
      <c r="T47" s="718"/>
      <c r="U47" s="718"/>
      <c r="V47" s="718"/>
      <c r="W47" s="718"/>
      <c r="X47" s="718"/>
      <c r="Y47" s="718"/>
      <c r="Z47" s="718"/>
      <c r="AA47" s="718"/>
      <c r="AB47" s="718"/>
      <c r="AC47" s="718"/>
      <c r="AD47" s="718"/>
      <c r="AE47" s="718"/>
      <c r="AF47" s="718"/>
      <c r="AG47" s="718"/>
      <c r="AH47" s="718"/>
      <c r="AI47" s="718"/>
      <c r="AJ47" s="718"/>
      <c r="AK47" s="718"/>
      <c r="AL47" s="718"/>
      <c r="AM47" s="718"/>
      <c r="AN47" s="718"/>
      <c r="AO47" s="718"/>
      <c r="AP47" s="718"/>
      <c r="AQ47" s="718"/>
      <c r="AR47" s="718"/>
      <c r="AS47" s="718"/>
      <c r="AT47" s="718"/>
      <c r="AU47" s="718"/>
      <c r="AV47" s="718"/>
      <c r="AW47" s="718"/>
      <c r="AX47" s="718"/>
      <c r="AY47" s="718"/>
      <c r="AZ47" s="718"/>
      <c r="BA47" s="718"/>
      <c r="BB47" s="718"/>
      <c r="BC47" s="718"/>
      <c r="BD47" s="718"/>
      <c r="BE47" s="718"/>
      <c r="BF47" s="718"/>
      <c r="BG47" s="718"/>
      <c r="BH47" s="718"/>
      <c r="BI47" s="718"/>
      <c r="BJ47" s="718"/>
      <c r="BK47" s="718"/>
      <c r="BL47" s="718"/>
      <c r="BM47" s="718"/>
      <c r="BN47" s="718"/>
      <c r="BO47" s="718"/>
      <c r="BP47" s="718"/>
      <c r="BQ47" s="718"/>
      <c r="BR47" s="718"/>
      <c r="BS47" s="718"/>
      <c r="BT47" s="718"/>
      <c r="BU47" s="718"/>
      <c r="BV47" s="719"/>
    </row>
    <row r="48" customFormat="false" ht="15" hidden="false" customHeight="true" outlineLevel="0" collapsed="false">
      <c r="A48" s="720" t="n">
        <v>4.1</v>
      </c>
      <c r="B48" s="721" t="s">
        <v>3871</v>
      </c>
      <c r="C48" s="721" t="s">
        <v>2573</v>
      </c>
      <c r="D48" s="722" t="n">
        <v>240</v>
      </c>
      <c r="E48" s="723" t="n">
        <f aca="false">F41</f>
        <v>46083</v>
      </c>
      <c r="F48" s="723" t="n">
        <f aca="false">E48+D48</f>
        <v>46323</v>
      </c>
      <c r="G48" s="723" t="n">
        <v>46323</v>
      </c>
      <c r="H48" s="724" t="n">
        <f aca="false">IF($G48="","",$F48-$G48)</f>
        <v>0</v>
      </c>
      <c r="I48" s="720" t="n">
        <v>4.3</v>
      </c>
      <c r="J48" s="725" t="n">
        <f aca="false">MIN(E60,E107)-F48</f>
        <v>0</v>
      </c>
      <c r="K48" s="726" t="str">
        <f aca="false">IF($D48="","",IF($J48&lt;=0,"● CRITICAL",""))</f>
        <v>● CRITICAL</v>
      </c>
      <c r="L48" s="727" t="n">
        <f aca="false">IF($B$4&gt;=F48,1,IF($B$4&lt;=E48,0,($B$4-E48)/(F48-E48)))</f>
        <v>0.504166666666667</v>
      </c>
      <c r="M48" s="721" t="str">
        <f aca="false">IF(L48&gt;=1,"Complete",IF(L48&gt;0,"In Progress","Not Started"))</f>
        <v>In Progress</v>
      </c>
      <c r="N48" s="728" t="s">
        <v>3865</v>
      </c>
      <c r="O48" s="717"/>
      <c r="P48" s="718"/>
      <c r="Q48" s="718"/>
      <c r="R48" s="718"/>
      <c r="S48" s="718"/>
      <c r="T48" s="718"/>
      <c r="U48" s="718"/>
      <c r="V48" s="718"/>
      <c r="W48" s="718"/>
      <c r="X48" s="718"/>
      <c r="Y48" s="718"/>
      <c r="Z48" s="718"/>
      <c r="AA48" s="718"/>
      <c r="AB48" s="718"/>
      <c r="AC48" s="718"/>
      <c r="AD48" s="718"/>
      <c r="AE48" s="718"/>
      <c r="AF48" s="718"/>
      <c r="AG48" s="718"/>
      <c r="AH48" s="718"/>
      <c r="AI48" s="718"/>
      <c r="AJ48" s="718"/>
      <c r="AK48" s="718"/>
      <c r="AL48" s="718"/>
      <c r="AM48" s="718"/>
      <c r="AN48" s="718"/>
      <c r="AO48" s="718"/>
      <c r="AP48" s="718"/>
      <c r="AQ48" s="718"/>
      <c r="AR48" s="718"/>
      <c r="AS48" s="718"/>
      <c r="AT48" s="718"/>
      <c r="AU48" s="718"/>
      <c r="AV48" s="718"/>
      <c r="AW48" s="718"/>
      <c r="AX48" s="718"/>
      <c r="AY48" s="718"/>
      <c r="AZ48" s="718"/>
      <c r="BA48" s="718"/>
      <c r="BB48" s="718"/>
      <c r="BC48" s="718"/>
      <c r="BD48" s="718"/>
      <c r="BE48" s="718"/>
      <c r="BF48" s="718"/>
      <c r="BG48" s="718"/>
      <c r="BH48" s="718"/>
      <c r="BI48" s="718"/>
      <c r="BJ48" s="718"/>
      <c r="BK48" s="718"/>
      <c r="BL48" s="718"/>
      <c r="BM48" s="718"/>
      <c r="BN48" s="718"/>
      <c r="BO48" s="718"/>
      <c r="BP48" s="718"/>
      <c r="BQ48" s="718"/>
      <c r="BR48" s="718"/>
      <c r="BS48" s="718"/>
      <c r="BT48" s="718"/>
      <c r="BU48" s="718"/>
      <c r="BV48" s="719"/>
    </row>
    <row r="49" customFormat="false" ht="15" hidden="false" customHeight="true" outlineLevel="0" collapsed="false">
      <c r="A49" s="720" t="n">
        <v>4.11</v>
      </c>
      <c r="B49" s="721" t="s">
        <v>3872</v>
      </c>
      <c r="C49" s="721" t="s">
        <v>2573</v>
      </c>
      <c r="D49" s="722" t="n">
        <v>160</v>
      </c>
      <c r="E49" s="723" t="n">
        <f aca="false">F41</f>
        <v>46083</v>
      </c>
      <c r="F49" s="723" t="n">
        <f aca="false">E49+D49</f>
        <v>46243</v>
      </c>
      <c r="G49" s="723" t="n">
        <v>46243</v>
      </c>
      <c r="H49" s="724" t="n">
        <f aca="false">IF($G49="","",$F49-$G49)</f>
        <v>0</v>
      </c>
      <c r="I49" s="720" t="n">
        <v>4.3</v>
      </c>
      <c r="J49" s="725" t="n">
        <f aca="false">MIN(E108,E109)-F49</f>
        <v>565</v>
      </c>
      <c r="K49" s="726" t="str">
        <f aca="false">IF($D49="","",IF($J49&lt;=0,"● CRITICAL",""))</f>
        <v/>
      </c>
      <c r="L49" s="727" t="n">
        <f aca="false">IF($B$4&gt;=F49,1,IF($B$4&lt;=E49,0,($B$4-E49)/(F49-E49)))</f>
        <v>0.75625</v>
      </c>
      <c r="M49" s="721" t="str">
        <f aca="false">IF(L49&gt;=1,"Complete",IF(L49&gt;0,"In Progress","Not Started"))</f>
        <v>In Progress</v>
      </c>
      <c r="N49" s="728" t="s">
        <v>3865</v>
      </c>
      <c r="O49" s="717"/>
      <c r="P49" s="718"/>
      <c r="Q49" s="718"/>
      <c r="R49" s="718"/>
      <c r="S49" s="718"/>
      <c r="T49" s="718"/>
      <c r="U49" s="718"/>
      <c r="V49" s="718"/>
      <c r="W49" s="718"/>
      <c r="X49" s="718"/>
      <c r="Y49" s="718"/>
      <c r="Z49" s="718"/>
      <c r="AA49" s="718"/>
      <c r="AB49" s="718"/>
      <c r="AC49" s="718"/>
      <c r="AD49" s="718"/>
      <c r="AE49" s="718"/>
      <c r="AF49" s="718"/>
      <c r="AG49" s="718"/>
      <c r="AH49" s="718"/>
      <c r="AI49" s="718"/>
      <c r="AJ49" s="718"/>
      <c r="AK49" s="718"/>
      <c r="AL49" s="718"/>
      <c r="AM49" s="718"/>
      <c r="AN49" s="718"/>
      <c r="AO49" s="718"/>
      <c r="AP49" s="718"/>
      <c r="AQ49" s="718"/>
      <c r="AR49" s="718"/>
      <c r="AS49" s="718"/>
      <c r="AT49" s="718"/>
      <c r="AU49" s="718"/>
      <c r="AV49" s="718"/>
      <c r="AW49" s="718"/>
      <c r="AX49" s="718"/>
      <c r="AY49" s="718"/>
      <c r="AZ49" s="718"/>
      <c r="BA49" s="718"/>
      <c r="BB49" s="718"/>
      <c r="BC49" s="718"/>
      <c r="BD49" s="718"/>
      <c r="BE49" s="718"/>
      <c r="BF49" s="718"/>
      <c r="BG49" s="718"/>
      <c r="BH49" s="718"/>
      <c r="BI49" s="718"/>
      <c r="BJ49" s="718"/>
      <c r="BK49" s="718"/>
      <c r="BL49" s="718"/>
      <c r="BM49" s="718"/>
      <c r="BN49" s="718"/>
      <c r="BO49" s="718"/>
      <c r="BP49" s="718"/>
      <c r="BQ49" s="718"/>
      <c r="BR49" s="718"/>
      <c r="BS49" s="718"/>
      <c r="BT49" s="718"/>
      <c r="BU49" s="718"/>
      <c r="BV49" s="719"/>
    </row>
    <row r="50" customFormat="false" ht="15" hidden="false" customHeight="true" outlineLevel="0" collapsed="false">
      <c r="A50" s="720" t="n">
        <v>4.12</v>
      </c>
      <c r="B50" s="721" t="s">
        <v>3873</v>
      </c>
      <c r="C50" s="721" t="s">
        <v>2573</v>
      </c>
      <c r="D50" s="722" t="n">
        <v>200</v>
      </c>
      <c r="E50" s="723" t="n">
        <f aca="false">F41</f>
        <v>46083</v>
      </c>
      <c r="F50" s="723" t="n">
        <f aca="false">E50+D50</f>
        <v>46283</v>
      </c>
      <c r="G50" s="723" t="n">
        <v>46283</v>
      </c>
      <c r="H50" s="724" t="n">
        <f aca="false">IF($G50="","",$F50-$G50)</f>
        <v>0</v>
      </c>
      <c r="I50" s="720" t="n">
        <v>4.3</v>
      </c>
      <c r="J50" s="725" t="n">
        <f aca="false">MIN(E116)-F50</f>
        <v>345</v>
      </c>
      <c r="K50" s="726" t="str">
        <f aca="false">IF($D50="","",IF($J50&lt;=0,"● CRITICAL",""))</f>
        <v/>
      </c>
      <c r="L50" s="727" t="n">
        <f aca="false">IF($B$4&gt;=F50,1,IF($B$4&lt;=E50,0,($B$4-E50)/(F50-E50)))</f>
        <v>0.605</v>
      </c>
      <c r="M50" s="721" t="str">
        <f aca="false">IF(L50&gt;=1,"Complete",IF(L50&gt;0,"In Progress","Not Started"))</f>
        <v>In Progress</v>
      </c>
      <c r="N50" s="728" t="s">
        <v>3865</v>
      </c>
      <c r="O50" s="717"/>
      <c r="P50" s="718"/>
      <c r="Q50" s="718"/>
      <c r="R50" s="718"/>
      <c r="S50" s="718"/>
      <c r="T50" s="718"/>
      <c r="U50" s="718"/>
      <c r="V50" s="718"/>
      <c r="W50" s="718"/>
      <c r="X50" s="718"/>
      <c r="Y50" s="718"/>
      <c r="Z50" s="718"/>
      <c r="AA50" s="718"/>
      <c r="AB50" s="718"/>
      <c r="AC50" s="718"/>
      <c r="AD50" s="718"/>
      <c r="AE50" s="718"/>
      <c r="AF50" s="718"/>
      <c r="AG50" s="718"/>
      <c r="AH50" s="718"/>
      <c r="AI50" s="718"/>
      <c r="AJ50" s="718"/>
      <c r="AK50" s="718"/>
      <c r="AL50" s="718"/>
      <c r="AM50" s="718"/>
      <c r="AN50" s="718"/>
      <c r="AO50" s="718"/>
      <c r="AP50" s="718"/>
      <c r="AQ50" s="718"/>
      <c r="AR50" s="718"/>
      <c r="AS50" s="718"/>
      <c r="AT50" s="718"/>
      <c r="AU50" s="718"/>
      <c r="AV50" s="718"/>
      <c r="AW50" s="718"/>
      <c r="AX50" s="718"/>
      <c r="AY50" s="718"/>
      <c r="AZ50" s="718"/>
      <c r="BA50" s="718"/>
      <c r="BB50" s="718"/>
      <c r="BC50" s="718"/>
      <c r="BD50" s="718"/>
      <c r="BE50" s="718"/>
      <c r="BF50" s="718"/>
      <c r="BG50" s="718"/>
      <c r="BH50" s="718"/>
      <c r="BI50" s="718"/>
      <c r="BJ50" s="718"/>
      <c r="BK50" s="718"/>
      <c r="BL50" s="718"/>
      <c r="BM50" s="718"/>
      <c r="BN50" s="718"/>
      <c r="BO50" s="718"/>
      <c r="BP50" s="718"/>
      <c r="BQ50" s="718"/>
      <c r="BR50" s="718"/>
      <c r="BS50" s="718"/>
      <c r="BT50" s="718"/>
      <c r="BU50" s="718"/>
      <c r="BV50" s="719"/>
    </row>
    <row r="51" customFormat="false" ht="15" hidden="false" customHeight="true" outlineLevel="0" collapsed="false">
      <c r="A51" s="720" t="n">
        <v>4.13</v>
      </c>
      <c r="B51" s="721" t="s">
        <v>3874</v>
      </c>
      <c r="C51" s="721" t="s">
        <v>2573</v>
      </c>
      <c r="D51" s="722" t="n">
        <v>170</v>
      </c>
      <c r="E51" s="723" t="n">
        <f aca="false">F41</f>
        <v>46083</v>
      </c>
      <c r="F51" s="723" t="n">
        <f aca="false">E51+D51</f>
        <v>46253</v>
      </c>
      <c r="G51" s="723" t="n">
        <v>46253</v>
      </c>
      <c r="H51" s="724" t="n">
        <f aca="false">IF($G51="","",$F51-$G51)</f>
        <v>0</v>
      </c>
      <c r="I51" s="720" t="n">
        <v>4.3</v>
      </c>
      <c r="J51" s="725" t="n">
        <f aca="false">MIN(E117)-F51</f>
        <v>495</v>
      </c>
      <c r="K51" s="726" t="str">
        <f aca="false">IF($D51="","",IF($J51&lt;=0,"● CRITICAL",""))</f>
        <v/>
      </c>
      <c r="L51" s="727" t="n">
        <f aca="false">IF($B$4&gt;=F51,1,IF($B$4&lt;=E51,0,($B$4-E51)/(F51-E51)))</f>
        <v>0.711764705882353</v>
      </c>
      <c r="M51" s="721" t="str">
        <f aca="false">IF(L51&gt;=1,"Complete",IF(L51&gt;0,"In Progress","Not Started"))</f>
        <v>In Progress</v>
      </c>
      <c r="N51" s="728" t="s">
        <v>3865</v>
      </c>
      <c r="O51" s="717"/>
      <c r="P51" s="718"/>
      <c r="Q51" s="718"/>
      <c r="R51" s="718"/>
      <c r="S51" s="718"/>
      <c r="T51" s="718"/>
      <c r="U51" s="718"/>
      <c r="V51" s="718"/>
      <c r="W51" s="718"/>
      <c r="X51" s="718"/>
      <c r="Y51" s="718"/>
      <c r="Z51" s="718"/>
      <c r="AA51" s="718"/>
      <c r="AB51" s="718"/>
      <c r="AC51" s="718"/>
      <c r="AD51" s="718"/>
      <c r="AE51" s="718"/>
      <c r="AF51" s="718"/>
      <c r="AG51" s="718"/>
      <c r="AH51" s="718"/>
      <c r="AI51" s="718"/>
      <c r="AJ51" s="718"/>
      <c r="AK51" s="718"/>
      <c r="AL51" s="718"/>
      <c r="AM51" s="718"/>
      <c r="AN51" s="718"/>
      <c r="AO51" s="718"/>
      <c r="AP51" s="718"/>
      <c r="AQ51" s="718"/>
      <c r="AR51" s="718"/>
      <c r="AS51" s="718"/>
      <c r="AT51" s="718"/>
      <c r="AU51" s="718"/>
      <c r="AV51" s="718"/>
      <c r="AW51" s="718"/>
      <c r="AX51" s="718"/>
      <c r="AY51" s="718"/>
      <c r="AZ51" s="718"/>
      <c r="BA51" s="718"/>
      <c r="BB51" s="718"/>
      <c r="BC51" s="718"/>
      <c r="BD51" s="718"/>
      <c r="BE51" s="718"/>
      <c r="BF51" s="718"/>
      <c r="BG51" s="718"/>
      <c r="BH51" s="718"/>
      <c r="BI51" s="718"/>
      <c r="BJ51" s="718"/>
      <c r="BK51" s="718"/>
      <c r="BL51" s="718"/>
      <c r="BM51" s="718"/>
      <c r="BN51" s="718"/>
      <c r="BO51" s="718"/>
      <c r="BP51" s="718"/>
      <c r="BQ51" s="718"/>
      <c r="BR51" s="718"/>
      <c r="BS51" s="718"/>
      <c r="BT51" s="718"/>
      <c r="BU51" s="718"/>
      <c r="BV51" s="719"/>
    </row>
    <row r="52" customFormat="false" ht="15" hidden="false" customHeight="true" outlineLevel="0" collapsed="false">
      <c r="A52" s="720" t="n">
        <v>4.14</v>
      </c>
      <c r="B52" s="721" t="s">
        <v>3875</v>
      </c>
      <c r="C52" s="721" t="s">
        <v>2573</v>
      </c>
      <c r="D52" s="722" t="n">
        <v>150</v>
      </c>
      <c r="E52" s="723" t="n">
        <f aca="false">F41</f>
        <v>46083</v>
      </c>
      <c r="F52" s="723" t="n">
        <f aca="false">E52+D52</f>
        <v>46233</v>
      </c>
      <c r="G52" s="723" t="n">
        <v>46233</v>
      </c>
      <c r="H52" s="724" t="n">
        <f aca="false">IF($G52="","",$F52-$G52)</f>
        <v>0</v>
      </c>
      <c r="I52" s="720" t="n">
        <v>4.3</v>
      </c>
      <c r="J52" s="725" t="n">
        <f aca="false">MIN(E119)-F52</f>
        <v>615</v>
      </c>
      <c r="K52" s="726" t="str">
        <f aca="false">IF($D52="","",IF($J52&lt;=0,"● CRITICAL",""))</f>
        <v/>
      </c>
      <c r="L52" s="727" t="n">
        <f aca="false">IF($B$4&gt;=F52,1,IF($B$4&lt;=E52,0,($B$4-E52)/(F52-E52)))</f>
        <v>0.806666666666667</v>
      </c>
      <c r="M52" s="721" t="str">
        <f aca="false">IF(L52&gt;=1,"Complete",IF(L52&gt;0,"In Progress","Not Started"))</f>
        <v>In Progress</v>
      </c>
      <c r="N52" s="728" t="s">
        <v>3865</v>
      </c>
      <c r="O52" s="717"/>
      <c r="P52" s="718"/>
      <c r="Q52" s="718"/>
      <c r="R52" s="718"/>
      <c r="S52" s="718"/>
      <c r="T52" s="718"/>
      <c r="U52" s="718"/>
      <c r="V52" s="718"/>
      <c r="W52" s="718"/>
      <c r="X52" s="718"/>
      <c r="Y52" s="718"/>
      <c r="Z52" s="718"/>
      <c r="AA52" s="718"/>
      <c r="AB52" s="718"/>
      <c r="AC52" s="718"/>
      <c r="AD52" s="718"/>
      <c r="AE52" s="718"/>
      <c r="AF52" s="718"/>
      <c r="AG52" s="718"/>
      <c r="AH52" s="718"/>
      <c r="AI52" s="718"/>
      <c r="AJ52" s="718"/>
      <c r="AK52" s="718"/>
      <c r="AL52" s="718"/>
      <c r="AM52" s="718"/>
      <c r="AN52" s="718"/>
      <c r="AO52" s="718"/>
      <c r="AP52" s="718"/>
      <c r="AQ52" s="718"/>
      <c r="AR52" s="718"/>
      <c r="AS52" s="718"/>
      <c r="AT52" s="718"/>
      <c r="AU52" s="718"/>
      <c r="AV52" s="718"/>
      <c r="AW52" s="718"/>
      <c r="AX52" s="718"/>
      <c r="AY52" s="718"/>
      <c r="AZ52" s="718"/>
      <c r="BA52" s="718"/>
      <c r="BB52" s="718"/>
      <c r="BC52" s="718"/>
      <c r="BD52" s="718"/>
      <c r="BE52" s="718"/>
      <c r="BF52" s="718"/>
      <c r="BG52" s="718"/>
      <c r="BH52" s="718"/>
      <c r="BI52" s="718"/>
      <c r="BJ52" s="718"/>
      <c r="BK52" s="718"/>
      <c r="BL52" s="718"/>
      <c r="BM52" s="718"/>
      <c r="BN52" s="718"/>
      <c r="BO52" s="718"/>
      <c r="BP52" s="718"/>
      <c r="BQ52" s="718"/>
      <c r="BR52" s="718"/>
      <c r="BS52" s="718"/>
      <c r="BT52" s="718"/>
      <c r="BU52" s="718"/>
      <c r="BV52" s="719"/>
    </row>
    <row r="53" customFormat="false" ht="15" hidden="false" customHeight="true" outlineLevel="0" collapsed="false">
      <c r="A53" s="720" t="n">
        <v>4.15</v>
      </c>
      <c r="B53" s="721" t="s">
        <v>3876</v>
      </c>
      <c r="C53" s="721" t="s">
        <v>2573</v>
      </c>
      <c r="D53" s="722" t="n">
        <v>180</v>
      </c>
      <c r="E53" s="723" t="n">
        <f aca="false">F41</f>
        <v>46083</v>
      </c>
      <c r="F53" s="723" t="n">
        <f aca="false">E53+D53</f>
        <v>46263</v>
      </c>
      <c r="G53" s="723" t="n">
        <v>46263</v>
      </c>
      <c r="H53" s="724" t="n">
        <f aca="false">IF($G53="","",$F53-$G53)</f>
        <v>0</v>
      </c>
      <c r="I53" s="720" t="n">
        <v>4.3</v>
      </c>
      <c r="J53" s="725" t="n">
        <f aca="false">MIN(E120)-F53</f>
        <v>585</v>
      </c>
      <c r="K53" s="726" t="str">
        <f aca="false">IF($D53="","",IF($J53&lt;=0,"● CRITICAL",""))</f>
        <v/>
      </c>
      <c r="L53" s="727" t="n">
        <f aca="false">IF($B$4&gt;=F53,1,IF($B$4&lt;=E53,0,($B$4-E53)/(F53-E53)))</f>
        <v>0.672222222222222</v>
      </c>
      <c r="M53" s="721" t="str">
        <f aca="false">IF(L53&gt;=1,"Complete",IF(L53&gt;0,"In Progress","Not Started"))</f>
        <v>In Progress</v>
      </c>
      <c r="N53" s="728" t="s">
        <v>3865</v>
      </c>
      <c r="O53" s="717"/>
      <c r="P53" s="718"/>
      <c r="Q53" s="718"/>
      <c r="R53" s="718"/>
      <c r="S53" s="718"/>
      <c r="T53" s="718"/>
      <c r="U53" s="718"/>
      <c r="V53" s="718"/>
      <c r="W53" s="718"/>
      <c r="X53" s="718"/>
      <c r="Y53" s="718"/>
      <c r="Z53" s="718"/>
      <c r="AA53" s="718"/>
      <c r="AB53" s="718"/>
      <c r="AC53" s="718"/>
      <c r="AD53" s="718"/>
      <c r="AE53" s="718"/>
      <c r="AF53" s="718"/>
      <c r="AG53" s="718"/>
      <c r="AH53" s="718"/>
      <c r="AI53" s="718"/>
      <c r="AJ53" s="718"/>
      <c r="AK53" s="718"/>
      <c r="AL53" s="718"/>
      <c r="AM53" s="718"/>
      <c r="AN53" s="718"/>
      <c r="AO53" s="718"/>
      <c r="AP53" s="718"/>
      <c r="AQ53" s="718"/>
      <c r="AR53" s="718"/>
      <c r="AS53" s="718"/>
      <c r="AT53" s="718"/>
      <c r="AU53" s="718"/>
      <c r="AV53" s="718"/>
      <c r="AW53" s="718"/>
      <c r="AX53" s="718"/>
      <c r="AY53" s="718"/>
      <c r="AZ53" s="718"/>
      <c r="BA53" s="718"/>
      <c r="BB53" s="718"/>
      <c r="BC53" s="718"/>
      <c r="BD53" s="718"/>
      <c r="BE53" s="718"/>
      <c r="BF53" s="718"/>
      <c r="BG53" s="718"/>
      <c r="BH53" s="718"/>
      <c r="BI53" s="718"/>
      <c r="BJ53" s="718"/>
      <c r="BK53" s="718"/>
      <c r="BL53" s="718"/>
      <c r="BM53" s="718"/>
      <c r="BN53" s="718"/>
      <c r="BO53" s="718"/>
      <c r="BP53" s="718"/>
      <c r="BQ53" s="718"/>
      <c r="BR53" s="718"/>
      <c r="BS53" s="718"/>
      <c r="BT53" s="718"/>
      <c r="BU53" s="718"/>
      <c r="BV53" s="719"/>
    </row>
    <row r="54" customFormat="false" ht="15" hidden="false" customHeight="true" outlineLevel="0" collapsed="false">
      <c r="A54" s="720" t="n">
        <v>4.16</v>
      </c>
      <c r="B54" s="721" t="s">
        <v>3877</v>
      </c>
      <c r="C54" s="721" t="s">
        <v>2573</v>
      </c>
      <c r="D54" s="722" t="n">
        <v>160</v>
      </c>
      <c r="E54" s="723" t="n">
        <f aca="false">F41</f>
        <v>46083</v>
      </c>
      <c r="F54" s="723" t="n">
        <f aca="false">E54+D54</f>
        <v>46243</v>
      </c>
      <c r="G54" s="723" t="n">
        <v>46243</v>
      </c>
      <c r="H54" s="724" t="n">
        <f aca="false">IF($G54="","",$F54-$G54)</f>
        <v>0</v>
      </c>
      <c r="I54" s="720" t="n">
        <v>4.3</v>
      </c>
      <c r="J54" s="725" t="n">
        <f aca="false">MIN(E121)-F54</f>
        <v>505</v>
      </c>
      <c r="K54" s="726" t="str">
        <f aca="false">IF($D54="","",IF($J54&lt;=0,"● CRITICAL",""))</f>
        <v/>
      </c>
      <c r="L54" s="727" t="n">
        <f aca="false">IF($B$4&gt;=F54,1,IF($B$4&lt;=E54,0,($B$4-E54)/(F54-E54)))</f>
        <v>0.75625</v>
      </c>
      <c r="M54" s="721" t="str">
        <f aca="false">IF(L54&gt;=1,"Complete",IF(L54&gt;0,"In Progress","Not Started"))</f>
        <v>In Progress</v>
      </c>
      <c r="N54" s="728" t="s">
        <v>3865</v>
      </c>
      <c r="O54" s="717"/>
      <c r="P54" s="718"/>
      <c r="Q54" s="718"/>
      <c r="R54" s="718"/>
      <c r="S54" s="718"/>
      <c r="T54" s="718"/>
      <c r="U54" s="718"/>
      <c r="V54" s="718"/>
      <c r="W54" s="718"/>
      <c r="X54" s="718"/>
      <c r="Y54" s="718"/>
      <c r="Z54" s="718"/>
      <c r="AA54" s="718"/>
      <c r="AB54" s="718"/>
      <c r="AC54" s="718"/>
      <c r="AD54" s="718"/>
      <c r="AE54" s="718"/>
      <c r="AF54" s="718"/>
      <c r="AG54" s="718"/>
      <c r="AH54" s="718"/>
      <c r="AI54" s="718"/>
      <c r="AJ54" s="718"/>
      <c r="AK54" s="718"/>
      <c r="AL54" s="718"/>
      <c r="AM54" s="718"/>
      <c r="AN54" s="718"/>
      <c r="AO54" s="718"/>
      <c r="AP54" s="718"/>
      <c r="AQ54" s="718"/>
      <c r="AR54" s="718"/>
      <c r="AS54" s="718"/>
      <c r="AT54" s="718"/>
      <c r="AU54" s="718"/>
      <c r="AV54" s="718"/>
      <c r="AW54" s="718"/>
      <c r="AX54" s="718"/>
      <c r="AY54" s="718"/>
      <c r="AZ54" s="718"/>
      <c r="BA54" s="718"/>
      <c r="BB54" s="718"/>
      <c r="BC54" s="718"/>
      <c r="BD54" s="718"/>
      <c r="BE54" s="718"/>
      <c r="BF54" s="718"/>
      <c r="BG54" s="718"/>
      <c r="BH54" s="718"/>
      <c r="BI54" s="718"/>
      <c r="BJ54" s="718"/>
      <c r="BK54" s="718"/>
      <c r="BL54" s="718"/>
      <c r="BM54" s="718"/>
      <c r="BN54" s="718"/>
      <c r="BO54" s="718"/>
      <c r="BP54" s="718"/>
      <c r="BQ54" s="718"/>
      <c r="BR54" s="718"/>
      <c r="BS54" s="718"/>
      <c r="BT54" s="718"/>
      <c r="BU54" s="718"/>
      <c r="BV54" s="719"/>
    </row>
    <row r="55" customFormat="false" ht="15" hidden="false" customHeight="true" outlineLevel="0" collapsed="false">
      <c r="A55" s="720" t="n">
        <v>4.17</v>
      </c>
      <c r="B55" s="721" t="s">
        <v>3878</v>
      </c>
      <c r="C55" s="721" t="s">
        <v>2573</v>
      </c>
      <c r="D55" s="722" t="n">
        <v>140</v>
      </c>
      <c r="E55" s="723" t="n">
        <f aca="false">F41</f>
        <v>46083</v>
      </c>
      <c r="F55" s="723" t="n">
        <f aca="false">E55+D55</f>
        <v>46223</v>
      </c>
      <c r="G55" s="723" t="n">
        <v>46223</v>
      </c>
      <c r="H55" s="724" t="n">
        <f aca="false">IF($G55="","",$F55-$G55)</f>
        <v>0</v>
      </c>
      <c r="I55" s="720" t="n">
        <v>4.3</v>
      </c>
      <c r="J55" s="725" t="n">
        <f aca="false">$F$166-F55</f>
        <v>950</v>
      </c>
      <c r="K55" s="726" t="str">
        <f aca="false">IF($D55="","",IF($J55&lt;=0,"● CRITICAL",""))</f>
        <v/>
      </c>
      <c r="L55" s="727" t="n">
        <f aca="false">IF($B$4&gt;=F55,1,IF($B$4&lt;=E55,0,($B$4-E55)/(F55-E55)))</f>
        <v>0.864285714285714</v>
      </c>
      <c r="M55" s="721" t="str">
        <f aca="false">IF(L55&gt;=1,"Complete",IF(L55&gt;0,"In Progress","Not Started"))</f>
        <v>In Progress</v>
      </c>
      <c r="N55" s="728" t="s">
        <v>3865</v>
      </c>
      <c r="O55" s="717"/>
      <c r="P55" s="718"/>
      <c r="Q55" s="718"/>
      <c r="R55" s="718"/>
      <c r="S55" s="718"/>
      <c r="T55" s="718"/>
      <c r="U55" s="718"/>
      <c r="V55" s="718"/>
      <c r="W55" s="718"/>
      <c r="X55" s="718"/>
      <c r="Y55" s="718"/>
      <c r="Z55" s="718"/>
      <c r="AA55" s="718"/>
      <c r="AB55" s="718"/>
      <c r="AC55" s="718"/>
      <c r="AD55" s="718"/>
      <c r="AE55" s="718"/>
      <c r="AF55" s="718"/>
      <c r="AG55" s="718"/>
      <c r="AH55" s="718"/>
      <c r="AI55" s="718"/>
      <c r="AJ55" s="718"/>
      <c r="AK55" s="718"/>
      <c r="AL55" s="718"/>
      <c r="AM55" s="718"/>
      <c r="AN55" s="718"/>
      <c r="AO55" s="718"/>
      <c r="AP55" s="718"/>
      <c r="AQ55" s="718"/>
      <c r="AR55" s="718"/>
      <c r="AS55" s="718"/>
      <c r="AT55" s="718"/>
      <c r="AU55" s="718"/>
      <c r="AV55" s="718"/>
      <c r="AW55" s="718"/>
      <c r="AX55" s="718"/>
      <c r="AY55" s="718"/>
      <c r="AZ55" s="718"/>
      <c r="BA55" s="718"/>
      <c r="BB55" s="718"/>
      <c r="BC55" s="718"/>
      <c r="BD55" s="718"/>
      <c r="BE55" s="718"/>
      <c r="BF55" s="718"/>
      <c r="BG55" s="718"/>
      <c r="BH55" s="718"/>
      <c r="BI55" s="718"/>
      <c r="BJ55" s="718"/>
      <c r="BK55" s="718"/>
      <c r="BL55" s="718"/>
      <c r="BM55" s="718"/>
      <c r="BN55" s="718"/>
      <c r="BO55" s="718"/>
      <c r="BP55" s="718"/>
      <c r="BQ55" s="718"/>
      <c r="BR55" s="718"/>
      <c r="BS55" s="718"/>
      <c r="BT55" s="718"/>
      <c r="BU55" s="718"/>
      <c r="BV55" s="719"/>
    </row>
    <row r="56" customFormat="false" ht="15" hidden="false" customHeight="true" outlineLevel="0" collapsed="false">
      <c r="A56" s="720" t="n">
        <v>4.18</v>
      </c>
      <c r="B56" s="721" t="s">
        <v>3879</v>
      </c>
      <c r="C56" s="721" t="s">
        <v>2573</v>
      </c>
      <c r="D56" s="722" t="n">
        <v>120</v>
      </c>
      <c r="E56" s="723" t="n">
        <f aca="false">F41</f>
        <v>46083</v>
      </c>
      <c r="F56" s="723" t="n">
        <f aca="false">E56+D56</f>
        <v>46203</v>
      </c>
      <c r="G56" s="723" t="n">
        <v>46203</v>
      </c>
      <c r="H56" s="724" t="n">
        <f aca="false">IF($G56="","",$F56-$G56)</f>
        <v>0</v>
      </c>
      <c r="I56" s="720" t="n">
        <v>4.3</v>
      </c>
      <c r="J56" s="725" t="n">
        <f aca="false">MIN(E139,E140,E141)-F56</f>
        <v>575</v>
      </c>
      <c r="K56" s="726" t="str">
        <f aca="false">IF($D56="","",IF($J56&lt;=0,"● CRITICAL",""))</f>
        <v/>
      </c>
      <c r="L56" s="727" t="n">
        <f aca="false">IF($B$4&gt;=F56,1,IF($B$4&lt;=E56,0,($B$4-E56)/(F56-E56)))</f>
        <v>1</v>
      </c>
      <c r="M56" s="721" t="str">
        <f aca="false">IF(L56&gt;=1,"Complete",IF(L56&gt;0,"In Progress","Not Started"))</f>
        <v>Complete</v>
      </c>
      <c r="N56" s="728" t="s">
        <v>3880</v>
      </c>
      <c r="O56" s="717"/>
      <c r="P56" s="718"/>
      <c r="Q56" s="718"/>
      <c r="R56" s="718"/>
      <c r="S56" s="718"/>
      <c r="T56" s="718"/>
      <c r="U56" s="718"/>
      <c r="V56" s="718"/>
      <c r="W56" s="718"/>
      <c r="X56" s="718"/>
      <c r="Y56" s="718"/>
      <c r="Z56" s="718"/>
      <c r="AA56" s="718"/>
      <c r="AB56" s="718"/>
      <c r="AC56" s="718"/>
      <c r="AD56" s="718"/>
      <c r="AE56" s="718"/>
      <c r="AF56" s="718"/>
      <c r="AG56" s="718"/>
      <c r="AH56" s="718"/>
      <c r="AI56" s="718"/>
      <c r="AJ56" s="718"/>
      <c r="AK56" s="718"/>
      <c r="AL56" s="718"/>
      <c r="AM56" s="718"/>
      <c r="AN56" s="718"/>
      <c r="AO56" s="718"/>
      <c r="AP56" s="718"/>
      <c r="AQ56" s="718"/>
      <c r="AR56" s="718"/>
      <c r="AS56" s="718"/>
      <c r="AT56" s="718"/>
      <c r="AU56" s="718"/>
      <c r="AV56" s="718"/>
      <c r="AW56" s="718"/>
      <c r="AX56" s="718"/>
      <c r="AY56" s="718"/>
      <c r="AZ56" s="718"/>
      <c r="BA56" s="718"/>
      <c r="BB56" s="718"/>
      <c r="BC56" s="718"/>
      <c r="BD56" s="718"/>
      <c r="BE56" s="718"/>
      <c r="BF56" s="718"/>
      <c r="BG56" s="718"/>
      <c r="BH56" s="718"/>
      <c r="BI56" s="718"/>
      <c r="BJ56" s="718"/>
      <c r="BK56" s="718"/>
      <c r="BL56" s="718"/>
      <c r="BM56" s="718"/>
      <c r="BN56" s="718"/>
      <c r="BO56" s="718"/>
      <c r="BP56" s="718"/>
      <c r="BQ56" s="718"/>
      <c r="BR56" s="718"/>
      <c r="BS56" s="718"/>
      <c r="BT56" s="718"/>
      <c r="BU56" s="718"/>
      <c r="BV56" s="719"/>
    </row>
    <row r="57" customFormat="false" ht="15" hidden="false" customHeight="true" outlineLevel="0" collapsed="false">
      <c r="A57" s="729" t="s">
        <v>3881</v>
      </c>
      <c r="B57" s="721" t="s">
        <v>3882</v>
      </c>
      <c r="C57" s="721" t="s">
        <v>2573</v>
      </c>
      <c r="D57" s="722" t="n">
        <v>180</v>
      </c>
      <c r="E57" s="723" t="n">
        <f aca="false">F41</f>
        <v>46083</v>
      </c>
      <c r="F57" s="723" t="n">
        <f aca="false">E57+D57</f>
        <v>46263</v>
      </c>
      <c r="G57" s="723" t="n">
        <v>46263</v>
      </c>
      <c r="H57" s="724" t="n">
        <f aca="false">IF($G57="","",$F57-$G57)</f>
        <v>0</v>
      </c>
      <c r="I57" s="729" t="s">
        <v>3883</v>
      </c>
      <c r="J57" s="725" t="n">
        <f aca="false">$F$166-F57</f>
        <v>910</v>
      </c>
      <c r="K57" s="726" t="str">
        <f aca="false">IF($D57="","",IF($J57&lt;=0,"● CRITICAL",""))</f>
        <v/>
      </c>
      <c r="L57" s="727" t="n">
        <f aca="false">IF($B$4&gt;=F57,1,IF($B$4&lt;=E57,0,($B$4-E57)/(F57-E57)))</f>
        <v>0.672222222222222</v>
      </c>
      <c r="M57" s="721" t="str">
        <f aca="false">IF(L57&gt;=1,"Complete",IF(L57&gt;0,"In Progress","Not Started"))</f>
        <v>In Progress</v>
      </c>
      <c r="N57" s="728" t="s">
        <v>3865</v>
      </c>
      <c r="O57" s="717"/>
      <c r="P57" s="718"/>
      <c r="Q57" s="718"/>
      <c r="R57" s="718"/>
      <c r="S57" s="718"/>
      <c r="T57" s="718"/>
      <c r="U57" s="718"/>
      <c r="V57" s="718"/>
      <c r="W57" s="718"/>
      <c r="X57" s="718"/>
      <c r="Y57" s="718"/>
      <c r="Z57" s="718"/>
      <c r="AA57" s="718"/>
      <c r="AB57" s="718"/>
      <c r="AC57" s="730"/>
      <c r="AD57" s="730"/>
      <c r="AE57" s="730"/>
      <c r="AF57" s="730"/>
      <c r="AG57" s="730"/>
      <c r="AH57" s="730"/>
      <c r="AI57" s="718"/>
      <c r="AJ57" s="718"/>
      <c r="AK57" s="718"/>
      <c r="AL57" s="718"/>
      <c r="AM57" s="718"/>
      <c r="AN57" s="718"/>
      <c r="AO57" s="718"/>
      <c r="AP57" s="718"/>
      <c r="AQ57" s="718"/>
      <c r="AR57" s="718"/>
      <c r="AS57" s="718"/>
      <c r="AT57" s="718"/>
      <c r="AU57" s="718"/>
      <c r="AV57" s="718"/>
      <c r="AW57" s="718"/>
      <c r="AX57" s="718"/>
      <c r="AY57" s="718"/>
      <c r="AZ57" s="718"/>
      <c r="BA57" s="718"/>
      <c r="BB57" s="718"/>
      <c r="BC57" s="718"/>
      <c r="BD57" s="718"/>
      <c r="BE57" s="718"/>
      <c r="BF57" s="718"/>
      <c r="BG57" s="718"/>
      <c r="BH57" s="718"/>
      <c r="BI57" s="718"/>
      <c r="BJ57" s="718"/>
      <c r="BK57" s="718"/>
      <c r="BL57" s="718"/>
      <c r="BM57" s="718"/>
      <c r="BN57" s="718"/>
      <c r="BO57" s="718"/>
      <c r="BP57" s="718"/>
      <c r="BQ57" s="718"/>
      <c r="BR57" s="718"/>
      <c r="BS57" s="718"/>
      <c r="BT57" s="718"/>
      <c r="BU57" s="718"/>
      <c r="BV57" s="719"/>
    </row>
    <row r="58" customFormat="false" ht="15" hidden="false" customHeight="true" outlineLevel="0" collapsed="false">
      <c r="A58" s="729" t="s">
        <v>3884</v>
      </c>
      <c r="B58" s="721" t="s">
        <v>3885</v>
      </c>
      <c r="C58" s="721" t="s">
        <v>3886</v>
      </c>
      <c r="D58" s="722" t="n">
        <v>90</v>
      </c>
      <c r="E58" s="723" t="n">
        <f aca="false">F40</f>
        <v>46173</v>
      </c>
      <c r="F58" s="723" t="n">
        <f aca="false">E58+D58</f>
        <v>46263</v>
      </c>
      <c r="G58" s="723" t="n">
        <v>46263</v>
      </c>
      <c r="H58" s="724" t="n">
        <f aca="false">IF($G58="","",$F58-$G58)</f>
        <v>0</v>
      </c>
      <c r="I58" s="729" t="s">
        <v>3887</v>
      </c>
      <c r="J58" s="725" t="n">
        <f aca="false">$F$166-F58</f>
        <v>910</v>
      </c>
      <c r="K58" s="726" t="str">
        <f aca="false">IF($D58="","",IF($J58&lt;=0,"● CRITICAL",""))</f>
        <v/>
      </c>
      <c r="L58" s="727" t="n">
        <f aca="false">IF($B$4&gt;=F58,1,IF($B$4&lt;=E58,0,($B$4-E58)/(F58-E58)))</f>
        <v>0.344444444444444</v>
      </c>
      <c r="M58" s="721" t="str">
        <f aca="false">IF(L58&gt;=1,"Complete",IF(L58&gt;0,"In Progress","Not Started"))</f>
        <v>In Progress</v>
      </c>
      <c r="N58" s="728" t="s">
        <v>3841</v>
      </c>
      <c r="O58" s="717"/>
      <c r="P58" s="718"/>
      <c r="Q58" s="718"/>
      <c r="R58" s="718"/>
      <c r="S58" s="718"/>
      <c r="T58" s="718"/>
      <c r="U58" s="718"/>
      <c r="V58" s="718"/>
      <c r="W58" s="718"/>
      <c r="X58" s="718"/>
      <c r="Y58" s="718"/>
      <c r="Z58" s="718"/>
      <c r="AA58" s="718"/>
      <c r="AB58" s="718"/>
      <c r="AC58" s="718"/>
      <c r="AD58" s="718"/>
      <c r="AE58" s="730"/>
      <c r="AF58" s="730"/>
      <c r="AG58" s="730"/>
      <c r="AH58" s="730"/>
      <c r="AI58" s="718"/>
      <c r="AJ58" s="718"/>
      <c r="AK58" s="718"/>
      <c r="AL58" s="718"/>
      <c r="AM58" s="718"/>
      <c r="AN58" s="718"/>
      <c r="AO58" s="718"/>
      <c r="AP58" s="718"/>
      <c r="AQ58" s="718"/>
      <c r="AR58" s="718"/>
      <c r="AS58" s="718"/>
      <c r="AT58" s="718"/>
      <c r="AU58" s="718"/>
      <c r="AV58" s="718"/>
      <c r="AW58" s="718"/>
      <c r="AX58" s="718"/>
      <c r="AY58" s="718"/>
      <c r="AZ58" s="718"/>
      <c r="BA58" s="718"/>
      <c r="BB58" s="718"/>
      <c r="BC58" s="718"/>
      <c r="BD58" s="718"/>
      <c r="BE58" s="718"/>
      <c r="BF58" s="718"/>
      <c r="BG58" s="718"/>
      <c r="BH58" s="718"/>
      <c r="BI58" s="718"/>
      <c r="BJ58" s="718"/>
      <c r="BK58" s="718"/>
      <c r="BL58" s="718"/>
      <c r="BM58" s="718"/>
      <c r="BN58" s="718"/>
      <c r="BO58" s="718"/>
      <c r="BP58" s="718"/>
      <c r="BQ58" s="718"/>
      <c r="BR58" s="718"/>
      <c r="BS58" s="718"/>
      <c r="BT58" s="718"/>
      <c r="BU58" s="718"/>
      <c r="BV58" s="719"/>
    </row>
    <row r="59" customFormat="false" ht="15" hidden="false" customHeight="true" outlineLevel="0" collapsed="false">
      <c r="A59" s="729" t="s">
        <v>3888</v>
      </c>
      <c r="B59" s="721" t="s">
        <v>3889</v>
      </c>
      <c r="C59" s="721" t="s">
        <v>3795</v>
      </c>
      <c r="D59" s="722" t="n">
        <v>120</v>
      </c>
      <c r="E59" s="723" t="n">
        <f aca="false">F41</f>
        <v>46083</v>
      </c>
      <c r="F59" s="723" t="n">
        <f aca="false">E59+D59</f>
        <v>46203</v>
      </c>
      <c r="G59" s="723" t="n">
        <v>46203</v>
      </c>
      <c r="H59" s="724" t="n">
        <f aca="false">IF($G59="","",$F59-$G59)</f>
        <v>0</v>
      </c>
      <c r="I59" s="729" t="s">
        <v>3883</v>
      </c>
      <c r="J59" s="725" t="n">
        <f aca="false">$F$166-F59</f>
        <v>970</v>
      </c>
      <c r="K59" s="726" t="str">
        <f aca="false">IF($D59="","",IF($J59&lt;=0,"● CRITICAL",""))</f>
        <v/>
      </c>
      <c r="L59" s="727" t="n">
        <f aca="false">IF($B$4&gt;=F59,1,IF($B$4&lt;=E59,0,($B$4-E59)/(F59-E59)))</f>
        <v>1</v>
      </c>
      <c r="M59" s="721" t="str">
        <f aca="false">IF(L59&gt;=1,"Complete",IF(L59&gt;0,"In Progress","Not Started"))</f>
        <v>Complete</v>
      </c>
      <c r="N59" s="728" t="s">
        <v>3795</v>
      </c>
      <c r="O59" s="717"/>
      <c r="P59" s="718"/>
      <c r="Q59" s="718"/>
      <c r="R59" s="718"/>
      <c r="S59" s="718"/>
      <c r="T59" s="718"/>
      <c r="U59" s="718"/>
      <c r="V59" s="718"/>
      <c r="W59" s="718"/>
      <c r="X59" s="718"/>
      <c r="Y59" s="718"/>
      <c r="Z59" s="718"/>
      <c r="AA59" s="718"/>
      <c r="AB59" s="718"/>
      <c r="AC59" s="730"/>
      <c r="AD59" s="730"/>
      <c r="AE59" s="730"/>
      <c r="AF59" s="730"/>
      <c r="AG59" s="718"/>
      <c r="AH59" s="718"/>
      <c r="AI59" s="718"/>
      <c r="AJ59" s="718"/>
      <c r="AK59" s="718"/>
      <c r="AL59" s="718"/>
      <c r="AM59" s="718"/>
      <c r="AN59" s="718"/>
      <c r="AO59" s="718"/>
      <c r="AP59" s="718"/>
      <c r="AQ59" s="718"/>
      <c r="AR59" s="718"/>
      <c r="AS59" s="718"/>
      <c r="AT59" s="718"/>
      <c r="AU59" s="718"/>
      <c r="AV59" s="718"/>
      <c r="AW59" s="718"/>
      <c r="AX59" s="718"/>
      <c r="AY59" s="718"/>
      <c r="AZ59" s="718"/>
      <c r="BA59" s="718"/>
      <c r="BB59" s="718"/>
      <c r="BC59" s="718"/>
      <c r="BD59" s="718"/>
      <c r="BE59" s="718"/>
      <c r="BF59" s="718"/>
      <c r="BG59" s="718"/>
      <c r="BH59" s="718"/>
      <c r="BI59" s="718"/>
      <c r="BJ59" s="718"/>
      <c r="BK59" s="718"/>
      <c r="BL59" s="718"/>
      <c r="BM59" s="718"/>
      <c r="BN59" s="718"/>
      <c r="BO59" s="718"/>
      <c r="BP59" s="718"/>
      <c r="BQ59" s="718"/>
      <c r="BR59" s="718"/>
      <c r="BS59" s="718"/>
      <c r="BT59" s="718"/>
      <c r="BU59" s="718"/>
      <c r="BV59" s="719"/>
    </row>
    <row r="60" customFormat="false" ht="15" hidden="false" customHeight="true" outlineLevel="0" collapsed="false">
      <c r="A60" s="720" t="n">
        <v>4.19</v>
      </c>
      <c r="B60" s="731" t="s">
        <v>3890</v>
      </c>
      <c r="C60" s="721" t="s">
        <v>85</v>
      </c>
      <c r="D60" s="722" t="n">
        <v>0</v>
      </c>
      <c r="E60" s="723" t="n">
        <f aca="false">MAX(F48,F42)</f>
        <v>46323</v>
      </c>
      <c r="F60" s="723" t="n">
        <f aca="false">E60+D60</f>
        <v>46323</v>
      </c>
      <c r="G60" s="723" t="n">
        <v>46323</v>
      </c>
      <c r="H60" s="724" t="n">
        <f aca="false">IF($G60="","",$F60-$G60)</f>
        <v>0</v>
      </c>
      <c r="I60" s="720" t="s">
        <v>3891</v>
      </c>
      <c r="J60" s="725" t="n">
        <f aca="false">$F$166-F60</f>
        <v>850</v>
      </c>
      <c r="K60" s="726" t="str">
        <f aca="false">IF($D60="","",IF($J60&lt;=0,"● CRITICAL",""))</f>
        <v/>
      </c>
      <c r="L60" s="727" t="n">
        <f aca="false">IF($B$4&gt;=F60,1,IF($B$4&lt;=E60,0,($B$4-E60)/(F60-E60)))</f>
        <v>0</v>
      </c>
      <c r="M60" s="721" t="str">
        <f aca="false">IF(L60&gt;=1,"Complete",IF(L60&gt;0,"In Progress","Not Started"))</f>
        <v>Not Started</v>
      </c>
      <c r="N60" s="728" t="s">
        <v>3857</v>
      </c>
      <c r="O60" s="717"/>
      <c r="P60" s="718"/>
      <c r="Q60" s="718"/>
      <c r="R60" s="718"/>
      <c r="S60" s="718"/>
      <c r="T60" s="718"/>
      <c r="U60" s="718"/>
      <c r="V60" s="718"/>
      <c r="W60" s="718"/>
      <c r="X60" s="718"/>
      <c r="Y60" s="718"/>
      <c r="Z60" s="718"/>
      <c r="AA60" s="718"/>
      <c r="AB60" s="718"/>
      <c r="AC60" s="718"/>
      <c r="AD60" s="718"/>
      <c r="AE60" s="718"/>
      <c r="AF60" s="718"/>
      <c r="AG60" s="718"/>
      <c r="AH60" s="718"/>
      <c r="AI60" s="718"/>
      <c r="AJ60" s="718"/>
      <c r="AK60" s="718"/>
      <c r="AL60" s="718"/>
      <c r="AM60" s="718"/>
      <c r="AN60" s="718"/>
      <c r="AO60" s="718"/>
      <c r="AP60" s="718"/>
      <c r="AQ60" s="718"/>
      <c r="AR60" s="718"/>
      <c r="AS60" s="718"/>
      <c r="AT60" s="718"/>
      <c r="AU60" s="718"/>
      <c r="AV60" s="718"/>
      <c r="AW60" s="718"/>
      <c r="AX60" s="718"/>
      <c r="AY60" s="718"/>
      <c r="AZ60" s="718"/>
      <c r="BA60" s="718"/>
      <c r="BB60" s="718"/>
      <c r="BC60" s="718"/>
      <c r="BD60" s="718"/>
      <c r="BE60" s="718"/>
      <c r="BF60" s="718"/>
      <c r="BG60" s="718"/>
      <c r="BH60" s="718"/>
      <c r="BI60" s="718"/>
      <c r="BJ60" s="718"/>
      <c r="BK60" s="718"/>
      <c r="BL60" s="718"/>
      <c r="BM60" s="718"/>
      <c r="BN60" s="718"/>
      <c r="BO60" s="718"/>
      <c r="BP60" s="718"/>
      <c r="BQ60" s="718"/>
      <c r="BR60" s="718"/>
      <c r="BS60" s="718"/>
      <c r="BT60" s="718"/>
      <c r="BU60" s="718"/>
      <c r="BV60" s="719"/>
    </row>
    <row r="61" customFormat="false" ht="15" hidden="false" customHeight="true" outlineLevel="0" collapsed="false">
      <c r="A61" s="709" t="n">
        <v>5</v>
      </c>
      <c r="B61" s="710" t="s">
        <v>3892</v>
      </c>
      <c r="C61" s="710"/>
      <c r="D61" s="711" t="n">
        <f aca="false">F61-E61</f>
        <v>55</v>
      </c>
      <c r="E61" s="712" t="n">
        <f aca="false">MIN(E62:E68)</f>
        <v>46143</v>
      </c>
      <c r="F61" s="712" t="n">
        <f aca="false">MAX(F62:F68)</f>
        <v>46198</v>
      </c>
      <c r="G61" s="712" t="n">
        <v>46198</v>
      </c>
      <c r="H61" s="713" t="n">
        <f aca="false">IF($G61="","",$F61-$G61)</f>
        <v>0</v>
      </c>
      <c r="I61" s="709"/>
      <c r="J61" s="714"/>
      <c r="K61" s="710"/>
      <c r="L61" s="715" t="n">
        <f aca="false">IFERROR(SUMPRODUCT($D62:$D68,$L62:$L68)/SUM($D62:$D68),0)</f>
        <v>1</v>
      </c>
      <c r="M61" s="710" t="str">
        <f aca="false">IF(L61&gt;=1,"Complete",IF(L61&gt;0,"In Progress","Not Started"))</f>
        <v>Complete</v>
      </c>
      <c r="N61" s="716" t="s">
        <v>319</v>
      </c>
      <c r="O61" s="717"/>
      <c r="P61" s="718"/>
      <c r="Q61" s="718"/>
      <c r="R61" s="718"/>
      <c r="S61" s="718"/>
      <c r="T61" s="718"/>
      <c r="U61" s="718"/>
      <c r="V61" s="718"/>
      <c r="W61" s="718"/>
      <c r="X61" s="718"/>
      <c r="Y61" s="718"/>
      <c r="Z61" s="718"/>
      <c r="AA61" s="718"/>
      <c r="AB61" s="718"/>
      <c r="AC61" s="718"/>
      <c r="AD61" s="718"/>
      <c r="AE61" s="718"/>
      <c r="AF61" s="718"/>
      <c r="AG61" s="718"/>
      <c r="AH61" s="718"/>
      <c r="AI61" s="718"/>
      <c r="AJ61" s="718"/>
      <c r="AK61" s="718"/>
      <c r="AL61" s="718"/>
      <c r="AM61" s="718"/>
      <c r="AN61" s="718"/>
      <c r="AO61" s="718"/>
      <c r="AP61" s="718"/>
      <c r="AQ61" s="718"/>
      <c r="AR61" s="718"/>
      <c r="AS61" s="718"/>
      <c r="AT61" s="718"/>
      <c r="AU61" s="718"/>
      <c r="AV61" s="718"/>
      <c r="AW61" s="718"/>
      <c r="AX61" s="718"/>
      <c r="AY61" s="718"/>
      <c r="AZ61" s="718"/>
      <c r="BA61" s="718"/>
      <c r="BB61" s="718"/>
      <c r="BC61" s="718"/>
      <c r="BD61" s="718"/>
      <c r="BE61" s="718"/>
      <c r="BF61" s="718"/>
      <c r="BG61" s="718"/>
      <c r="BH61" s="718"/>
      <c r="BI61" s="718"/>
      <c r="BJ61" s="718"/>
      <c r="BK61" s="718"/>
      <c r="BL61" s="718"/>
      <c r="BM61" s="718"/>
      <c r="BN61" s="718"/>
      <c r="BO61" s="718"/>
      <c r="BP61" s="718"/>
      <c r="BQ61" s="718"/>
      <c r="BR61" s="718"/>
      <c r="BS61" s="718"/>
      <c r="BT61" s="718"/>
      <c r="BU61" s="718"/>
      <c r="BV61" s="719"/>
    </row>
    <row r="62" customFormat="false" ht="15" hidden="false" customHeight="true" outlineLevel="0" collapsed="false">
      <c r="A62" s="720" t="n">
        <v>5.1</v>
      </c>
      <c r="B62" s="721" t="s">
        <v>3893</v>
      </c>
      <c r="C62" s="721" t="s">
        <v>319</v>
      </c>
      <c r="D62" s="722" t="n">
        <v>30</v>
      </c>
      <c r="E62" s="723" t="n">
        <f aca="false">F27</f>
        <v>46143</v>
      </c>
      <c r="F62" s="723" t="n">
        <f aca="false">E62+D62</f>
        <v>46173</v>
      </c>
      <c r="G62" s="723" t="n">
        <v>46173</v>
      </c>
      <c r="H62" s="724" t="n">
        <f aca="false">IF($G62="","",$F62-$G62)</f>
        <v>0</v>
      </c>
      <c r="I62" s="720" t="n">
        <v>2.8</v>
      </c>
      <c r="J62" s="725" t="n">
        <f aca="false">MIN(E63,E64,E65)-F62</f>
        <v>0</v>
      </c>
      <c r="K62" s="726" t="str">
        <f aca="false">IF($D62="","",IF($J62&lt;=0,"● CRITICAL",""))</f>
        <v>● CRITICAL</v>
      </c>
      <c r="L62" s="727" t="n">
        <f aca="false">IF($B$4&gt;=F62,1,IF($B$4&lt;=E62,0,($B$4-E62)/(F62-E62)))</f>
        <v>1</v>
      </c>
      <c r="M62" s="721" t="str">
        <f aca="false">IF(L62&gt;=1,"Complete",IF(L62&gt;0,"In Progress","Not Started"))</f>
        <v>Complete</v>
      </c>
      <c r="N62" s="728" t="s">
        <v>319</v>
      </c>
      <c r="O62" s="717"/>
      <c r="P62" s="718"/>
      <c r="Q62" s="718"/>
      <c r="R62" s="718"/>
      <c r="S62" s="718"/>
      <c r="T62" s="718"/>
      <c r="U62" s="718"/>
      <c r="V62" s="718"/>
      <c r="W62" s="718"/>
      <c r="X62" s="718"/>
      <c r="Y62" s="718"/>
      <c r="Z62" s="718"/>
      <c r="AA62" s="718"/>
      <c r="AB62" s="718"/>
      <c r="AC62" s="718"/>
      <c r="AD62" s="718"/>
      <c r="AE62" s="718"/>
      <c r="AF62" s="718"/>
      <c r="AG62" s="718"/>
      <c r="AH62" s="718"/>
      <c r="AI62" s="718"/>
      <c r="AJ62" s="718"/>
      <c r="AK62" s="718"/>
      <c r="AL62" s="718"/>
      <c r="AM62" s="718"/>
      <c r="AN62" s="718"/>
      <c r="AO62" s="718"/>
      <c r="AP62" s="718"/>
      <c r="AQ62" s="718"/>
      <c r="AR62" s="718"/>
      <c r="AS62" s="718"/>
      <c r="AT62" s="718"/>
      <c r="AU62" s="718"/>
      <c r="AV62" s="718"/>
      <c r="AW62" s="718"/>
      <c r="AX62" s="718"/>
      <c r="AY62" s="718"/>
      <c r="AZ62" s="718"/>
      <c r="BA62" s="718"/>
      <c r="BB62" s="718"/>
      <c r="BC62" s="718"/>
      <c r="BD62" s="718"/>
      <c r="BE62" s="718"/>
      <c r="BF62" s="718"/>
      <c r="BG62" s="718"/>
      <c r="BH62" s="718"/>
      <c r="BI62" s="718"/>
      <c r="BJ62" s="718"/>
      <c r="BK62" s="718"/>
      <c r="BL62" s="718"/>
      <c r="BM62" s="718"/>
      <c r="BN62" s="718"/>
      <c r="BO62" s="718"/>
      <c r="BP62" s="718"/>
      <c r="BQ62" s="718"/>
      <c r="BR62" s="718"/>
      <c r="BS62" s="718"/>
      <c r="BT62" s="718"/>
      <c r="BU62" s="718"/>
      <c r="BV62" s="719"/>
    </row>
    <row r="63" customFormat="false" ht="15" hidden="false" customHeight="true" outlineLevel="0" collapsed="false">
      <c r="A63" s="720" t="n">
        <v>5.2</v>
      </c>
      <c r="B63" s="721" t="s">
        <v>3894</v>
      </c>
      <c r="C63" s="721" t="s">
        <v>3895</v>
      </c>
      <c r="D63" s="722" t="n">
        <v>20</v>
      </c>
      <c r="E63" s="723" t="n">
        <f aca="false">F62</f>
        <v>46173</v>
      </c>
      <c r="F63" s="723" t="n">
        <f aca="false">E63+D63</f>
        <v>46193</v>
      </c>
      <c r="G63" s="723" t="n">
        <v>46193</v>
      </c>
      <c r="H63" s="724" t="n">
        <f aca="false">IF($G63="","",$F63-$G63)</f>
        <v>0</v>
      </c>
      <c r="I63" s="720" t="n">
        <v>5.1</v>
      </c>
      <c r="J63" s="725" t="n">
        <f aca="false">MIN(E70)-F63</f>
        <v>0</v>
      </c>
      <c r="K63" s="726" t="str">
        <f aca="false">IF($D63="","",IF($J63&lt;=0,"● CRITICAL",""))</f>
        <v>● CRITICAL</v>
      </c>
      <c r="L63" s="727" t="n">
        <f aca="false">IF($B$4&gt;=F63,1,IF($B$4&lt;=E63,0,($B$4-E63)/(F63-E63)))</f>
        <v>1</v>
      </c>
      <c r="M63" s="721" t="str">
        <f aca="false">IF(L63&gt;=1,"Complete",IF(L63&gt;0,"In Progress","Not Started"))</f>
        <v>Complete</v>
      </c>
      <c r="N63" s="728" t="s">
        <v>319</v>
      </c>
      <c r="O63" s="717"/>
      <c r="P63" s="718"/>
      <c r="Q63" s="718"/>
      <c r="R63" s="718"/>
      <c r="S63" s="718"/>
      <c r="T63" s="718"/>
      <c r="U63" s="718"/>
      <c r="V63" s="718"/>
      <c r="W63" s="718"/>
      <c r="X63" s="718"/>
      <c r="Y63" s="718"/>
      <c r="Z63" s="718"/>
      <c r="AA63" s="718"/>
      <c r="AB63" s="718"/>
      <c r="AC63" s="718"/>
      <c r="AD63" s="718"/>
      <c r="AE63" s="718"/>
      <c r="AF63" s="718"/>
      <c r="AG63" s="718"/>
      <c r="AH63" s="718"/>
      <c r="AI63" s="718"/>
      <c r="AJ63" s="718"/>
      <c r="AK63" s="718"/>
      <c r="AL63" s="718"/>
      <c r="AM63" s="718"/>
      <c r="AN63" s="718"/>
      <c r="AO63" s="718"/>
      <c r="AP63" s="718"/>
      <c r="AQ63" s="718"/>
      <c r="AR63" s="718"/>
      <c r="AS63" s="718"/>
      <c r="AT63" s="718"/>
      <c r="AU63" s="718"/>
      <c r="AV63" s="718"/>
      <c r="AW63" s="718"/>
      <c r="AX63" s="718"/>
      <c r="AY63" s="718"/>
      <c r="AZ63" s="718"/>
      <c r="BA63" s="718"/>
      <c r="BB63" s="718"/>
      <c r="BC63" s="718"/>
      <c r="BD63" s="718"/>
      <c r="BE63" s="718"/>
      <c r="BF63" s="718"/>
      <c r="BG63" s="718"/>
      <c r="BH63" s="718"/>
      <c r="BI63" s="718"/>
      <c r="BJ63" s="718"/>
      <c r="BK63" s="718"/>
      <c r="BL63" s="718"/>
      <c r="BM63" s="718"/>
      <c r="BN63" s="718"/>
      <c r="BO63" s="718"/>
      <c r="BP63" s="718"/>
      <c r="BQ63" s="718"/>
      <c r="BR63" s="718"/>
      <c r="BS63" s="718"/>
      <c r="BT63" s="718"/>
      <c r="BU63" s="718"/>
      <c r="BV63" s="719"/>
    </row>
    <row r="64" customFormat="false" ht="15" hidden="false" customHeight="true" outlineLevel="0" collapsed="false">
      <c r="A64" s="720" t="n">
        <v>5.3</v>
      </c>
      <c r="B64" s="721" t="s">
        <v>3896</v>
      </c>
      <c r="C64" s="721" t="s">
        <v>3798</v>
      </c>
      <c r="D64" s="722" t="n">
        <v>15</v>
      </c>
      <c r="E64" s="723" t="n">
        <f aca="false">F62</f>
        <v>46173</v>
      </c>
      <c r="F64" s="723" t="n">
        <f aca="false">E64+D64</f>
        <v>46188</v>
      </c>
      <c r="G64" s="723" t="n">
        <v>46188</v>
      </c>
      <c r="H64" s="724" t="n">
        <f aca="false">IF($G64="","",$F64-$G64)</f>
        <v>0</v>
      </c>
      <c r="I64" s="720" t="n">
        <v>5.1</v>
      </c>
      <c r="J64" s="725" t="n">
        <f aca="false">$F$166-F64</f>
        <v>985</v>
      </c>
      <c r="K64" s="726" t="str">
        <f aca="false">IF($D64="","",IF($J64&lt;=0,"● CRITICAL",""))</f>
        <v/>
      </c>
      <c r="L64" s="727" t="n">
        <f aca="false">IF($B$4&gt;=F64,1,IF($B$4&lt;=E64,0,($B$4-E64)/(F64-E64)))</f>
        <v>1</v>
      </c>
      <c r="M64" s="721" t="str">
        <f aca="false">IF(L64&gt;=1,"Complete",IF(L64&gt;0,"In Progress","Not Started"))</f>
        <v>Complete</v>
      </c>
      <c r="N64" s="728" t="s">
        <v>319</v>
      </c>
      <c r="O64" s="717"/>
      <c r="P64" s="718"/>
      <c r="Q64" s="718"/>
      <c r="R64" s="718"/>
      <c r="S64" s="718"/>
      <c r="T64" s="718"/>
      <c r="U64" s="718"/>
      <c r="V64" s="718"/>
      <c r="W64" s="718"/>
      <c r="X64" s="718"/>
      <c r="Y64" s="718"/>
      <c r="Z64" s="718"/>
      <c r="AA64" s="718"/>
      <c r="AB64" s="718"/>
      <c r="AC64" s="718"/>
      <c r="AD64" s="718"/>
      <c r="AE64" s="718"/>
      <c r="AF64" s="718"/>
      <c r="AG64" s="718"/>
      <c r="AH64" s="718"/>
      <c r="AI64" s="718"/>
      <c r="AJ64" s="718"/>
      <c r="AK64" s="718"/>
      <c r="AL64" s="718"/>
      <c r="AM64" s="718"/>
      <c r="AN64" s="718"/>
      <c r="AO64" s="718"/>
      <c r="AP64" s="718"/>
      <c r="AQ64" s="718"/>
      <c r="AR64" s="718"/>
      <c r="AS64" s="718"/>
      <c r="AT64" s="718"/>
      <c r="AU64" s="718"/>
      <c r="AV64" s="718"/>
      <c r="AW64" s="718"/>
      <c r="AX64" s="718"/>
      <c r="AY64" s="718"/>
      <c r="AZ64" s="718"/>
      <c r="BA64" s="718"/>
      <c r="BB64" s="718"/>
      <c r="BC64" s="718"/>
      <c r="BD64" s="718"/>
      <c r="BE64" s="718"/>
      <c r="BF64" s="718"/>
      <c r="BG64" s="718"/>
      <c r="BH64" s="718"/>
      <c r="BI64" s="718"/>
      <c r="BJ64" s="718"/>
      <c r="BK64" s="718"/>
      <c r="BL64" s="718"/>
      <c r="BM64" s="718"/>
      <c r="BN64" s="718"/>
      <c r="BO64" s="718"/>
      <c r="BP64" s="718"/>
      <c r="BQ64" s="718"/>
      <c r="BR64" s="718"/>
      <c r="BS64" s="718"/>
      <c r="BT64" s="718"/>
      <c r="BU64" s="718"/>
      <c r="BV64" s="719"/>
    </row>
    <row r="65" customFormat="false" ht="15" hidden="false" customHeight="true" outlineLevel="0" collapsed="false">
      <c r="A65" s="720" t="n">
        <v>5.4</v>
      </c>
      <c r="B65" s="721" t="s">
        <v>3897</v>
      </c>
      <c r="C65" s="721" t="s">
        <v>3898</v>
      </c>
      <c r="D65" s="722" t="n">
        <v>25</v>
      </c>
      <c r="E65" s="723" t="n">
        <f aca="false">F62</f>
        <v>46173</v>
      </c>
      <c r="F65" s="723" t="n">
        <f aca="false">E65+D65</f>
        <v>46198</v>
      </c>
      <c r="G65" s="723" t="n">
        <v>46198</v>
      </c>
      <c r="H65" s="724" t="n">
        <f aca="false">IF($G65="","",$F65-$G65)</f>
        <v>0</v>
      </c>
      <c r="I65" s="720" t="n">
        <v>5.1</v>
      </c>
      <c r="J65" s="725" t="n">
        <f aca="false">$F$166-F65</f>
        <v>975</v>
      </c>
      <c r="K65" s="726" t="str">
        <f aca="false">IF($D65="","",IF($J65&lt;=0,"● CRITICAL",""))</f>
        <v/>
      </c>
      <c r="L65" s="727" t="n">
        <f aca="false">IF($B$4&gt;=F65,1,IF($B$4&lt;=E65,0,($B$4-E65)/(F65-E65)))</f>
        <v>1</v>
      </c>
      <c r="M65" s="721" t="str">
        <f aca="false">IF(L65&gt;=1,"Complete",IF(L65&gt;0,"In Progress","Not Started"))</f>
        <v>Complete</v>
      </c>
      <c r="N65" s="728" t="s">
        <v>319</v>
      </c>
      <c r="O65" s="717"/>
      <c r="P65" s="718"/>
      <c r="Q65" s="718"/>
      <c r="R65" s="718"/>
      <c r="S65" s="718"/>
      <c r="T65" s="718"/>
      <c r="U65" s="718"/>
      <c r="V65" s="718"/>
      <c r="W65" s="718"/>
      <c r="X65" s="718"/>
      <c r="Y65" s="718"/>
      <c r="Z65" s="718"/>
      <c r="AA65" s="718"/>
      <c r="AB65" s="718"/>
      <c r="AC65" s="718"/>
      <c r="AD65" s="718"/>
      <c r="AE65" s="718"/>
      <c r="AF65" s="718"/>
      <c r="AG65" s="718"/>
      <c r="AH65" s="718"/>
      <c r="AI65" s="718"/>
      <c r="AJ65" s="718"/>
      <c r="AK65" s="718"/>
      <c r="AL65" s="718"/>
      <c r="AM65" s="718"/>
      <c r="AN65" s="718"/>
      <c r="AO65" s="718"/>
      <c r="AP65" s="718"/>
      <c r="AQ65" s="718"/>
      <c r="AR65" s="718"/>
      <c r="AS65" s="718"/>
      <c r="AT65" s="718"/>
      <c r="AU65" s="718"/>
      <c r="AV65" s="718"/>
      <c r="AW65" s="718"/>
      <c r="AX65" s="718"/>
      <c r="AY65" s="718"/>
      <c r="AZ65" s="718"/>
      <c r="BA65" s="718"/>
      <c r="BB65" s="718"/>
      <c r="BC65" s="718"/>
      <c r="BD65" s="718"/>
      <c r="BE65" s="718"/>
      <c r="BF65" s="718"/>
      <c r="BG65" s="718"/>
      <c r="BH65" s="718"/>
      <c r="BI65" s="718"/>
      <c r="BJ65" s="718"/>
      <c r="BK65" s="718"/>
      <c r="BL65" s="718"/>
      <c r="BM65" s="718"/>
      <c r="BN65" s="718"/>
      <c r="BO65" s="718"/>
      <c r="BP65" s="718"/>
      <c r="BQ65" s="718"/>
      <c r="BR65" s="718"/>
      <c r="BS65" s="718"/>
      <c r="BT65" s="718"/>
      <c r="BU65" s="718"/>
      <c r="BV65" s="719"/>
    </row>
    <row r="66" customFormat="false" ht="15" hidden="false" customHeight="true" outlineLevel="0" collapsed="false">
      <c r="A66" s="729" t="s">
        <v>3899</v>
      </c>
      <c r="B66" s="721" t="s">
        <v>3900</v>
      </c>
      <c r="C66" s="721" t="s">
        <v>319</v>
      </c>
      <c r="D66" s="722" t="n">
        <v>20</v>
      </c>
      <c r="E66" s="723" t="n">
        <f aca="false">F62</f>
        <v>46173</v>
      </c>
      <c r="F66" s="723" t="n">
        <f aca="false">E66+D66</f>
        <v>46193</v>
      </c>
      <c r="G66" s="723" t="n">
        <v>46193</v>
      </c>
      <c r="H66" s="724" t="n">
        <f aca="false">IF($G66="","",$F66-$G66)</f>
        <v>0</v>
      </c>
      <c r="I66" s="729" t="s">
        <v>3901</v>
      </c>
      <c r="J66" s="725" t="n">
        <f aca="false">$F$166-F66</f>
        <v>980</v>
      </c>
      <c r="K66" s="726" t="str">
        <f aca="false">IF($D66="","",IF($J66&lt;=0,"● CRITICAL",""))</f>
        <v/>
      </c>
      <c r="L66" s="727" t="n">
        <f aca="false">IF($B$4&gt;=F66,1,IF($B$4&lt;=E66,0,($B$4-E66)/(F66-E66)))</f>
        <v>1</v>
      </c>
      <c r="M66" s="721" t="str">
        <f aca="false">IF(L66&gt;=1,"Complete",IF(L66&gt;0,"In Progress","Not Started"))</f>
        <v>Complete</v>
      </c>
      <c r="N66" s="728" t="s">
        <v>319</v>
      </c>
      <c r="O66" s="717"/>
      <c r="P66" s="718"/>
      <c r="Q66" s="718"/>
      <c r="R66" s="718"/>
      <c r="S66" s="718"/>
      <c r="T66" s="718"/>
      <c r="U66" s="718"/>
      <c r="V66" s="718"/>
      <c r="W66" s="718"/>
      <c r="X66" s="718"/>
      <c r="Y66" s="718"/>
      <c r="Z66" s="718"/>
      <c r="AA66" s="718"/>
      <c r="AB66" s="718"/>
      <c r="AC66" s="718"/>
      <c r="AD66" s="718"/>
      <c r="AE66" s="730"/>
      <c r="AF66" s="730"/>
      <c r="AG66" s="718"/>
      <c r="AH66" s="718"/>
      <c r="AI66" s="718"/>
      <c r="AJ66" s="718"/>
      <c r="AK66" s="718"/>
      <c r="AL66" s="718"/>
      <c r="AM66" s="718"/>
      <c r="AN66" s="718"/>
      <c r="AO66" s="718"/>
      <c r="AP66" s="718"/>
      <c r="AQ66" s="718"/>
      <c r="AR66" s="718"/>
      <c r="AS66" s="718"/>
      <c r="AT66" s="718"/>
      <c r="AU66" s="718"/>
      <c r="AV66" s="718"/>
      <c r="AW66" s="718"/>
      <c r="AX66" s="718"/>
      <c r="AY66" s="718"/>
      <c r="AZ66" s="718"/>
      <c r="BA66" s="718"/>
      <c r="BB66" s="718"/>
      <c r="BC66" s="718"/>
      <c r="BD66" s="718"/>
      <c r="BE66" s="718"/>
      <c r="BF66" s="718"/>
      <c r="BG66" s="718"/>
      <c r="BH66" s="718"/>
      <c r="BI66" s="718"/>
      <c r="BJ66" s="718"/>
      <c r="BK66" s="718"/>
      <c r="BL66" s="718"/>
      <c r="BM66" s="718"/>
      <c r="BN66" s="718"/>
      <c r="BO66" s="718"/>
      <c r="BP66" s="718"/>
      <c r="BQ66" s="718"/>
      <c r="BR66" s="718"/>
      <c r="BS66" s="718"/>
      <c r="BT66" s="718"/>
      <c r="BU66" s="718"/>
      <c r="BV66" s="719"/>
    </row>
    <row r="67" customFormat="false" ht="15" hidden="false" customHeight="true" outlineLevel="0" collapsed="false">
      <c r="A67" s="729" t="s">
        <v>3902</v>
      </c>
      <c r="B67" s="721" t="s">
        <v>3903</v>
      </c>
      <c r="C67" s="721" t="s">
        <v>319</v>
      </c>
      <c r="D67" s="722" t="n">
        <v>15</v>
      </c>
      <c r="E67" s="723" t="n">
        <f aca="false">F62</f>
        <v>46173</v>
      </c>
      <c r="F67" s="723" t="n">
        <f aca="false">E67+D67</f>
        <v>46188</v>
      </c>
      <c r="G67" s="723" t="n">
        <v>46188</v>
      </c>
      <c r="H67" s="724" t="n">
        <f aca="false">IF($G67="","",$F67-$G67)</f>
        <v>0</v>
      </c>
      <c r="I67" s="729" t="s">
        <v>3901</v>
      </c>
      <c r="J67" s="725" t="n">
        <f aca="false">$F$166-F67</f>
        <v>985</v>
      </c>
      <c r="K67" s="726" t="str">
        <f aca="false">IF($D67="","",IF($J67&lt;=0,"● CRITICAL",""))</f>
        <v/>
      </c>
      <c r="L67" s="727" t="n">
        <f aca="false">IF($B$4&gt;=F67,1,IF($B$4&lt;=E67,0,($B$4-E67)/(F67-E67)))</f>
        <v>1</v>
      </c>
      <c r="M67" s="721" t="str">
        <f aca="false">IF(L67&gt;=1,"Complete",IF(L67&gt;0,"In Progress","Not Started"))</f>
        <v>Complete</v>
      </c>
      <c r="N67" s="728" t="s">
        <v>319</v>
      </c>
      <c r="O67" s="717"/>
      <c r="P67" s="718"/>
      <c r="Q67" s="718"/>
      <c r="R67" s="718"/>
      <c r="S67" s="718"/>
      <c r="T67" s="718"/>
      <c r="U67" s="718"/>
      <c r="V67" s="718"/>
      <c r="W67" s="718"/>
      <c r="X67" s="718"/>
      <c r="Y67" s="718"/>
      <c r="Z67" s="718"/>
      <c r="AA67" s="718"/>
      <c r="AB67" s="718"/>
      <c r="AC67" s="718"/>
      <c r="AD67" s="718"/>
      <c r="AE67" s="730"/>
      <c r="AF67" s="730"/>
      <c r="AG67" s="718"/>
      <c r="AH67" s="718"/>
      <c r="AI67" s="718"/>
      <c r="AJ67" s="718"/>
      <c r="AK67" s="718"/>
      <c r="AL67" s="718"/>
      <c r="AM67" s="718"/>
      <c r="AN67" s="718"/>
      <c r="AO67" s="718"/>
      <c r="AP67" s="718"/>
      <c r="AQ67" s="718"/>
      <c r="AR67" s="718"/>
      <c r="AS67" s="718"/>
      <c r="AT67" s="718"/>
      <c r="AU67" s="718"/>
      <c r="AV67" s="718"/>
      <c r="AW67" s="718"/>
      <c r="AX67" s="718"/>
      <c r="AY67" s="718"/>
      <c r="AZ67" s="718"/>
      <c r="BA67" s="718"/>
      <c r="BB67" s="718"/>
      <c r="BC67" s="718"/>
      <c r="BD67" s="718"/>
      <c r="BE67" s="718"/>
      <c r="BF67" s="718"/>
      <c r="BG67" s="718"/>
      <c r="BH67" s="718"/>
      <c r="BI67" s="718"/>
      <c r="BJ67" s="718"/>
      <c r="BK67" s="718"/>
      <c r="BL67" s="718"/>
      <c r="BM67" s="718"/>
      <c r="BN67" s="718"/>
      <c r="BO67" s="718"/>
      <c r="BP67" s="718"/>
      <c r="BQ67" s="718"/>
      <c r="BR67" s="718"/>
      <c r="BS67" s="718"/>
      <c r="BT67" s="718"/>
      <c r="BU67" s="718"/>
      <c r="BV67" s="719"/>
    </row>
    <row r="68" customFormat="false" ht="15" hidden="false" customHeight="true" outlineLevel="0" collapsed="false">
      <c r="A68" s="729" t="s">
        <v>3904</v>
      </c>
      <c r="B68" s="721" t="s">
        <v>3905</v>
      </c>
      <c r="C68" s="721" t="s">
        <v>319</v>
      </c>
      <c r="D68" s="722" t="n">
        <v>20</v>
      </c>
      <c r="E68" s="723" t="n">
        <f aca="false">F62</f>
        <v>46173</v>
      </c>
      <c r="F68" s="723" t="n">
        <f aca="false">E68+D68</f>
        <v>46193</v>
      </c>
      <c r="G68" s="723" t="n">
        <v>46193</v>
      </c>
      <c r="H68" s="724" t="n">
        <f aca="false">IF($G68="","",$F68-$G68)</f>
        <v>0</v>
      </c>
      <c r="I68" s="729" t="s">
        <v>3901</v>
      </c>
      <c r="J68" s="725" t="n">
        <f aca="false">$F$166-F68</f>
        <v>980</v>
      </c>
      <c r="K68" s="726" t="str">
        <f aca="false">IF($D68="","",IF($J68&lt;=0,"● CRITICAL",""))</f>
        <v/>
      </c>
      <c r="L68" s="727" t="n">
        <f aca="false">IF($B$4&gt;=F68,1,IF($B$4&lt;=E68,0,($B$4-E68)/(F68-E68)))</f>
        <v>1</v>
      </c>
      <c r="M68" s="721" t="str">
        <f aca="false">IF(L68&gt;=1,"Complete",IF(L68&gt;0,"In Progress","Not Started"))</f>
        <v>Complete</v>
      </c>
      <c r="N68" s="728" t="s">
        <v>3906</v>
      </c>
      <c r="O68" s="717"/>
      <c r="P68" s="718"/>
      <c r="Q68" s="718"/>
      <c r="R68" s="718"/>
      <c r="S68" s="718"/>
      <c r="T68" s="718"/>
      <c r="U68" s="718"/>
      <c r="V68" s="718"/>
      <c r="W68" s="718"/>
      <c r="X68" s="718"/>
      <c r="Y68" s="718"/>
      <c r="Z68" s="718"/>
      <c r="AA68" s="718"/>
      <c r="AB68" s="718"/>
      <c r="AC68" s="718"/>
      <c r="AD68" s="718"/>
      <c r="AE68" s="730"/>
      <c r="AF68" s="730"/>
      <c r="AG68" s="718"/>
      <c r="AH68" s="718"/>
      <c r="AI68" s="718"/>
      <c r="AJ68" s="718"/>
      <c r="AK68" s="718"/>
      <c r="AL68" s="718"/>
      <c r="AM68" s="718"/>
      <c r="AN68" s="718"/>
      <c r="AO68" s="718"/>
      <c r="AP68" s="718"/>
      <c r="AQ68" s="718"/>
      <c r="AR68" s="718"/>
      <c r="AS68" s="718"/>
      <c r="AT68" s="718"/>
      <c r="AU68" s="718"/>
      <c r="AV68" s="718"/>
      <c r="AW68" s="718"/>
      <c r="AX68" s="718"/>
      <c r="AY68" s="718"/>
      <c r="AZ68" s="718"/>
      <c r="BA68" s="718"/>
      <c r="BB68" s="718"/>
      <c r="BC68" s="718"/>
      <c r="BD68" s="718"/>
      <c r="BE68" s="718"/>
      <c r="BF68" s="718"/>
      <c r="BG68" s="718"/>
      <c r="BH68" s="718"/>
      <c r="BI68" s="718"/>
      <c r="BJ68" s="718"/>
      <c r="BK68" s="718"/>
      <c r="BL68" s="718"/>
      <c r="BM68" s="718"/>
      <c r="BN68" s="718"/>
      <c r="BO68" s="718"/>
      <c r="BP68" s="718"/>
      <c r="BQ68" s="718"/>
      <c r="BR68" s="718"/>
      <c r="BS68" s="718"/>
      <c r="BT68" s="718"/>
      <c r="BU68" s="718"/>
      <c r="BV68" s="719"/>
    </row>
    <row r="69" customFormat="false" ht="15" hidden="false" customHeight="true" outlineLevel="0" collapsed="false">
      <c r="A69" s="709" t="n">
        <v>6</v>
      </c>
      <c r="B69" s="710" t="s">
        <v>3907</v>
      </c>
      <c r="C69" s="710"/>
      <c r="D69" s="711" t="n">
        <f aca="false">F69-E69</f>
        <v>700</v>
      </c>
      <c r="E69" s="712" t="n">
        <f aca="false">MIN(E70:E79)</f>
        <v>46193</v>
      </c>
      <c r="F69" s="712" t="n">
        <f aca="false">MAX(F70:F79)</f>
        <v>46893</v>
      </c>
      <c r="G69" s="712" t="n">
        <v>46893</v>
      </c>
      <c r="H69" s="713" t="n">
        <f aca="false">IF($G69="","",$F69-$G69)</f>
        <v>0</v>
      </c>
      <c r="I69" s="709"/>
      <c r="J69" s="714"/>
      <c r="K69" s="710"/>
      <c r="L69" s="715" t="n">
        <f aca="false">IFERROR(SUMPRODUCT($D70:$D79,$L70:$L79)/SUM($D70:$D79),0)</f>
        <v>0.0309859154929577</v>
      </c>
      <c r="M69" s="710" t="str">
        <f aca="false">IF(L69&gt;=1,"Complete",IF(L69&gt;0,"In Progress","Not Started"))</f>
        <v>In Progress</v>
      </c>
      <c r="N69" s="716" t="s">
        <v>3908</v>
      </c>
      <c r="O69" s="717"/>
      <c r="P69" s="718"/>
      <c r="Q69" s="718"/>
      <c r="R69" s="718"/>
      <c r="S69" s="718"/>
      <c r="T69" s="718"/>
      <c r="U69" s="718"/>
      <c r="V69" s="718"/>
      <c r="W69" s="718"/>
      <c r="X69" s="718"/>
      <c r="Y69" s="718"/>
      <c r="Z69" s="718"/>
      <c r="AA69" s="718"/>
      <c r="AB69" s="718"/>
      <c r="AC69" s="718"/>
      <c r="AD69" s="718"/>
      <c r="AE69" s="718"/>
      <c r="AF69" s="718"/>
      <c r="AG69" s="718"/>
      <c r="AH69" s="718"/>
      <c r="AI69" s="718"/>
      <c r="AJ69" s="718"/>
      <c r="AK69" s="718"/>
      <c r="AL69" s="718"/>
      <c r="AM69" s="718"/>
      <c r="AN69" s="718"/>
      <c r="AO69" s="718"/>
      <c r="AP69" s="718"/>
      <c r="AQ69" s="718"/>
      <c r="AR69" s="718"/>
      <c r="AS69" s="718"/>
      <c r="AT69" s="718"/>
      <c r="AU69" s="718"/>
      <c r="AV69" s="718"/>
      <c r="AW69" s="718"/>
      <c r="AX69" s="718"/>
      <c r="AY69" s="718"/>
      <c r="AZ69" s="718"/>
      <c r="BA69" s="718"/>
      <c r="BB69" s="718"/>
      <c r="BC69" s="718"/>
      <c r="BD69" s="718"/>
      <c r="BE69" s="718"/>
      <c r="BF69" s="718"/>
      <c r="BG69" s="718"/>
      <c r="BH69" s="718"/>
      <c r="BI69" s="718"/>
      <c r="BJ69" s="718"/>
      <c r="BK69" s="718"/>
      <c r="BL69" s="718"/>
      <c r="BM69" s="718"/>
      <c r="BN69" s="718"/>
      <c r="BO69" s="718"/>
      <c r="BP69" s="718"/>
      <c r="BQ69" s="718"/>
      <c r="BR69" s="718"/>
      <c r="BS69" s="718"/>
      <c r="BT69" s="718"/>
      <c r="BU69" s="718"/>
      <c r="BV69" s="719"/>
    </row>
    <row r="70" customFormat="false" ht="15" hidden="false" customHeight="true" outlineLevel="0" collapsed="false">
      <c r="A70" s="720" t="n">
        <v>6.1</v>
      </c>
      <c r="B70" s="721" t="s">
        <v>3909</v>
      </c>
      <c r="C70" s="721" t="s">
        <v>3895</v>
      </c>
      <c r="D70" s="722" t="n">
        <v>30</v>
      </c>
      <c r="E70" s="723" t="n">
        <f aca="false">F63</f>
        <v>46193</v>
      </c>
      <c r="F70" s="723" t="n">
        <f aca="false">E70+D70</f>
        <v>46223</v>
      </c>
      <c r="G70" s="723" t="n">
        <v>46223</v>
      </c>
      <c r="H70" s="724" t="n">
        <f aca="false">IF($G70="","",$F70-$G70)</f>
        <v>0</v>
      </c>
      <c r="I70" s="720" t="n">
        <v>5.2</v>
      </c>
      <c r="J70" s="725" t="n">
        <f aca="false">MIN(E71)-F70</f>
        <v>0</v>
      </c>
      <c r="K70" s="726" t="str">
        <f aca="false">IF($D70="","",IF($J70&lt;=0,"● CRITICAL",""))</f>
        <v>● CRITICAL</v>
      </c>
      <c r="L70" s="727" t="n">
        <f aca="false">IF($B$4&gt;=F70,1,IF($B$4&lt;=E70,0,($B$4-E70)/(F70-E70)))</f>
        <v>0.366666666666667</v>
      </c>
      <c r="M70" s="721" t="str">
        <f aca="false">IF(L70&gt;=1,"Complete",IF(L70&gt;0,"In Progress","Not Started"))</f>
        <v>In Progress</v>
      </c>
      <c r="N70" s="728" t="s">
        <v>3910</v>
      </c>
      <c r="O70" s="717"/>
      <c r="P70" s="718"/>
      <c r="Q70" s="718"/>
      <c r="R70" s="718"/>
      <c r="S70" s="718"/>
      <c r="T70" s="718"/>
      <c r="U70" s="718"/>
      <c r="V70" s="718"/>
      <c r="W70" s="718"/>
      <c r="X70" s="718"/>
      <c r="Y70" s="718"/>
      <c r="Z70" s="718"/>
      <c r="AA70" s="718"/>
      <c r="AB70" s="718"/>
      <c r="AC70" s="718"/>
      <c r="AD70" s="718"/>
      <c r="AE70" s="718"/>
      <c r="AF70" s="718"/>
      <c r="AG70" s="718"/>
      <c r="AH70" s="718"/>
      <c r="AI70" s="718"/>
      <c r="AJ70" s="718"/>
      <c r="AK70" s="718"/>
      <c r="AL70" s="718"/>
      <c r="AM70" s="718"/>
      <c r="AN70" s="718"/>
      <c r="AO70" s="718"/>
      <c r="AP70" s="718"/>
      <c r="AQ70" s="718"/>
      <c r="AR70" s="718"/>
      <c r="AS70" s="718"/>
      <c r="AT70" s="718"/>
      <c r="AU70" s="718"/>
      <c r="AV70" s="718"/>
      <c r="AW70" s="718"/>
      <c r="AX70" s="718"/>
      <c r="AY70" s="718"/>
      <c r="AZ70" s="718"/>
      <c r="BA70" s="718"/>
      <c r="BB70" s="718"/>
      <c r="BC70" s="718"/>
      <c r="BD70" s="718"/>
      <c r="BE70" s="718"/>
      <c r="BF70" s="718"/>
      <c r="BG70" s="718"/>
      <c r="BH70" s="718"/>
      <c r="BI70" s="718"/>
      <c r="BJ70" s="718"/>
      <c r="BK70" s="718"/>
      <c r="BL70" s="718"/>
      <c r="BM70" s="718"/>
      <c r="BN70" s="718"/>
      <c r="BO70" s="718"/>
      <c r="BP70" s="718"/>
      <c r="BQ70" s="718"/>
      <c r="BR70" s="718"/>
      <c r="BS70" s="718"/>
      <c r="BT70" s="718"/>
      <c r="BU70" s="718"/>
      <c r="BV70" s="719"/>
    </row>
    <row r="71" customFormat="false" ht="15" hidden="false" customHeight="true" outlineLevel="0" collapsed="false">
      <c r="A71" s="720" t="n">
        <v>6.2</v>
      </c>
      <c r="B71" s="721" t="s">
        <v>3911</v>
      </c>
      <c r="C71" s="721" t="s">
        <v>3895</v>
      </c>
      <c r="D71" s="722" t="n">
        <v>45</v>
      </c>
      <c r="E71" s="723" t="n">
        <f aca="false">F70</f>
        <v>46223</v>
      </c>
      <c r="F71" s="723" t="n">
        <f aca="false">E71+D71</f>
        <v>46268</v>
      </c>
      <c r="G71" s="723" t="n">
        <v>46268</v>
      </c>
      <c r="H71" s="724" t="n">
        <f aca="false">IF($G71="","",$F71-$G71)</f>
        <v>0</v>
      </c>
      <c r="I71" s="720" t="n">
        <v>6.1</v>
      </c>
      <c r="J71" s="725" t="n">
        <f aca="false">MIN(E72)-F71</f>
        <v>0</v>
      </c>
      <c r="K71" s="726" t="str">
        <f aca="false">IF($D71="","",IF($J71&lt;=0,"● CRITICAL",""))</f>
        <v>● CRITICAL</v>
      </c>
      <c r="L71" s="727" t="n">
        <f aca="false">IF($B$4&gt;=F71,1,IF($B$4&lt;=E71,0,($B$4-E71)/(F71-E71)))</f>
        <v>0</v>
      </c>
      <c r="M71" s="721" t="str">
        <f aca="false">IF(L71&gt;=1,"Complete",IF(L71&gt;0,"In Progress","Not Started"))</f>
        <v>Not Started</v>
      </c>
      <c r="N71" s="728" t="s">
        <v>3910</v>
      </c>
      <c r="O71" s="717"/>
      <c r="P71" s="718"/>
      <c r="Q71" s="718"/>
      <c r="R71" s="718"/>
      <c r="S71" s="718"/>
      <c r="T71" s="718"/>
      <c r="U71" s="718"/>
      <c r="V71" s="718"/>
      <c r="W71" s="718"/>
      <c r="X71" s="718"/>
      <c r="Y71" s="718"/>
      <c r="Z71" s="718"/>
      <c r="AA71" s="718"/>
      <c r="AB71" s="718"/>
      <c r="AC71" s="718"/>
      <c r="AD71" s="718"/>
      <c r="AE71" s="718"/>
      <c r="AF71" s="718"/>
      <c r="AG71" s="718"/>
      <c r="AH71" s="718"/>
      <c r="AI71" s="718"/>
      <c r="AJ71" s="718"/>
      <c r="AK71" s="718"/>
      <c r="AL71" s="718"/>
      <c r="AM71" s="718"/>
      <c r="AN71" s="718"/>
      <c r="AO71" s="718"/>
      <c r="AP71" s="718"/>
      <c r="AQ71" s="718"/>
      <c r="AR71" s="718"/>
      <c r="AS71" s="718"/>
      <c r="AT71" s="718"/>
      <c r="AU71" s="718"/>
      <c r="AV71" s="718"/>
      <c r="AW71" s="718"/>
      <c r="AX71" s="718"/>
      <c r="AY71" s="718"/>
      <c r="AZ71" s="718"/>
      <c r="BA71" s="718"/>
      <c r="BB71" s="718"/>
      <c r="BC71" s="718"/>
      <c r="BD71" s="718"/>
      <c r="BE71" s="718"/>
      <c r="BF71" s="718"/>
      <c r="BG71" s="718"/>
      <c r="BH71" s="718"/>
      <c r="BI71" s="718"/>
      <c r="BJ71" s="718"/>
      <c r="BK71" s="718"/>
      <c r="BL71" s="718"/>
      <c r="BM71" s="718"/>
      <c r="BN71" s="718"/>
      <c r="BO71" s="718"/>
      <c r="BP71" s="718"/>
      <c r="BQ71" s="718"/>
      <c r="BR71" s="718"/>
      <c r="BS71" s="718"/>
      <c r="BT71" s="718"/>
      <c r="BU71" s="718"/>
      <c r="BV71" s="719"/>
    </row>
    <row r="72" customFormat="false" ht="15" hidden="false" customHeight="true" outlineLevel="0" collapsed="false">
      <c r="A72" s="720" t="n">
        <v>6.3</v>
      </c>
      <c r="B72" s="721" t="s">
        <v>3912</v>
      </c>
      <c r="C72" s="721" t="s">
        <v>3895</v>
      </c>
      <c r="D72" s="722" t="n">
        <v>40</v>
      </c>
      <c r="E72" s="723" t="n">
        <f aca="false">F71</f>
        <v>46268</v>
      </c>
      <c r="F72" s="723" t="n">
        <f aca="false">E72+D72</f>
        <v>46308</v>
      </c>
      <c r="G72" s="723" t="n">
        <v>46308</v>
      </c>
      <c r="H72" s="724" t="n">
        <f aca="false">IF($G72="","",$F72-$G72)</f>
        <v>0</v>
      </c>
      <c r="I72" s="720" t="n">
        <v>6.2</v>
      </c>
      <c r="J72" s="725" t="n">
        <f aca="false">MIN(E73,E81)-F72</f>
        <v>0</v>
      </c>
      <c r="K72" s="726" t="str">
        <f aca="false">IF($D72="","",IF($J72&lt;=0,"● CRITICAL",""))</f>
        <v>● CRITICAL</v>
      </c>
      <c r="L72" s="727" t="n">
        <f aca="false">IF($B$4&gt;=F72,1,IF($B$4&lt;=E72,0,($B$4-E72)/(F72-E72)))</f>
        <v>0</v>
      </c>
      <c r="M72" s="721" t="str">
        <f aca="false">IF(L72&gt;=1,"Complete",IF(L72&gt;0,"In Progress","Not Started"))</f>
        <v>Not Started</v>
      </c>
      <c r="N72" s="728" t="s">
        <v>3910</v>
      </c>
      <c r="O72" s="717"/>
      <c r="P72" s="718"/>
      <c r="Q72" s="718"/>
      <c r="R72" s="718"/>
      <c r="S72" s="718"/>
      <c r="T72" s="718"/>
      <c r="U72" s="718"/>
      <c r="V72" s="718"/>
      <c r="W72" s="718"/>
      <c r="X72" s="718"/>
      <c r="Y72" s="718"/>
      <c r="Z72" s="718"/>
      <c r="AA72" s="718"/>
      <c r="AB72" s="718"/>
      <c r="AC72" s="718"/>
      <c r="AD72" s="718"/>
      <c r="AE72" s="718"/>
      <c r="AF72" s="718"/>
      <c r="AG72" s="718"/>
      <c r="AH72" s="718"/>
      <c r="AI72" s="718"/>
      <c r="AJ72" s="718"/>
      <c r="AK72" s="718"/>
      <c r="AL72" s="718"/>
      <c r="AM72" s="718"/>
      <c r="AN72" s="718"/>
      <c r="AO72" s="718"/>
      <c r="AP72" s="718"/>
      <c r="AQ72" s="718"/>
      <c r="AR72" s="718"/>
      <c r="AS72" s="718"/>
      <c r="AT72" s="718"/>
      <c r="AU72" s="718"/>
      <c r="AV72" s="718"/>
      <c r="AW72" s="718"/>
      <c r="AX72" s="718"/>
      <c r="AY72" s="718"/>
      <c r="AZ72" s="718"/>
      <c r="BA72" s="718"/>
      <c r="BB72" s="718"/>
      <c r="BC72" s="718"/>
      <c r="BD72" s="718"/>
      <c r="BE72" s="718"/>
      <c r="BF72" s="718"/>
      <c r="BG72" s="718"/>
      <c r="BH72" s="718"/>
      <c r="BI72" s="718"/>
      <c r="BJ72" s="718"/>
      <c r="BK72" s="718"/>
      <c r="BL72" s="718"/>
      <c r="BM72" s="718"/>
      <c r="BN72" s="718"/>
      <c r="BO72" s="718"/>
      <c r="BP72" s="718"/>
      <c r="BQ72" s="718"/>
      <c r="BR72" s="718"/>
      <c r="BS72" s="718"/>
      <c r="BT72" s="718"/>
      <c r="BU72" s="718"/>
      <c r="BV72" s="719"/>
    </row>
    <row r="73" customFormat="false" ht="15" hidden="false" customHeight="true" outlineLevel="0" collapsed="false">
      <c r="A73" s="720" t="n">
        <v>6.4</v>
      </c>
      <c r="B73" s="721" t="s">
        <v>3913</v>
      </c>
      <c r="C73" s="721" t="s">
        <v>3895</v>
      </c>
      <c r="D73" s="722" t="n">
        <v>55</v>
      </c>
      <c r="E73" s="723" t="n">
        <f aca="false">F72</f>
        <v>46308</v>
      </c>
      <c r="F73" s="723" t="n">
        <f aca="false">E73+D73</f>
        <v>46363</v>
      </c>
      <c r="G73" s="723" t="n">
        <v>46363</v>
      </c>
      <c r="H73" s="724" t="n">
        <f aca="false">IF($G73="","",$F73-$G73)</f>
        <v>0</v>
      </c>
      <c r="I73" s="720" t="n">
        <v>6.3</v>
      </c>
      <c r="J73" s="725" t="n">
        <f aca="false">MIN(E74)-F73</f>
        <v>0</v>
      </c>
      <c r="K73" s="726" t="str">
        <f aca="false">IF($D73="","",IF($J73&lt;=0,"● CRITICAL",""))</f>
        <v>● CRITICAL</v>
      </c>
      <c r="L73" s="727" t="n">
        <f aca="false">IF($B$4&gt;=F73,1,IF($B$4&lt;=E73,0,($B$4-E73)/(F73-E73)))</f>
        <v>0</v>
      </c>
      <c r="M73" s="721" t="str">
        <f aca="false">IF(L73&gt;=1,"Complete",IF(L73&gt;0,"In Progress","Not Started"))</f>
        <v>Not Started</v>
      </c>
      <c r="N73" s="728" t="s">
        <v>3910</v>
      </c>
      <c r="O73" s="717"/>
      <c r="P73" s="718"/>
      <c r="Q73" s="718"/>
      <c r="R73" s="718"/>
      <c r="S73" s="718"/>
      <c r="T73" s="718"/>
      <c r="U73" s="718"/>
      <c r="V73" s="718"/>
      <c r="W73" s="718"/>
      <c r="X73" s="718"/>
      <c r="Y73" s="718"/>
      <c r="Z73" s="718"/>
      <c r="AA73" s="718"/>
      <c r="AB73" s="718"/>
      <c r="AC73" s="718"/>
      <c r="AD73" s="718"/>
      <c r="AE73" s="718"/>
      <c r="AF73" s="718"/>
      <c r="AG73" s="718"/>
      <c r="AH73" s="718"/>
      <c r="AI73" s="718"/>
      <c r="AJ73" s="718"/>
      <c r="AK73" s="718"/>
      <c r="AL73" s="718"/>
      <c r="AM73" s="718"/>
      <c r="AN73" s="718"/>
      <c r="AO73" s="718"/>
      <c r="AP73" s="718"/>
      <c r="AQ73" s="718"/>
      <c r="AR73" s="718"/>
      <c r="AS73" s="718"/>
      <c r="AT73" s="718"/>
      <c r="AU73" s="718"/>
      <c r="AV73" s="718"/>
      <c r="AW73" s="718"/>
      <c r="AX73" s="718"/>
      <c r="AY73" s="718"/>
      <c r="AZ73" s="718"/>
      <c r="BA73" s="718"/>
      <c r="BB73" s="718"/>
      <c r="BC73" s="718"/>
      <c r="BD73" s="718"/>
      <c r="BE73" s="718"/>
      <c r="BF73" s="718"/>
      <c r="BG73" s="718"/>
      <c r="BH73" s="718"/>
      <c r="BI73" s="718"/>
      <c r="BJ73" s="718"/>
      <c r="BK73" s="718"/>
      <c r="BL73" s="718"/>
      <c r="BM73" s="718"/>
      <c r="BN73" s="718"/>
      <c r="BO73" s="718"/>
      <c r="BP73" s="718"/>
      <c r="BQ73" s="718"/>
      <c r="BR73" s="718"/>
      <c r="BS73" s="718"/>
      <c r="BT73" s="718"/>
      <c r="BU73" s="718"/>
      <c r="BV73" s="719"/>
    </row>
    <row r="74" customFormat="false" ht="15" hidden="false" customHeight="true" outlineLevel="0" collapsed="false">
      <c r="A74" s="720" t="n">
        <v>6.5</v>
      </c>
      <c r="B74" s="721" t="s">
        <v>3914</v>
      </c>
      <c r="C74" s="721" t="s">
        <v>3898</v>
      </c>
      <c r="D74" s="722" t="n">
        <v>45</v>
      </c>
      <c r="E74" s="723" t="n">
        <f aca="false">F73</f>
        <v>46363</v>
      </c>
      <c r="F74" s="723" t="n">
        <f aca="false">E74+D74</f>
        <v>46408</v>
      </c>
      <c r="G74" s="723" t="n">
        <v>46408</v>
      </c>
      <c r="H74" s="724" t="n">
        <f aca="false">IF($G74="","",$F74-$G74)</f>
        <v>0</v>
      </c>
      <c r="I74" s="720" t="n">
        <v>6.4</v>
      </c>
      <c r="J74" s="725" t="n">
        <f aca="false">MIN(E78)-F74</f>
        <v>0</v>
      </c>
      <c r="K74" s="726" t="str">
        <f aca="false">IF($D74="","",IF($J74&lt;=0,"● CRITICAL",""))</f>
        <v>● CRITICAL</v>
      </c>
      <c r="L74" s="727" t="n">
        <f aca="false">IF($B$4&gt;=F74,1,IF($B$4&lt;=E74,0,($B$4-E74)/(F74-E74)))</f>
        <v>0</v>
      </c>
      <c r="M74" s="721" t="str">
        <f aca="false">IF(L74&gt;=1,"Complete",IF(L74&gt;0,"In Progress","Not Started"))</f>
        <v>Not Started</v>
      </c>
      <c r="N74" s="728" t="s">
        <v>3915</v>
      </c>
      <c r="O74" s="717"/>
      <c r="P74" s="718"/>
      <c r="Q74" s="718"/>
      <c r="R74" s="718"/>
      <c r="S74" s="718"/>
      <c r="T74" s="718"/>
      <c r="U74" s="718"/>
      <c r="V74" s="718"/>
      <c r="W74" s="718"/>
      <c r="X74" s="718"/>
      <c r="Y74" s="718"/>
      <c r="Z74" s="718"/>
      <c r="AA74" s="718"/>
      <c r="AB74" s="718"/>
      <c r="AC74" s="718"/>
      <c r="AD74" s="718"/>
      <c r="AE74" s="718"/>
      <c r="AF74" s="718"/>
      <c r="AG74" s="718"/>
      <c r="AH74" s="718"/>
      <c r="AI74" s="718"/>
      <c r="AJ74" s="718"/>
      <c r="AK74" s="718"/>
      <c r="AL74" s="718"/>
      <c r="AM74" s="718"/>
      <c r="AN74" s="718"/>
      <c r="AO74" s="718"/>
      <c r="AP74" s="718"/>
      <c r="AQ74" s="718"/>
      <c r="AR74" s="718"/>
      <c r="AS74" s="718"/>
      <c r="AT74" s="718"/>
      <c r="AU74" s="718"/>
      <c r="AV74" s="718"/>
      <c r="AW74" s="718"/>
      <c r="AX74" s="718"/>
      <c r="AY74" s="718"/>
      <c r="AZ74" s="718"/>
      <c r="BA74" s="718"/>
      <c r="BB74" s="718"/>
      <c r="BC74" s="718"/>
      <c r="BD74" s="718"/>
      <c r="BE74" s="718"/>
      <c r="BF74" s="718"/>
      <c r="BG74" s="718"/>
      <c r="BH74" s="718"/>
      <c r="BI74" s="718"/>
      <c r="BJ74" s="718"/>
      <c r="BK74" s="718"/>
      <c r="BL74" s="718"/>
      <c r="BM74" s="718"/>
      <c r="BN74" s="718"/>
      <c r="BO74" s="718"/>
      <c r="BP74" s="718"/>
      <c r="BQ74" s="718"/>
      <c r="BR74" s="718"/>
      <c r="BS74" s="718"/>
      <c r="BT74" s="718"/>
      <c r="BU74" s="718"/>
      <c r="BV74" s="719"/>
    </row>
    <row r="75" customFormat="false" ht="15" hidden="false" customHeight="true" outlineLevel="0" collapsed="false">
      <c r="A75" s="729" t="s">
        <v>3916</v>
      </c>
      <c r="B75" s="721" t="s">
        <v>3917</v>
      </c>
      <c r="C75" s="721" t="s">
        <v>3895</v>
      </c>
      <c r="D75" s="722" t="n">
        <v>20</v>
      </c>
      <c r="E75" s="723" t="n">
        <f aca="false">F70</f>
        <v>46223</v>
      </c>
      <c r="F75" s="723" t="n">
        <f aca="false">E75+D75</f>
        <v>46243</v>
      </c>
      <c r="G75" s="723" t="n">
        <v>46243</v>
      </c>
      <c r="H75" s="724" t="n">
        <f aca="false">IF($G75="","",$F75-$G75)</f>
        <v>0</v>
      </c>
      <c r="I75" s="720" t="n">
        <v>6.1</v>
      </c>
      <c r="J75" s="725" t="n">
        <f aca="false">$F$166-F75</f>
        <v>930</v>
      </c>
      <c r="K75" s="726" t="str">
        <f aca="false">IF($D75="","",IF($J75&lt;=0,"● CRITICAL",""))</f>
        <v/>
      </c>
      <c r="L75" s="727" t="n">
        <f aca="false">IF($B$4&gt;=F75,1,IF($B$4&lt;=E75,0,($B$4-E75)/(F75-E75)))</f>
        <v>0</v>
      </c>
      <c r="M75" s="721" t="str">
        <f aca="false">IF(L75&gt;=1,"Complete",IF(L75&gt;0,"In Progress","Not Started"))</f>
        <v>Not Started</v>
      </c>
      <c r="N75" s="728" t="s">
        <v>3910</v>
      </c>
      <c r="O75" s="717"/>
      <c r="P75" s="718"/>
      <c r="Q75" s="718"/>
      <c r="R75" s="718"/>
      <c r="S75" s="718"/>
      <c r="T75" s="718"/>
      <c r="U75" s="718"/>
      <c r="V75" s="718"/>
      <c r="W75" s="718"/>
      <c r="X75" s="718"/>
      <c r="Y75" s="718"/>
      <c r="Z75" s="718"/>
      <c r="AA75" s="718"/>
      <c r="AB75" s="718"/>
      <c r="AC75" s="718"/>
      <c r="AD75" s="718"/>
      <c r="AE75" s="718"/>
      <c r="AF75" s="718"/>
      <c r="AG75" s="730"/>
      <c r="AH75" s="730"/>
      <c r="AI75" s="718"/>
      <c r="AJ75" s="718"/>
      <c r="AK75" s="718"/>
      <c r="AL75" s="718"/>
      <c r="AM75" s="718"/>
      <c r="AN75" s="718"/>
      <c r="AO75" s="718"/>
      <c r="AP75" s="718"/>
      <c r="AQ75" s="718"/>
      <c r="AR75" s="718"/>
      <c r="AS75" s="718"/>
      <c r="AT75" s="718"/>
      <c r="AU75" s="718"/>
      <c r="AV75" s="718"/>
      <c r="AW75" s="718"/>
      <c r="AX75" s="718"/>
      <c r="AY75" s="718"/>
      <c r="AZ75" s="718"/>
      <c r="BA75" s="718"/>
      <c r="BB75" s="718"/>
      <c r="BC75" s="718"/>
      <c r="BD75" s="718"/>
      <c r="BE75" s="718"/>
      <c r="BF75" s="718"/>
      <c r="BG75" s="718"/>
      <c r="BH75" s="718"/>
      <c r="BI75" s="718"/>
      <c r="BJ75" s="718"/>
      <c r="BK75" s="718"/>
      <c r="BL75" s="718"/>
      <c r="BM75" s="718"/>
      <c r="BN75" s="718"/>
      <c r="BO75" s="718"/>
      <c r="BP75" s="718"/>
      <c r="BQ75" s="718"/>
      <c r="BR75" s="718"/>
      <c r="BS75" s="718"/>
      <c r="BT75" s="718"/>
      <c r="BU75" s="718"/>
      <c r="BV75" s="719"/>
    </row>
    <row r="76" customFormat="false" ht="15" hidden="false" customHeight="true" outlineLevel="0" collapsed="false">
      <c r="A76" s="729" t="s">
        <v>3918</v>
      </c>
      <c r="B76" s="721" t="s">
        <v>3919</v>
      </c>
      <c r="C76" s="721" t="s">
        <v>3920</v>
      </c>
      <c r="D76" s="722" t="n">
        <v>15</v>
      </c>
      <c r="E76" s="723" t="n">
        <f aca="false">F70</f>
        <v>46223</v>
      </c>
      <c r="F76" s="723" t="n">
        <f aca="false">E76+D76</f>
        <v>46238</v>
      </c>
      <c r="G76" s="723" t="n">
        <v>46238</v>
      </c>
      <c r="H76" s="724" t="n">
        <f aca="false">IF($G76="","",$F76-$G76)</f>
        <v>0</v>
      </c>
      <c r="I76" s="720" t="n">
        <v>6.1</v>
      </c>
      <c r="J76" s="725" t="n">
        <f aca="false">$F$166-F76</f>
        <v>935</v>
      </c>
      <c r="K76" s="726" t="str">
        <f aca="false">IF($D76="","",IF($J76&lt;=0,"● CRITICAL",""))</f>
        <v/>
      </c>
      <c r="L76" s="727" t="n">
        <f aca="false">IF($B$4&gt;=F76,1,IF($B$4&lt;=E76,0,($B$4-E76)/(F76-E76)))</f>
        <v>0</v>
      </c>
      <c r="M76" s="721" t="str">
        <f aca="false">IF(L76&gt;=1,"Complete",IF(L76&gt;0,"In Progress","Not Started"))</f>
        <v>Not Started</v>
      </c>
      <c r="N76" s="728" t="s">
        <v>3921</v>
      </c>
      <c r="O76" s="717"/>
      <c r="P76" s="718"/>
      <c r="Q76" s="718"/>
      <c r="R76" s="718"/>
      <c r="S76" s="718"/>
      <c r="T76" s="718"/>
      <c r="U76" s="718"/>
      <c r="V76" s="718"/>
      <c r="W76" s="718"/>
      <c r="X76" s="718"/>
      <c r="Y76" s="718"/>
      <c r="Z76" s="718"/>
      <c r="AA76" s="718"/>
      <c r="AB76" s="718"/>
      <c r="AC76" s="718"/>
      <c r="AD76" s="718"/>
      <c r="AE76" s="718"/>
      <c r="AF76" s="718"/>
      <c r="AG76" s="730"/>
      <c r="AH76" s="730"/>
      <c r="AI76" s="718"/>
      <c r="AJ76" s="718"/>
      <c r="AK76" s="718"/>
      <c r="AL76" s="718"/>
      <c r="AM76" s="718"/>
      <c r="AN76" s="718"/>
      <c r="AO76" s="718"/>
      <c r="AP76" s="718"/>
      <c r="AQ76" s="718"/>
      <c r="AR76" s="718"/>
      <c r="AS76" s="718"/>
      <c r="AT76" s="718"/>
      <c r="AU76" s="718"/>
      <c r="AV76" s="718"/>
      <c r="AW76" s="718"/>
      <c r="AX76" s="718"/>
      <c r="AY76" s="718"/>
      <c r="AZ76" s="718"/>
      <c r="BA76" s="718"/>
      <c r="BB76" s="718"/>
      <c r="BC76" s="718"/>
      <c r="BD76" s="718"/>
      <c r="BE76" s="718"/>
      <c r="BF76" s="718"/>
      <c r="BG76" s="718"/>
      <c r="BH76" s="718"/>
      <c r="BI76" s="718"/>
      <c r="BJ76" s="718"/>
      <c r="BK76" s="718"/>
      <c r="BL76" s="718"/>
      <c r="BM76" s="718"/>
      <c r="BN76" s="718"/>
      <c r="BO76" s="718"/>
      <c r="BP76" s="718"/>
      <c r="BQ76" s="718"/>
      <c r="BR76" s="718"/>
      <c r="BS76" s="718"/>
      <c r="BT76" s="718"/>
      <c r="BU76" s="718"/>
      <c r="BV76" s="719"/>
    </row>
    <row r="77" customFormat="false" ht="15" hidden="false" customHeight="true" outlineLevel="0" collapsed="false">
      <c r="A77" s="729" t="s">
        <v>3922</v>
      </c>
      <c r="B77" s="721" t="s">
        <v>3923</v>
      </c>
      <c r="C77" s="721" t="s">
        <v>3895</v>
      </c>
      <c r="D77" s="722" t="n">
        <v>35</v>
      </c>
      <c r="E77" s="723" t="n">
        <f aca="false">F71</f>
        <v>46268</v>
      </c>
      <c r="F77" s="723" t="n">
        <f aca="false">E77+D77</f>
        <v>46303</v>
      </c>
      <c r="G77" s="723" t="n">
        <v>46303</v>
      </c>
      <c r="H77" s="724" t="n">
        <f aca="false">IF($G77="","",$F77-$G77)</f>
        <v>0</v>
      </c>
      <c r="I77" s="720" t="n">
        <v>6.2</v>
      </c>
      <c r="J77" s="725" t="n">
        <f aca="false">$F$166-F77</f>
        <v>870</v>
      </c>
      <c r="K77" s="726" t="str">
        <f aca="false">IF($D77="","",IF($J77&lt;=0,"● CRITICAL",""))</f>
        <v/>
      </c>
      <c r="L77" s="727" t="n">
        <f aca="false">IF($B$4&gt;=F77,1,IF($B$4&lt;=E77,0,($B$4-E77)/(F77-E77)))</f>
        <v>0</v>
      </c>
      <c r="M77" s="721" t="str">
        <f aca="false">IF(L77&gt;=1,"Complete",IF(L77&gt;0,"In Progress","Not Started"))</f>
        <v>Not Started</v>
      </c>
      <c r="N77" s="728" t="s">
        <v>3910</v>
      </c>
      <c r="O77" s="717"/>
      <c r="P77" s="718"/>
      <c r="Q77" s="718"/>
      <c r="R77" s="718"/>
      <c r="S77" s="718"/>
      <c r="T77" s="718"/>
      <c r="U77" s="718"/>
      <c r="V77" s="718"/>
      <c r="W77" s="718"/>
      <c r="X77" s="718"/>
      <c r="Y77" s="718"/>
      <c r="Z77" s="718"/>
      <c r="AA77" s="718"/>
      <c r="AB77" s="718"/>
      <c r="AC77" s="718"/>
      <c r="AD77" s="718"/>
      <c r="AE77" s="718"/>
      <c r="AF77" s="718"/>
      <c r="AG77" s="718"/>
      <c r="AH77" s="718"/>
      <c r="AI77" s="730"/>
      <c r="AJ77" s="730"/>
      <c r="AK77" s="718"/>
      <c r="AL77" s="718"/>
      <c r="AM77" s="718"/>
      <c r="AN77" s="718"/>
      <c r="AO77" s="718"/>
      <c r="AP77" s="718"/>
      <c r="AQ77" s="718"/>
      <c r="AR77" s="718"/>
      <c r="AS77" s="718"/>
      <c r="AT77" s="718"/>
      <c r="AU77" s="718"/>
      <c r="AV77" s="718"/>
      <c r="AW77" s="718"/>
      <c r="AX77" s="718"/>
      <c r="AY77" s="718"/>
      <c r="AZ77" s="718"/>
      <c r="BA77" s="718"/>
      <c r="BB77" s="718"/>
      <c r="BC77" s="718"/>
      <c r="BD77" s="718"/>
      <c r="BE77" s="718"/>
      <c r="BF77" s="718"/>
      <c r="BG77" s="718"/>
      <c r="BH77" s="718"/>
      <c r="BI77" s="718"/>
      <c r="BJ77" s="718"/>
      <c r="BK77" s="718"/>
      <c r="BL77" s="718"/>
      <c r="BM77" s="718"/>
      <c r="BN77" s="718"/>
      <c r="BO77" s="718"/>
      <c r="BP77" s="718"/>
      <c r="BQ77" s="718"/>
      <c r="BR77" s="718"/>
      <c r="BS77" s="718"/>
      <c r="BT77" s="718"/>
      <c r="BU77" s="718"/>
      <c r="BV77" s="719"/>
    </row>
    <row r="78" customFormat="false" ht="15" hidden="false" customHeight="true" outlineLevel="0" collapsed="false">
      <c r="A78" s="720" t="n">
        <v>6.6</v>
      </c>
      <c r="B78" s="721" t="s">
        <v>3924</v>
      </c>
      <c r="C78" s="721" t="s">
        <v>3925</v>
      </c>
      <c r="D78" s="722" t="n">
        <v>40</v>
      </c>
      <c r="E78" s="723" t="n">
        <f aca="false">F74</f>
        <v>46408</v>
      </c>
      <c r="F78" s="723" t="n">
        <f aca="false">E78+D78</f>
        <v>46448</v>
      </c>
      <c r="G78" s="723" t="n">
        <v>46448</v>
      </c>
      <c r="H78" s="724" t="n">
        <f aca="false">IF($G78="","",$F78-$G78)</f>
        <v>0</v>
      </c>
      <c r="I78" s="720" t="n">
        <v>6.5</v>
      </c>
      <c r="J78" s="725" t="n">
        <f aca="false">$F$166-F78</f>
        <v>725</v>
      </c>
      <c r="K78" s="726" t="str">
        <f aca="false">IF($D78="","",IF($J78&lt;=0,"● CRITICAL",""))</f>
        <v/>
      </c>
      <c r="L78" s="727" t="n">
        <f aca="false">IF($B$4&gt;=F78,1,IF($B$4&lt;=E78,0,($B$4-E78)/(F78-E78)))</f>
        <v>0</v>
      </c>
      <c r="M78" s="721" t="str">
        <f aca="false">IF(L78&gt;=1,"Complete",IF(L78&gt;0,"In Progress","Not Started"))</f>
        <v>Not Started</v>
      </c>
      <c r="N78" s="728" t="s">
        <v>3910</v>
      </c>
      <c r="O78" s="717"/>
      <c r="P78" s="718"/>
      <c r="Q78" s="718"/>
      <c r="R78" s="718"/>
      <c r="S78" s="718"/>
      <c r="T78" s="718"/>
      <c r="U78" s="718"/>
      <c r="V78" s="718"/>
      <c r="W78" s="718"/>
      <c r="X78" s="718"/>
      <c r="Y78" s="718"/>
      <c r="Z78" s="718"/>
      <c r="AA78" s="718"/>
      <c r="AB78" s="718"/>
      <c r="AC78" s="718"/>
      <c r="AD78" s="718"/>
      <c r="AE78" s="718"/>
      <c r="AF78" s="718"/>
      <c r="AG78" s="718"/>
      <c r="AH78" s="718"/>
      <c r="AI78" s="718"/>
      <c r="AJ78" s="718"/>
      <c r="AK78" s="718"/>
      <c r="AL78" s="718"/>
      <c r="AM78" s="718"/>
      <c r="AN78" s="718"/>
      <c r="AO78" s="718"/>
      <c r="AP78" s="718"/>
      <c r="AQ78" s="718"/>
      <c r="AR78" s="718"/>
      <c r="AS78" s="718"/>
      <c r="AT78" s="718"/>
      <c r="AU78" s="718"/>
      <c r="AV78" s="718"/>
      <c r="AW78" s="718"/>
      <c r="AX78" s="718"/>
      <c r="AY78" s="718"/>
      <c r="AZ78" s="718"/>
      <c r="BA78" s="718"/>
      <c r="BB78" s="718"/>
      <c r="BC78" s="718"/>
      <c r="BD78" s="718"/>
      <c r="BE78" s="718"/>
      <c r="BF78" s="718"/>
      <c r="BG78" s="718"/>
      <c r="BH78" s="718"/>
      <c r="BI78" s="718"/>
      <c r="BJ78" s="718"/>
      <c r="BK78" s="718"/>
      <c r="BL78" s="718"/>
      <c r="BM78" s="718"/>
      <c r="BN78" s="718"/>
      <c r="BO78" s="718"/>
      <c r="BP78" s="718"/>
      <c r="BQ78" s="718"/>
      <c r="BR78" s="718"/>
      <c r="BS78" s="718"/>
      <c r="BT78" s="718"/>
      <c r="BU78" s="718"/>
      <c r="BV78" s="719"/>
    </row>
    <row r="79" customFormat="false" ht="15" hidden="false" customHeight="true" outlineLevel="0" collapsed="false">
      <c r="A79" s="720" t="n">
        <v>6.7</v>
      </c>
      <c r="B79" s="721" t="s">
        <v>3926</v>
      </c>
      <c r="C79" s="721" t="s">
        <v>3927</v>
      </c>
      <c r="D79" s="722" t="n">
        <v>30</v>
      </c>
      <c r="E79" s="723" t="n">
        <f aca="false">F133</f>
        <v>46863</v>
      </c>
      <c r="F79" s="723" t="n">
        <f aca="false">E79+D79</f>
        <v>46893</v>
      </c>
      <c r="G79" s="723" t="n">
        <v>46893</v>
      </c>
      <c r="H79" s="724" t="n">
        <f aca="false">IF($G79="","",$F79-$G79)</f>
        <v>0</v>
      </c>
      <c r="I79" s="720" t="n">
        <v>11.5</v>
      </c>
      <c r="J79" s="725" t="n">
        <f aca="false">$F$166-F79</f>
        <v>280</v>
      </c>
      <c r="K79" s="726" t="str">
        <f aca="false">IF($D79="","",IF($J79&lt;=0,"● CRITICAL",""))</f>
        <v/>
      </c>
      <c r="L79" s="727" t="n">
        <f aca="false">IF($B$4&gt;=F79,1,IF($B$4&lt;=E79,0,($B$4-E79)/(F79-E79)))</f>
        <v>0</v>
      </c>
      <c r="M79" s="721" t="str">
        <f aca="false">IF(L79&gt;=1,"Complete",IF(L79&gt;0,"In Progress","Not Started"))</f>
        <v>Not Started</v>
      </c>
      <c r="N79" s="728" t="s">
        <v>3910</v>
      </c>
      <c r="O79" s="717"/>
      <c r="P79" s="718"/>
      <c r="Q79" s="718"/>
      <c r="R79" s="718"/>
      <c r="S79" s="718"/>
      <c r="T79" s="718"/>
      <c r="U79" s="718"/>
      <c r="V79" s="718"/>
      <c r="W79" s="718"/>
      <c r="X79" s="718"/>
      <c r="Y79" s="718"/>
      <c r="Z79" s="718"/>
      <c r="AA79" s="718"/>
      <c r="AB79" s="718"/>
      <c r="AC79" s="718"/>
      <c r="AD79" s="718"/>
      <c r="AE79" s="718"/>
      <c r="AF79" s="718"/>
      <c r="AG79" s="718"/>
      <c r="AH79" s="718"/>
      <c r="AI79" s="718"/>
      <c r="AJ79" s="718"/>
      <c r="AK79" s="718"/>
      <c r="AL79" s="718"/>
      <c r="AM79" s="718"/>
      <c r="AN79" s="718"/>
      <c r="AO79" s="718"/>
      <c r="AP79" s="718"/>
      <c r="AQ79" s="718"/>
      <c r="AR79" s="718"/>
      <c r="AS79" s="718"/>
      <c r="AT79" s="718"/>
      <c r="AU79" s="718"/>
      <c r="AV79" s="718"/>
      <c r="AW79" s="718"/>
      <c r="AX79" s="718"/>
      <c r="AY79" s="718"/>
      <c r="AZ79" s="718"/>
      <c r="BA79" s="718"/>
      <c r="BB79" s="718"/>
      <c r="BC79" s="718"/>
      <c r="BD79" s="718"/>
      <c r="BE79" s="718"/>
      <c r="BF79" s="718"/>
      <c r="BG79" s="718"/>
      <c r="BH79" s="718"/>
      <c r="BI79" s="718"/>
      <c r="BJ79" s="718"/>
      <c r="BK79" s="718"/>
      <c r="BL79" s="718"/>
      <c r="BM79" s="718"/>
      <c r="BN79" s="718"/>
      <c r="BO79" s="718"/>
      <c r="BP79" s="718"/>
      <c r="BQ79" s="718"/>
      <c r="BR79" s="718"/>
      <c r="BS79" s="718"/>
      <c r="BT79" s="718"/>
      <c r="BU79" s="718"/>
      <c r="BV79" s="719"/>
    </row>
    <row r="80" customFormat="false" ht="15" hidden="false" customHeight="true" outlineLevel="0" collapsed="false">
      <c r="A80" s="709" t="n">
        <v>7</v>
      </c>
      <c r="B80" s="710" t="s">
        <v>3928</v>
      </c>
      <c r="C80" s="710"/>
      <c r="D80" s="711" t="n">
        <f aca="false">F80-E80</f>
        <v>320</v>
      </c>
      <c r="E80" s="712" t="n">
        <f aca="false">MIN(E81:E90)</f>
        <v>46308</v>
      </c>
      <c r="F80" s="712" t="n">
        <f aca="false">MAX(F81:F90)</f>
        <v>46628</v>
      </c>
      <c r="G80" s="712" t="n">
        <v>46628</v>
      </c>
      <c r="H80" s="713" t="n">
        <f aca="false">IF($G80="","",$F80-$G80)</f>
        <v>0</v>
      </c>
      <c r="I80" s="709"/>
      <c r="J80" s="714"/>
      <c r="K80" s="710"/>
      <c r="L80" s="715" t="n">
        <f aca="false">IFERROR(SUMPRODUCT($D81:$D90,$L81:$L90)/SUM($D81:$D90),0)</f>
        <v>0</v>
      </c>
      <c r="M80" s="710" t="str">
        <f aca="false">IF(L80&gt;=1,"Complete",IF(L80&gt;0,"In Progress","Not Started"))</f>
        <v>Not Started</v>
      </c>
      <c r="N80" s="716" t="s">
        <v>3929</v>
      </c>
      <c r="O80" s="717"/>
      <c r="P80" s="718"/>
      <c r="Q80" s="718"/>
      <c r="R80" s="718"/>
      <c r="S80" s="718"/>
      <c r="T80" s="718"/>
      <c r="U80" s="718"/>
      <c r="V80" s="718"/>
      <c r="W80" s="718"/>
      <c r="X80" s="718"/>
      <c r="Y80" s="718"/>
      <c r="Z80" s="718"/>
      <c r="AA80" s="718"/>
      <c r="AB80" s="718"/>
      <c r="AC80" s="718"/>
      <c r="AD80" s="718"/>
      <c r="AE80" s="718"/>
      <c r="AF80" s="718"/>
      <c r="AG80" s="718"/>
      <c r="AH80" s="718"/>
      <c r="AI80" s="718"/>
      <c r="AJ80" s="718"/>
      <c r="AK80" s="718"/>
      <c r="AL80" s="718"/>
      <c r="AM80" s="718"/>
      <c r="AN80" s="718"/>
      <c r="AO80" s="718"/>
      <c r="AP80" s="718"/>
      <c r="AQ80" s="718"/>
      <c r="AR80" s="718"/>
      <c r="AS80" s="718"/>
      <c r="AT80" s="718"/>
      <c r="AU80" s="718"/>
      <c r="AV80" s="718"/>
      <c r="AW80" s="718"/>
      <c r="AX80" s="718"/>
      <c r="AY80" s="718"/>
      <c r="AZ80" s="718"/>
      <c r="BA80" s="718"/>
      <c r="BB80" s="718"/>
      <c r="BC80" s="718"/>
      <c r="BD80" s="718"/>
      <c r="BE80" s="718"/>
      <c r="BF80" s="718"/>
      <c r="BG80" s="718"/>
      <c r="BH80" s="718"/>
      <c r="BI80" s="718"/>
      <c r="BJ80" s="718"/>
      <c r="BK80" s="718"/>
      <c r="BL80" s="718"/>
      <c r="BM80" s="718"/>
      <c r="BN80" s="718"/>
      <c r="BO80" s="718"/>
      <c r="BP80" s="718"/>
      <c r="BQ80" s="718"/>
      <c r="BR80" s="718"/>
      <c r="BS80" s="718"/>
      <c r="BT80" s="718"/>
      <c r="BU80" s="718"/>
      <c r="BV80" s="719"/>
    </row>
    <row r="81" customFormat="false" ht="15" hidden="false" customHeight="true" outlineLevel="0" collapsed="false">
      <c r="A81" s="720" t="n">
        <v>7.1</v>
      </c>
      <c r="B81" s="721" t="s">
        <v>3930</v>
      </c>
      <c r="C81" s="721" t="s">
        <v>3931</v>
      </c>
      <c r="D81" s="722" t="n">
        <v>45</v>
      </c>
      <c r="E81" s="723" t="n">
        <f aca="false">F72</f>
        <v>46308</v>
      </c>
      <c r="F81" s="723" t="n">
        <f aca="false">E81+D81</f>
        <v>46353</v>
      </c>
      <c r="G81" s="723" t="n">
        <v>46353</v>
      </c>
      <c r="H81" s="724" t="n">
        <f aca="false">IF($G81="","",$F81-$G81)</f>
        <v>0</v>
      </c>
      <c r="I81" s="720" t="n">
        <v>6.3</v>
      </c>
      <c r="J81" s="725" t="n">
        <f aca="false">MIN(E82)-F81</f>
        <v>0</v>
      </c>
      <c r="K81" s="726" t="str">
        <f aca="false">IF($D81="","",IF($J81&lt;=0,"● CRITICAL",""))</f>
        <v>● CRITICAL</v>
      </c>
      <c r="L81" s="727" t="n">
        <f aca="false">IF($B$4&gt;=F81,1,IF($B$4&lt;=E81,0,($B$4-E81)/(F81-E81)))</f>
        <v>0</v>
      </c>
      <c r="M81" s="721" t="str">
        <f aca="false">IF(L81&gt;=1,"Complete",IF(L81&gt;0,"In Progress","Not Started"))</f>
        <v>Not Started</v>
      </c>
      <c r="N81" s="728" t="s">
        <v>3932</v>
      </c>
      <c r="O81" s="717"/>
      <c r="P81" s="718"/>
      <c r="Q81" s="718"/>
      <c r="R81" s="718"/>
      <c r="S81" s="718"/>
      <c r="T81" s="718"/>
      <c r="U81" s="718"/>
      <c r="V81" s="718"/>
      <c r="W81" s="718"/>
      <c r="X81" s="718"/>
      <c r="Y81" s="718"/>
      <c r="Z81" s="718"/>
      <c r="AA81" s="718"/>
      <c r="AB81" s="718"/>
      <c r="AC81" s="718"/>
      <c r="AD81" s="718"/>
      <c r="AE81" s="718"/>
      <c r="AF81" s="718"/>
      <c r="AG81" s="718"/>
      <c r="AH81" s="718"/>
      <c r="AI81" s="718"/>
      <c r="AJ81" s="718"/>
      <c r="AK81" s="718"/>
      <c r="AL81" s="718"/>
      <c r="AM81" s="718"/>
      <c r="AN81" s="718"/>
      <c r="AO81" s="718"/>
      <c r="AP81" s="718"/>
      <c r="AQ81" s="718"/>
      <c r="AR81" s="718"/>
      <c r="AS81" s="718"/>
      <c r="AT81" s="718"/>
      <c r="AU81" s="718"/>
      <c r="AV81" s="718"/>
      <c r="AW81" s="718"/>
      <c r="AX81" s="718"/>
      <c r="AY81" s="718"/>
      <c r="AZ81" s="718"/>
      <c r="BA81" s="718"/>
      <c r="BB81" s="718"/>
      <c r="BC81" s="718"/>
      <c r="BD81" s="718"/>
      <c r="BE81" s="718"/>
      <c r="BF81" s="718"/>
      <c r="BG81" s="718"/>
      <c r="BH81" s="718"/>
      <c r="BI81" s="718"/>
      <c r="BJ81" s="718"/>
      <c r="BK81" s="718"/>
      <c r="BL81" s="718"/>
      <c r="BM81" s="718"/>
      <c r="BN81" s="718"/>
      <c r="BO81" s="718"/>
      <c r="BP81" s="718"/>
      <c r="BQ81" s="718"/>
      <c r="BR81" s="718"/>
      <c r="BS81" s="718"/>
      <c r="BT81" s="718"/>
      <c r="BU81" s="718"/>
      <c r="BV81" s="719"/>
    </row>
    <row r="82" customFormat="false" ht="15" hidden="false" customHeight="true" outlineLevel="0" collapsed="false">
      <c r="A82" s="720" t="n">
        <v>7.2</v>
      </c>
      <c r="B82" s="721" t="s">
        <v>3933</v>
      </c>
      <c r="C82" s="721" t="s">
        <v>2661</v>
      </c>
      <c r="D82" s="722" t="n">
        <v>60</v>
      </c>
      <c r="E82" s="723" t="n">
        <f aca="false">F81</f>
        <v>46353</v>
      </c>
      <c r="F82" s="723" t="n">
        <f aca="false">E82+D82</f>
        <v>46413</v>
      </c>
      <c r="G82" s="723" t="n">
        <v>46413</v>
      </c>
      <c r="H82" s="724" t="n">
        <f aca="false">IF($G82="","",$F82-$G82)</f>
        <v>0</v>
      </c>
      <c r="I82" s="720" t="n">
        <v>7.1</v>
      </c>
      <c r="J82" s="725" t="n">
        <f aca="false">MIN(E83)-F82</f>
        <v>0</v>
      </c>
      <c r="K82" s="726" t="str">
        <f aca="false">IF($D82="","",IF($J82&lt;=0,"● CRITICAL",""))</f>
        <v>● CRITICAL</v>
      </c>
      <c r="L82" s="727" t="n">
        <f aca="false">IF($B$4&gt;=F82,1,IF($B$4&lt;=E82,0,($B$4-E82)/(F82-E82)))</f>
        <v>0</v>
      </c>
      <c r="M82" s="721" t="str">
        <f aca="false">IF(L82&gt;=1,"Complete",IF(L82&gt;0,"In Progress","Not Started"))</f>
        <v>Not Started</v>
      </c>
      <c r="N82" s="728" t="s">
        <v>3932</v>
      </c>
      <c r="O82" s="717"/>
      <c r="P82" s="718"/>
      <c r="Q82" s="718"/>
      <c r="R82" s="718"/>
      <c r="S82" s="718"/>
      <c r="T82" s="718"/>
      <c r="U82" s="718"/>
      <c r="V82" s="718"/>
      <c r="W82" s="718"/>
      <c r="X82" s="718"/>
      <c r="Y82" s="718"/>
      <c r="Z82" s="718"/>
      <c r="AA82" s="718"/>
      <c r="AB82" s="718"/>
      <c r="AC82" s="718"/>
      <c r="AD82" s="718"/>
      <c r="AE82" s="718"/>
      <c r="AF82" s="718"/>
      <c r="AG82" s="718"/>
      <c r="AH82" s="718"/>
      <c r="AI82" s="718"/>
      <c r="AJ82" s="718"/>
      <c r="AK82" s="718"/>
      <c r="AL82" s="718"/>
      <c r="AM82" s="718"/>
      <c r="AN82" s="718"/>
      <c r="AO82" s="718"/>
      <c r="AP82" s="718"/>
      <c r="AQ82" s="718"/>
      <c r="AR82" s="718"/>
      <c r="AS82" s="718"/>
      <c r="AT82" s="718"/>
      <c r="AU82" s="718"/>
      <c r="AV82" s="718"/>
      <c r="AW82" s="718"/>
      <c r="AX82" s="718"/>
      <c r="AY82" s="718"/>
      <c r="AZ82" s="718"/>
      <c r="BA82" s="718"/>
      <c r="BB82" s="718"/>
      <c r="BC82" s="718"/>
      <c r="BD82" s="718"/>
      <c r="BE82" s="718"/>
      <c r="BF82" s="718"/>
      <c r="BG82" s="718"/>
      <c r="BH82" s="718"/>
      <c r="BI82" s="718"/>
      <c r="BJ82" s="718"/>
      <c r="BK82" s="718"/>
      <c r="BL82" s="718"/>
      <c r="BM82" s="718"/>
      <c r="BN82" s="718"/>
      <c r="BO82" s="718"/>
      <c r="BP82" s="718"/>
      <c r="BQ82" s="718"/>
      <c r="BR82" s="718"/>
      <c r="BS82" s="718"/>
      <c r="BT82" s="718"/>
      <c r="BU82" s="718"/>
      <c r="BV82" s="719"/>
    </row>
    <row r="83" customFormat="false" ht="15" hidden="false" customHeight="true" outlineLevel="0" collapsed="false">
      <c r="A83" s="720" t="n">
        <v>7.3</v>
      </c>
      <c r="B83" s="721" t="s">
        <v>3934</v>
      </c>
      <c r="C83" s="721" t="s">
        <v>2661</v>
      </c>
      <c r="D83" s="722" t="n">
        <v>40</v>
      </c>
      <c r="E83" s="723" t="n">
        <f aca="false">F82</f>
        <v>46413</v>
      </c>
      <c r="F83" s="723" t="n">
        <f aca="false">E83+D83</f>
        <v>46453</v>
      </c>
      <c r="G83" s="723" t="n">
        <v>46453</v>
      </c>
      <c r="H83" s="724" t="n">
        <f aca="false">IF($G83="","",$F83-$G83)</f>
        <v>0</v>
      </c>
      <c r="I83" s="720" t="n">
        <v>7.2</v>
      </c>
      <c r="J83" s="725" t="n">
        <f aca="false">MIN(E84)-F83</f>
        <v>0</v>
      </c>
      <c r="K83" s="726" t="str">
        <f aca="false">IF($D83="","",IF($J83&lt;=0,"● CRITICAL",""))</f>
        <v>● CRITICAL</v>
      </c>
      <c r="L83" s="727" t="n">
        <f aca="false">IF($B$4&gt;=F83,1,IF($B$4&lt;=E83,0,($B$4-E83)/(F83-E83)))</f>
        <v>0</v>
      </c>
      <c r="M83" s="721" t="str">
        <f aca="false">IF(L83&gt;=1,"Complete",IF(L83&gt;0,"In Progress","Not Started"))</f>
        <v>Not Started</v>
      </c>
      <c r="N83" s="728" t="s">
        <v>3932</v>
      </c>
      <c r="O83" s="717"/>
      <c r="P83" s="718"/>
      <c r="Q83" s="718"/>
      <c r="R83" s="718"/>
      <c r="S83" s="718"/>
      <c r="T83" s="718"/>
      <c r="U83" s="718"/>
      <c r="V83" s="718"/>
      <c r="W83" s="718"/>
      <c r="X83" s="718"/>
      <c r="Y83" s="718"/>
      <c r="Z83" s="718"/>
      <c r="AA83" s="718"/>
      <c r="AB83" s="718"/>
      <c r="AC83" s="718"/>
      <c r="AD83" s="718"/>
      <c r="AE83" s="718"/>
      <c r="AF83" s="718"/>
      <c r="AG83" s="718"/>
      <c r="AH83" s="718"/>
      <c r="AI83" s="718"/>
      <c r="AJ83" s="718"/>
      <c r="AK83" s="718"/>
      <c r="AL83" s="718"/>
      <c r="AM83" s="718"/>
      <c r="AN83" s="718"/>
      <c r="AO83" s="718"/>
      <c r="AP83" s="718"/>
      <c r="AQ83" s="718"/>
      <c r="AR83" s="718"/>
      <c r="AS83" s="718"/>
      <c r="AT83" s="718"/>
      <c r="AU83" s="718"/>
      <c r="AV83" s="718"/>
      <c r="AW83" s="718"/>
      <c r="AX83" s="718"/>
      <c r="AY83" s="718"/>
      <c r="AZ83" s="718"/>
      <c r="BA83" s="718"/>
      <c r="BB83" s="718"/>
      <c r="BC83" s="718"/>
      <c r="BD83" s="718"/>
      <c r="BE83" s="718"/>
      <c r="BF83" s="718"/>
      <c r="BG83" s="718"/>
      <c r="BH83" s="718"/>
      <c r="BI83" s="718"/>
      <c r="BJ83" s="718"/>
      <c r="BK83" s="718"/>
      <c r="BL83" s="718"/>
      <c r="BM83" s="718"/>
      <c r="BN83" s="718"/>
      <c r="BO83" s="718"/>
      <c r="BP83" s="718"/>
      <c r="BQ83" s="718"/>
      <c r="BR83" s="718"/>
      <c r="BS83" s="718"/>
      <c r="BT83" s="718"/>
      <c r="BU83" s="718"/>
      <c r="BV83" s="719"/>
    </row>
    <row r="84" customFormat="false" ht="15" hidden="false" customHeight="true" outlineLevel="0" collapsed="false">
      <c r="A84" s="720" t="n">
        <v>7.4</v>
      </c>
      <c r="B84" s="721" t="s">
        <v>3935</v>
      </c>
      <c r="C84" s="721" t="s">
        <v>3936</v>
      </c>
      <c r="D84" s="722" t="n">
        <v>90</v>
      </c>
      <c r="E84" s="723" t="n">
        <f aca="false">F83</f>
        <v>46453</v>
      </c>
      <c r="F84" s="723" t="n">
        <f aca="false">E84+D84</f>
        <v>46543</v>
      </c>
      <c r="G84" s="723" t="n">
        <v>46543</v>
      </c>
      <c r="H84" s="724" t="n">
        <f aca="false">IF($G84="","",$F84-$G84)</f>
        <v>0</v>
      </c>
      <c r="I84" s="720" t="n">
        <v>7.3</v>
      </c>
      <c r="J84" s="725" t="n">
        <f aca="false">MIN(E85,E92)-F84</f>
        <v>0</v>
      </c>
      <c r="K84" s="726" t="str">
        <f aca="false">IF($D84="","",IF($J84&lt;=0,"● CRITICAL",""))</f>
        <v>● CRITICAL</v>
      </c>
      <c r="L84" s="727" t="n">
        <f aca="false">IF($B$4&gt;=F84,1,IF($B$4&lt;=E84,0,($B$4-E84)/(F84-E84)))</f>
        <v>0</v>
      </c>
      <c r="M84" s="721" t="str">
        <f aca="false">IF(L84&gt;=1,"Complete",IF(L84&gt;0,"In Progress","Not Started"))</f>
        <v>Not Started</v>
      </c>
      <c r="N84" s="728" t="s">
        <v>3937</v>
      </c>
      <c r="O84" s="717"/>
      <c r="P84" s="718"/>
      <c r="Q84" s="718"/>
      <c r="R84" s="718"/>
      <c r="S84" s="718"/>
      <c r="T84" s="718"/>
      <c r="U84" s="718"/>
      <c r="V84" s="718"/>
      <c r="W84" s="718"/>
      <c r="X84" s="718"/>
      <c r="Y84" s="718"/>
      <c r="Z84" s="718"/>
      <c r="AA84" s="718"/>
      <c r="AB84" s="718"/>
      <c r="AC84" s="718"/>
      <c r="AD84" s="718"/>
      <c r="AE84" s="718"/>
      <c r="AF84" s="718"/>
      <c r="AG84" s="718"/>
      <c r="AH84" s="718"/>
      <c r="AI84" s="718"/>
      <c r="AJ84" s="718"/>
      <c r="AK84" s="718"/>
      <c r="AL84" s="718"/>
      <c r="AM84" s="718"/>
      <c r="AN84" s="718"/>
      <c r="AO84" s="718"/>
      <c r="AP84" s="718"/>
      <c r="AQ84" s="718"/>
      <c r="AR84" s="718"/>
      <c r="AS84" s="718"/>
      <c r="AT84" s="718"/>
      <c r="AU84" s="718"/>
      <c r="AV84" s="718"/>
      <c r="AW84" s="718"/>
      <c r="AX84" s="718"/>
      <c r="AY84" s="718"/>
      <c r="AZ84" s="718"/>
      <c r="BA84" s="718"/>
      <c r="BB84" s="718"/>
      <c r="BC84" s="718"/>
      <c r="BD84" s="718"/>
      <c r="BE84" s="718"/>
      <c r="BF84" s="718"/>
      <c r="BG84" s="718"/>
      <c r="BH84" s="718"/>
      <c r="BI84" s="718"/>
      <c r="BJ84" s="718"/>
      <c r="BK84" s="718"/>
      <c r="BL84" s="718"/>
      <c r="BM84" s="718"/>
      <c r="BN84" s="718"/>
      <c r="BO84" s="718"/>
      <c r="BP84" s="718"/>
      <c r="BQ84" s="718"/>
      <c r="BR84" s="718"/>
      <c r="BS84" s="718"/>
      <c r="BT84" s="718"/>
      <c r="BU84" s="718"/>
      <c r="BV84" s="719"/>
    </row>
    <row r="85" customFormat="false" ht="15" hidden="false" customHeight="true" outlineLevel="0" collapsed="false">
      <c r="A85" s="720" t="n">
        <v>7.5</v>
      </c>
      <c r="B85" s="721" t="s">
        <v>3938</v>
      </c>
      <c r="C85" s="721" t="s">
        <v>3936</v>
      </c>
      <c r="D85" s="722" t="n">
        <v>40</v>
      </c>
      <c r="E85" s="723" t="n">
        <f aca="false">F84</f>
        <v>46543</v>
      </c>
      <c r="F85" s="723" t="n">
        <f aca="false">E85+D85</f>
        <v>46583</v>
      </c>
      <c r="G85" s="723" t="n">
        <v>46583</v>
      </c>
      <c r="H85" s="724" t="n">
        <f aca="false">IF($G85="","",$F85-$G85)</f>
        <v>0</v>
      </c>
      <c r="I85" s="720" t="n">
        <v>7.4</v>
      </c>
      <c r="J85" s="725" t="n">
        <f aca="false">MIN(E86,E110)-F85</f>
        <v>0</v>
      </c>
      <c r="K85" s="726" t="str">
        <f aca="false">IF($D85="","",IF($J85&lt;=0,"● CRITICAL",""))</f>
        <v>● CRITICAL</v>
      </c>
      <c r="L85" s="727" t="n">
        <f aca="false">IF($B$4&gt;=F85,1,IF($B$4&lt;=E85,0,($B$4-E85)/(F85-E85)))</f>
        <v>0</v>
      </c>
      <c r="M85" s="721" t="str">
        <f aca="false">IF(L85&gt;=1,"Complete",IF(L85&gt;0,"In Progress","Not Started"))</f>
        <v>Not Started</v>
      </c>
      <c r="N85" s="728" t="s">
        <v>3937</v>
      </c>
      <c r="O85" s="717"/>
      <c r="P85" s="718"/>
      <c r="Q85" s="718"/>
      <c r="R85" s="718"/>
      <c r="S85" s="718"/>
      <c r="T85" s="718"/>
      <c r="U85" s="718"/>
      <c r="V85" s="718"/>
      <c r="W85" s="718"/>
      <c r="X85" s="718"/>
      <c r="Y85" s="718"/>
      <c r="Z85" s="718"/>
      <c r="AA85" s="718"/>
      <c r="AB85" s="718"/>
      <c r="AC85" s="718"/>
      <c r="AD85" s="718"/>
      <c r="AE85" s="718"/>
      <c r="AF85" s="718"/>
      <c r="AG85" s="718"/>
      <c r="AH85" s="718"/>
      <c r="AI85" s="718"/>
      <c r="AJ85" s="718"/>
      <c r="AK85" s="718"/>
      <c r="AL85" s="718"/>
      <c r="AM85" s="718"/>
      <c r="AN85" s="718"/>
      <c r="AO85" s="718"/>
      <c r="AP85" s="718"/>
      <c r="AQ85" s="718"/>
      <c r="AR85" s="718"/>
      <c r="AS85" s="718"/>
      <c r="AT85" s="718"/>
      <c r="AU85" s="718"/>
      <c r="AV85" s="718"/>
      <c r="AW85" s="718"/>
      <c r="AX85" s="718"/>
      <c r="AY85" s="718"/>
      <c r="AZ85" s="718"/>
      <c r="BA85" s="718"/>
      <c r="BB85" s="718"/>
      <c r="BC85" s="718"/>
      <c r="BD85" s="718"/>
      <c r="BE85" s="718"/>
      <c r="BF85" s="718"/>
      <c r="BG85" s="718"/>
      <c r="BH85" s="718"/>
      <c r="BI85" s="718"/>
      <c r="BJ85" s="718"/>
      <c r="BK85" s="718"/>
      <c r="BL85" s="718"/>
      <c r="BM85" s="718"/>
      <c r="BN85" s="718"/>
      <c r="BO85" s="718"/>
      <c r="BP85" s="718"/>
      <c r="BQ85" s="718"/>
      <c r="BR85" s="718"/>
      <c r="BS85" s="718"/>
      <c r="BT85" s="718"/>
      <c r="BU85" s="718"/>
      <c r="BV85" s="719"/>
    </row>
    <row r="86" customFormat="false" ht="15" hidden="false" customHeight="true" outlineLevel="0" collapsed="false">
      <c r="A86" s="720" t="n">
        <v>7.6</v>
      </c>
      <c r="B86" s="721" t="s">
        <v>3939</v>
      </c>
      <c r="C86" s="721" t="s">
        <v>3936</v>
      </c>
      <c r="D86" s="722" t="n">
        <v>45</v>
      </c>
      <c r="E86" s="723" t="n">
        <f aca="false">F85</f>
        <v>46583</v>
      </c>
      <c r="F86" s="723" t="n">
        <f aca="false">E86+D86</f>
        <v>46628</v>
      </c>
      <c r="G86" s="723" t="n">
        <v>46628</v>
      </c>
      <c r="H86" s="724" t="n">
        <f aca="false">IF($G86="","",$F86-$G86)</f>
        <v>0</v>
      </c>
      <c r="I86" s="720" t="n">
        <v>7.5</v>
      </c>
      <c r="J86" s="725" t="n">
        <f aca="false">MIN(E90,E94)-F86</f>
        <v>0</v>
      </c>
      <c r="K86" s="726" t="str">
        <f aca="false">IF($D86="","",IF($J86&lt;=0,"● CRITICAL",""))</f>
        <v>● CRITICAL</v>
      </c>
      <c r="L86" s="727" t="n">
        <f aca="false">IF($B$4&gt;=F86,1,IF($B$4&lt;=E86,0,($B$4-E86)/(F86-E86)))</f>
        <v>0</v>
      </c>
      <c r="M86" s="721" t="str">
        <f aca="false">IF(L86&gt;=1,"Complete",IF(L86&gt;0,"In Progress","Not Started"))</f>
        <v>Not Started</v>
      </c>
      <c r="N86" s="728" t="s">
        <v>3937</v>
      </c>
      <c r="O86" s="717"/>
      <c r="P86" s="718"/>
      <c r="Q86" s="718"/>
      <c r="R86" s="718"/>
      <c r="S86" s="718"/>
      <c r="T86" s="718"/>
      <c r="U86" s="718"/>
      <c r="V86" s="718"/>
      <c r="W86" s="718"/>
      <c r="X86" s="718"/>
      <c r="Y86" s="718"/>
      <c r="Z86" s="718"/>
      <c r="AA86" s="718"/>
      <c r="AB86" s="718"/>
      <c r="AC86" s="718"/>
      <c r="AD86" s="718"/>
      <c r="AE86" s="718"/>
      <c r="AF86" s="718"/>
      <c r="AG86" s="718"/>
      <c r="AH86" s="718"/>
      <c r="AI86" s="718"/>
      <c r="AJ86" s="718"/>
      <c r="AK86" s="718"/>
      <c r="AL86" s="718"/>
      <c r="AM86" s="718"/>
      <c r="AN86" s="718"/>
      <c r="AO86" s="718"/>
      <c r="AP86" s="718"/>
      <c r="AQ86" s="718"/>
      <c r="AR86" s="718"/>
      <c r="AS86" s="718"/>
      <c r="AT86" s="718"/>
      <c r="AU86" s="718"/>
      <c r="AV86" s="718"/>
      <c r="AW86" s="718"/>
      <c r="AX86" s="718"/>
      <c r="AY86" s="718"/>
      <c r="AZ86" s="718"/>
      <c r="BA86" s="718"/>
      <c r="BB86" s="718"/>
      <c r="BC86" s="718"/>
      <c r="BD86" s="718"/>
      <c r="BE86" s="718"/>
      <c r="BF86" s="718"/>
      <c r="BG86" s="718"/>
      <c r="BH86" s="718"/>
      <c r="BI86" s="718"/>
      <c r="BJ86" s="718"/>
      <c r="BK86" s="718"/>
      <c r="BL86" s="718"/>
      <c r="BM86" s="718"/>
      <c r="BN86" s="718"/>
      <c r="BO86" s="718"/>
      <c r="BP86" s="718"/>
      <c r="BQ86" s="718"/>
      <c r="BR86" s="718"/>
      <c r="BS86" s="718"/>
      <c r="BT86" s="718"/>
      <c r="BU86" s="718"/>
      <c r="BV86" s="719"/>
    </row>
    <row r="87" customFormat="false" ht="15" hidden="false" customHeight="true" outlineLevel="0" collapsed="false">
      <c r="A87" s="729" t="s">
        <v>3940</v>
      </c>
      <c r="B87" s="721" t="s">
        <v>3941</v>
      </c>
      <c r="C87" s="721" t="s">
        <v>2661</v>
      </c>
      <c r="D87" s="722" t="n">
        <v>20</v>
      </c>
      <c r="E87" s="723" t="n">
        <f aca="false">F82</f>
        <v>46413</v>
      </c>
      <c r="F87" s="723" t="n">
        <f aca="false">E87+D87</f>
        <v>46433</v>
      </c>
      <c r="G87" s="723" t="n">
        <v>46433</v>
      </c>
      <c r="H87" s="724" t="n">
        <f aca="false">IF($G87="","",$F87-$G87)</f>
        <v>0</v>
      </c>
      <c r="I87" s="720" t="n">
        <v>7.2</v>
      </c>
      <c r="J87" s="725" t="n">
        <f aca="false">$F$166-F87</f>
        <v>740</v>
      </c>
      <c r="K87" s="726" t="str">
        <f aca="false">IF($D87="","",IF($J87&lt;=0,"● CRITICAL",""))</f>
        <v/>
      </c>
      <c r="L87" s="727" t="n">
        <f aca="false">IF($B$4&gt;=F87,1,IF($B$4&lt;=E87,0,($B$4-E87)/(F87-E87)))</f>
        <v>0</v>
      </c>
      <c r="M87" s="721" t="str">
        <f aca="false">IF(L87&gt;=1,"Complete",IF(L87&gt;0,"In Progress","Not Started"))</f>
        <v>Not Started</v>
      </c>
      <c r="N87" s="728" t="s">
        <v>3932</v>
      </c>
      <c r="O87" s="717"/>
      <c r="P87" s="718"/>
      <c r="Q87" s="718"/>
      <c r="R87" s="718"/>
      <c r="S87" s="718"/>
      <c r="T87" s="718"/>
      <c r="U87" s="718"/>
      <c r="V87" s="718"/>
      <c r="W87" s="718"/>
      <c r="X87" s="718"/>
      <c r="Y87" s="718"/>
      <c r="Z87" s="718"/>
      <c r="AA87" s="718"/>
      <c r="AB87" s="718"/>
      <c r="AC87" s="718"/>
      <c r="AD87" s="718"/>
      <c r="AE87" s="718"/>
      <c r="AF87" s="718"/>
      <c r="AG87" s="718"/>
      <c r="AH87" s="718"/>
      <c r="AI87" s="718"/>
      <c r="AJ87" s="718"/>
      <c r="AK87" s="718"/>
      <c r="AL87" s="718"/>
      <c r="AM87" s="730"/>
      <c r="AN87" s="730"/>
      <c r="AO87" s="718"/>
      <c r="AP87" s="718"/>
      <c r="AQ87" s="718"/>
      <c r="AR87" s="718"/>
      <c r="AS87" s="718"/>
      <c r="AT87" s="718"/>
      <c r="AU87" s="718"/>
      <c r="AV87" s="718"/>
      <c r="AW87" s="718"/>
      <c r="AX87" s="718"/>
      <c r="AY87" s="718"/>
      <c r="AZ87" s="718"/>
      <c r="BA87" s="718"/>
      <c r="BB87" s="718"/>
      <c r="BC87" s="718"/>
      <c r="BD87" s="718"/>
      <c r="BE87" s="718"/>
      <c r="BF87" s="718"/>
      <c r="BG87" s="718"/>
      <c r="BH87" s="718"/>
      <c r="BI87" s="718"/>
      <c r="BJ87" s="718"/>
      <c r="BK87" s="718"/>
      <c r="BL87" s="718"/>
      <c r="BM87" s="718"/>
      <c r="BN87" s="718"/>
      <c r="BO87" s="718"/>
      <c r="BP87" s="718"/>
      <c r="BQ87" s="718"/>
      <c r="BR87" s="718"/>
      <c r="BS87" s="718"/>
      <c r="BT87" s="718"/>
      <c r="BU87" s="718"/>
      <c r="BV87" s="719"/>
    </row>
    <row r="88" customFormat="false" ht="15" hidden="false" customHeight="true" outlineLevel="0" collapsed="false">
      <c r="A88" s="729" t="s">
        <v>3942</v>
      </c>
      <c r="B88" s="721" t="s">
        <v>3943</v>
      </c>
      <c r="C88" s="721" t="s">
        <v>3944</v>
      </c>
      <c r="D88" s="722" t="n">
        <v>15</v>
      </c>
      <c r="E88" s="723" t="n">
        <f aca="false">F82</f>
        <v>46413</v>
      </c>
      <c r="F88" s="723" t="n">
        <f aca="false">E88+D88</f>
        <v>46428</v>
      </c>
      <c r="G88" s="723" t="n">
        <v>46428</v>
      </c>
      <c r="H88" s="724" t="n">
        <f aca="false">IF($G88="","",$F88-$G88)</f>
        <v>0</v>
      </c>
      <c r="I88" s="720" t="n">
        <v>7.2</v>
      </c>
      <c r="J88" s="725" t="n">
        <f aca="false">$F$166-F88</f>
        <v>745</v>
      </c>
      <c r="K88" s="726" t="str">
        <f aca="false">IF($D88="","",IF($J88&lt;=0,"● CRITICAL",""))</f>
        <v/>
      </c>
      <c r="L88" s="727" t="n">
        <f aca="false">IF($B$4&gt;=F88,1,IF($B$4&lt;=E88,0,($B$4-E88)/(F88-E88)))</f>
        <v>0</v>
      </c>
      <c r="M88" s="721" t="str">
        <f aca="false">IF(L88&gt;=1,"Complete",IF(L88&gt;0,"In Progress","Not Started"))</f>
        <v>Not Started</v>
      </c>
      <c r="N88" s="728" t="s">
        <v>3945</v>
      </c>
      <c r="O88" s="717"/>
      <c r="P88" s="718"/>
      <c r="Q88" s="718"/>
      <c r="R88" s="718"/>
      <c r="S88" s="718"/>
      <c r="T88" s="718"/>
      <c r="U88" s="718"/>
      <c r="V88" s="718"/>
      <c r="W88" s="718"/>
      <c r="X88" s="718"/>
      <c r="Y88" s="718"/>
      <c r="Z88" s="718"/>
      <c r="AA88" s="718"/>
      <c r="AB88" s="718"/>
      <c r="AC88" s="718"/>
      <c r="AD88" s="718"/>
      <c r="AE88" s="718"/>
      <c r="AF88" s="718"/>
      <c r="AG88" s="718"/>
      <c r="AH88" s="718"/>
      <c r="AI88" s="718"/>
      <c r="AJ88" s="718"/>
      <c r="AK88" s="718"/>
      <c r="AL88" s="718"/>
      <c r="AM88" s="730"/>
      <c r="AN88" s="730"/>
      <c r="AO88" s="718"/>
      <c r="AP88" s="718"/>
      <c r="AQ88" s="718"/>
      <c r="AR88" s="718"/>
      <c r="AS88" s="718"/>
      <c r="AT88" s="718"/>
      <c r="AU88" s="718"/>
      <c r="AV88" s="718"/>
      <c r="AW88" s="718"/>
      <c r="AX88" s="718"/>
      <c r="AY88" s="718"/>
      <c r="AZ88" s="718"/>
      <c r="BA88" s="718"/>
      <c r="BB88" s="718"/>
      <c r="BC88" s="718"/>
      <c r="BD88" s="718"/>
      <c r="BE88" s="718"/>
      <c r="BF88" s="718"/>
      <c r="BG88" s="718"/>
      <c r="BH88" s="718"/>
      <c r="BI88" s="718"/>
      <c r="BJ88" s="718"/>
      <c r="BK88" s="718"/>
      <c r="BL88" s="718"/>
      <c r="BM88" s="718"/>
      <c r="BN88" s="718"/>
      <c r="BO88" s="718"/>
      <c r="BP88" s="718"/>
      <c r="BQ88" s="718"/>
      <c r="BR88" s="718"/>
      <c r="BS88" s="718"/>
      <c r="BT88" s="718"/>
      <c r="BU88" s="718"/>
      <c r="BV88" s="719"/>
    </row>
    <row r="89" customFormat="false" ht="15" hidden="false" customHeight="true" outlineLevel="0" collapsed="false">
      <c r="A89" s="729" t="s">
        <v>3946</v>
      </c>
      <c r="B89" s="721" t="s">
        <v>3947</v>
      </c>
      <c r="C89" s="721" t="s">
        <v>3948</v>
      </c>
      <c r="D89" s="722" t="n">
        <v>30</v>
      </c>
      <c r="E89" s="723" t="n">
        <f aca="false">F84</f>
        <v>46543</v>
      </c>
      <c r="F89" s="723" t="n">
        <f aca="false">E89+D89</f>
        <v>46573</v>
      </c>
      <c r="G89" s="723" t="n">
        <v>46573</v>
      </c>
      <c r="H89" s="724" t="n">
        <f aca="false">IF($G89="","",$F89-$G89)</f>
        <v>0</v>
      </c>
      <c r="I89" s="720" t="n">
        <v>7.4</v>
      </c>
      <c r="J89" s="725" t="n">
        <f aca="false">$F$166-F89</f>
        <v>600</v>
      </c>
      <c r="K89" s="726" t="str">
        <f aca="false">IF($D89="","",IF($J89&lt;=0,"● CRITICAL",""))</f>
        <v/>
      </c>
      <c r="L89" s="727" t="n">
        <f aca="false">IF($B$4&gt;=F89,1,IF($B$4&lt;=E89,0,($B$4-E89)/(F89-E89)))</f>
        <v>0</v>
      </c>
      <c r="M89" s="721" t="str">
        <f aca="false">IF(L89&gt;=1,"Complete",IF(L89&gt;0,"In Progress","Not Started"))</f>
        <v>Not Started</v>
      </c>
      <c r="N89" s="728" t="s">
        <v>3949</v>
      </c>
      <c r="O89" s="717"/>
      <c r="P89" s="718"/>
      <c r="Q89" s="718"/>
      <c r="R89" s="718"/>
      <c r="S89" s="718"/>
      <c r="T89" s="718"/>
      <c r="U89" s="718"/>
      <c r="V89" s="718"/>
      <c r="W89" s="718"/>
      <c r="X89" s="718"/>
      <c r="Y89" s="718"/>
      <c r="Z89" s="718"/>
      <c r="AA89" s="718"/>
      <c r="AB89" s="718"/>
      <c r="AC89" s="718"/>
      <c r="AD89" s="718"/>
      <c r="AE89" s="718"/>
      <c r="AF89" s="718"/>
      <c r="AG89" s="718"/>
      <c r="AH89" s="718"/>
      <c r="AI89" s="718"/>
      <c r="AJ89" s="718"/>
      <c r="AK89" s="718"/>
      <c r="AL89" s="718"/>
      <c r="AM89" s="718"/>
      <c r="AN89" s="718"/>
      <c r="AO89" s="718"/>
      <c r="AP89" s="718"/>
      <c r="AQ89" s="718"/>
      <c r="AR89" s="730"/>
      <c r="AS89" s="730"/>
      <c r="AT89" s="718"/>
      <c r="AU89" s="718"/>
      <c r="AV89" s="718"/>
      <c r="AW89" s="718"/>
      <c r="AX89" s="718"/>
      <c r="AY89" s="718"/>
      <c r="AZ89" s="718"/>
      <c r="BA89" s="718"/>
      <c r="BB89" s="718"/>
      <c r="BC89" s="718"/>
      <c r="BD89" s="718"/>
      <c r="BE89" s="718"/>
      <c r="BF89" s="718"/>
      <c r="BG89" s="718"/>
      <c r="BH89" s="718"/>
      <c r="BI89" s="718"/>
      <c r="BJ89" s="718"/>
      <c r="BK89" s="718"/>
      <c r="BL89" s="718"/>
      <c r="BM89" s="718"/>
      <c r="BN89" s="718"/>
      <c r="BO89" s="718"/>
      <c r="BP89" s="718"/>
      <c r="BQ89" s="718"/>
      <c r="BR89" s="718"/>
      <c r="BS89" s="718"/>
      <c r="BT89" s="718"/>
      <c r="BU89" s="718"/>
      <c r="BV89" s="719"/>
    </row>
    <row r="90" customFormat="false" ht="15" hidden="false" customHeight="true" outlineLevel="0" collapsed="false">
      <c r="A90" s="720" t="n">
        <v>7.7</v>
      </c>
      <c r="B90" s="731" t="s">
        <v>3950</v>
      </c>
      <c r="C90" s="721" t="s">
        <v>85</v>
      </c>
      <c r="D90" s="722" t="n">
        <v>0</v>
      </c>
      <c r="E90" s="723" t="n">
        <f aca="false">F86</f>
        <v>46628</v>
      </c>
      <c r="F90" s="723" t="n">
        <f aca="false">E90+D90</f>
        <v>46628</v>
      </c>
      <c r="G90" s="723" t="n">
        <v>46628</v>
      </c>
      <c r="H90" s="724" t="n">
        <f aca="false">IF($G90="","",$F90-$G90)</f>
        <v>0</v>
      </c>
      <c r="I90" s="720" t="n">
        <v>7.6</v>
      </c>
      <c r="J90" s="725" t="n">
        <f aca="false">MIN(E101,E104,E116)-F90</f>
        <v>0</v>
      </c>
      <c r="K90" s="726" t="str">
        <f aca="false">IF($D90="","",IF($J90&lt;=0,"● CRITICAL",""))</f>
        <v>● CRITICAL</v>
      </c>
      <c r="L90" s="727" t="n">
        <f aca="false">IF($B$4&gt;=F90,1,IF($B$4&lt;=E90,0,($B$4-E90)/(F90-E90)))</f>
        <v>0</v>
      </c>
      <c r="M90" s="721" t="str">
        <f aca="false">IF(L90&gt;=1,"Complete",IF(L90&gt;0,"In Progress","Not Started"))</f>
        <v>Not Started</v>
      </c>
      <c r="N90" s="728" t="s">
        <v>319</v>
      </c>
      <c r="O90" s="717"/>
      <c r="P90" s="718"/>
      <c r="Q90" s="718"/>
      <c r="R90" s="718"/>
      <c r="S90" s="718"/>
      <c r="T90" s="718"/>
      <c r="U90" s="718"/>
      <c r="V90" s="718"/>
      <c r="W90" s="718"/>
      <c r="X90" s="718"/>
      <c r="Y90" s="718"/>
      <c r="Z90" s="718"/>
      <c r="AA90" s="718"/>
      <c r="AB90" s="718"/>
      <c r="AC90" s="718"/>
      <c r="AD90" s="718"/>
      <c r="AE90" s="718"/>
      <c r="AF90" s="718"/>
      <c r="AG90" s="718"/>
      <c r="AH90" s="718"/>
      <c r="AI90" s="718"/>
      <c r="AJ90" s="718"/>
      <c r="AK90" s="718"/>
      <c r="AL90" s="718"/>
      <c r="AM90" s="718"/>
      <c r="AN90" s="718"/>
      <c r="AO90" s="718"/>
      <c r="AP90" s="718"/>
      <c r="AQ90" s="718"/>
      <c r="AR90" s="718"/>
      <c r="AS90" s="718"/>
      <c r="AT90" s="718"/>
      <c r="AU90" s="718"/>
      <c r="AV90" s="718"/>
      <c r="AW90" s="718"/>
      <c r="AX90" s="718"/>
      <c r="AY90" s="718"/>
      <c r="AZ90" s="718"/>
      <c r="BA90" s="718"/>
      <c r="BB90" s="718"/>
      <c r="BC90" s="718"/>
      <c r="BD90" s="718"/>
      <c r="BE90" s="718"/>
      <c r="BF90" s="718"/>
      <c r="BG90" s="718"/>
      <c r="BH90" s="718"/>
      <c r="BI90" s="718"/>
      <c r="BJ90" s="718"/>
      <c r="BK90" s="718"/>
      <c r="BL90" s="718"/>
      <c r="BM90" s="718"/>
      <c r="BN90" s="718"/>
      <c r="BO90" s="718"/>
      <c r="BP90" s="718"/>
      <c r="BQ90" s="718"/>
      <c r="BR90" s="718"/>
      <c r="BS90" s="718"/>
      <c r="BT90" s="718"/>
      <c r="BU90" s="718"/>
      <c r="BV90" s="719"/>
    </row>
    <row r="91" customFormat="false" ht="15" hidden="false" customHeight="true" outlineLevel="0" collapsed="false">
      <c r="A91" s="709" t="n">
        <v>8</v>
      </c>
      <c r="B91" s="710" t="s">
        <v>2665</v>
      </c>
      <c r="C91" s="710"/>
      <c r="D91" s="711" t="n">
        <f aca="false">F91-E91</f>
        <v>150</v>
      </c>
      <c r="E91" s="712" t="n">
        <f aca="false">MIN(E92:E99)</f>
        <v>46543</v>
      </c>
      <c r="F91" s="712" t="n">
        <f aca="false">MAX(F92:F99)</f>
        <v>46693</v>
      </c>
      <c r="G91" s="712" t="n">
        <v>46693</v>
      </c>
      <c r="H91" s="713" t="n">
        <f aca="false">IF($G91="","",$F91-$G91)</f>
        <v>0</v>
      </c>
      <c r="I91" s="709"/>
      <c r="J91" s="714"/>
      <c r="K91" s="710"/>
      <c r="L91" s="715" t="n">
        <f aca="false">IFERROR(SUMPRODUCT($D92:$D99,$L92:$L99)/SUM($D92:$D99),0)</f>
        <v>0</v>
      </c>
      <c r="M91" s="710" t="str">
        <f aca="false">IF(L91&gt;=1,"Complete",IF(L91&gt;0,"In Progress","Not Started"))</f>
        <v>Not Started</v>
      </c>
      <c r="N91" s="716" t="s">
        <v>3951</v>
      </c>
      <c r="O91" s="717"/>
      <c r="P91" s="718"/>
      <c r="Q91" s="718"/>
      <c r="R91" s="718"/>
      <c r="S91" s="718"/>
      <c r="T91" s="718"/>
      <c r="U91" s="718"/>
      <c r="V91" s="718"/>
      <c r="W91" s="718"/>
      <c r="X91" s="718"/>
      <c r="Y91" s="718"/>
      <c r="Z91" s="718"/>
      <c r="AA91" s="718"/>
      <c r="AB91" s="718"/>
      <c r="AC91" s="718"/>
      <c r="AD91" s="718"/>
      <c r="AE91" s="718"/>
      <c r="AF91" s="718"/>
      <c r="AG91" s="718"/>
      <c r="AH91" s="718"/>
      <c r="AI91" s="718"/>
      <c r="AJ91" s="718"/>
      <c r="AK91" s="718"/>
      <c r="AL91" s="718"/>
      <c r="AM91" s="718"/>
      <c r="AN91" s="718"/>
      <c r="AO91" s="718"/>
      <c r="AP91" s="718"/>
      <c r="AQ91" s="718"/>
      <c r="AR91" s="718"/>
      <c r="AS91" s="718"/>
      <c r="AT91" s="718"/>
      <c r="AU91" s="718"/>
      <c r="AV91" s="718"/>
      <c r="AW91" s="718"/>
      <c r="AX91" s="718"/>
      <c r="AY91" s="718"/>
      <c r="AZ91" s="718"/>
      <c r="BA91" s="718"/>
      <c r="BB91" s="718"/>
      <c r="BC91" s="718"/>
      <c r="BD91" s="718"/>
      <c r="BE91" s="718"/>
      <c r="BF91" s="718"/>
      <c r="BG91" s="718"/>
      <c r="BH91" s="718"/>
      <c r="BI91" s="718"/>
      <c r="BJ91" s="718"/>
      <c r="BK91" s="718"/>
      <c r="BL91" s="718"/>
      <c r="BM91" s="718"/>
      <c r="BN91" s="718"/>
      <c r="BO91" s="718"/>
      <c r="BP91" s="718"/>
      <c r="BQ91" s="718"/>
      <c r="BR91" s="718"/>
      <c r="BS91" s="718"/>
      <c r="BT91" s="718"/>
      <c r="BU91" s="718"/>
      <c r="BV91" s="719"/>
    </row>
    <row r="92" customFormat="false" ht="15" hidden="false" customHeight="true" outlineLevel="0" collapsed="false">
      <c r="A92" s="720" t="n">
        <v>8.1</v>
      </c>
      <c r="B92" s="721" t="s">
        <v>3952</v>
      </c>
      <c r="C92" s="721" t="s">
        <v>3953</v>
      </c>
      <c r="D92" s="722" t="n">
        <v>75</v>
      </c>
      <c r="E92" s="723" t="n">
        <f aca="false">F84</f>
        <v>46543</v>
      </c>
      <c r="F92" s="723" t="n">
        <f aca="false">E92+D92</f>
        <v>46618</v>
      </c>
      <c r="G92" s="723" t="n">
        <v>46618</v>
      </c>
      <c r="H92" s="724" t="n">
        <f aca="false">IF($G92="","",$F92-$G92)</f>
        <v>0</v>
      </c>
      <c r="I92" s="720" t="n">
        <v>7.4</v>
      </c>
      <c r="J92" s="725" t="n">
        <f aca="false">MIN(E93,E95)-F92</f>
        <v>0</v>
      </c>
      <c r="K92" s="726" t="str">
        <f aca="false">IF($D92="","",IF($J92&lt;=0,"● CRITICAL",""))</f>
        <v>● CRITICAL</v>
      </c>
      <c r="L92" s="727" t="n">
        <f aca="false">IF($B$4&gt;=F92,1,IF($B$4&lt;=E92,0,($B$4-E92)/(F92-E92)))</f>
        <v>0</v>
      </c>
      <c r="M92" s="721" t="str">
        <f aca="false">IF(L92&gt;=1,"Complete",IF(L92&gt;0,"In Progress","Not Started"))</f>
        <v>Not Started</v>
      </c>
      <c r="N92" s="728" t="s">
        <v>3951</v>
      </c>
      <c r="O92" s="717"/>
      <c r="P92" s="718"/>
      <c r="Q92" s="718"/>
      <c r="R92" s="718"/>
      <c r="S92" s="718"/>
      <c r="T92" s="718"/>
      <c r="U92" s="718"/>
      <c r="V92" s="718"/>
      <c r="W92" s="718"/>
      <c r="X92" s="718"/>
      <c r="Y92" s="718"/>
      <c r="Z92" s="718"/>
      <c r="AA92" s="718"/>
      <c r="AB92" s="718"/>
      <c r="AC92" s="718"/>
      <c r="AD92" s="718"/>
      <c r="AE92" s="718"/>
      <c r="AF92" s="718"/>
      <c r="AG92" s="718"/>
      <c r="AH92" s="718"/>
      <c r="AI92" s="718"/>
      <c r="AJ92" s="718"/>
      <c r="AK92" s="718"/>
      <c r="AL92" s="718"/>
      <c r="AM92" s="718"/>
      <c r="AN92" s="718"/>
      <c r="AO92" s="718"/>
      <c r="AP92" s="718"/>
      <c r="AQ92" s="718"/>
      <c r="AR92" s="718"/>
      <c r="AS92" s="718"/>
      <c r="AT92" s="718"/>
      <c r="AU92" s="718"/>
      <c r="AV92" s="718"/>
      <c r="AW92" s="718"/>
      <c r="AX92" s="718"/>
      <c r="AY92" s="718"/>
      <c r="AZ92" s="718"/>
      <c r="BA92" s="718"/>
      <c r="BB92" s="718"/>
      <c r="BC92" s="718"/>
      <c r="BD92" s="718"/>
      <c r="BE92" s="718"/>
      <c r="BF92" s="718"/>
      <c r="BG92" s="718"/>
      <c r="BH92" s="718"/>
      <c r="BI92" s="718"/>
      <c r="BJ92" s="718"/>
      <c r="BK92" s="718"/>
      <c r="BL92" s="718"/>
      <c r="BM92" s="718"/>
      <c r="BN92" s="718"/>
      <c r="BO92" s="718"/>
      <c r="BP92" s="718"/>
      <c r="BQ92" s="718"/>
      <c r="BR92" s="718"/>
      <c r="BS92" s="718"/>
      <c r="BT92" s="718"/>
      <c r="BU92" s="718"/>
      <c r="BV92" s="719"/>
    </row>
    <row r="93" customFormat="false" ht="15" hidden="false" customHeight="true" outlineLevel="0" collapsed="false">
      <c r="A93" s="720" t="n">
        <v>8.2</v>
      </c>
      <c r="B93" s="721" t="s">
        <v>3954</v>
      </c>
      <c r="C93" s="721" t="s">
        <v>3953</v>
      </c>
      <c r="D93" s="722" t="n">
        <v>35</v>
      </c>
      <c r="E93" s="723" t="n">
        <f aca="false">F92</f>
        <v>46618</v>
      </c>
      <c r="F93" s="723" t="n">
        <f aca="false">E93+D93</f>
        <v>46653</v>
      </c>
      <c r="G93" s="723" t="n">
        <v>46653</v>
      </c>
      <c r="H93" s="724" t="n">
        <f aca="false">IF($G93="","",$F93-$G93)</f>
        <v>0</v>
      </c>
      <c r="I93" s="720" t="n">
        <v>8.1</v>
      </c>
      <c r="J93" s="725" t="n">
        <f aca="false">$F$166-F93</f>
        <v>520</v>
      </c>
      <c r="K93" s="726" t="str">
        <f aca="false">IF($D93="","",IF($J93&lt;=0,"● CRITICAL",""))</f>
        <v/>
      </c>
      <c r="L93" s="727" t="n">
        <f aca="false">IF($B$4&gt;=F93,1,IF($B$4&lt;=E93,0,($B$4-E93)/(F93-E93)))</f>
        <v>0</v>
      </c>
      <c r="M93" s="721" t="str">
        <f aca="false">IF(L93&gt;=1,"Complete",IF(L93&gt;0,"In Progress","Not Started"))</f>
        <v>Not Started</v>
      </c>
      <c r="N93" s="728" t="s">
        <v>3951</v>
      </c>
      <c r="O93" s="717"/>
      <c r="P93" s="718"/>
      <c r="Q93" s="718"/>
      <c r="R93" s="718"/>
      <c r="S93" s="718"/>
      <c r="T93" s="718"/>
      <c r="U93" s="718"/>
      <c r="V93" s="718"/>
      <c r="W93" s="718"/>
      <c r="X93" s="718"/>
      <c r="Y93" s="718"/>
      <c r="Z93" s="718"/>
      <c r="AA93" s="718"/>
      <c r="AB93" s="718"/>
      <c r="AC93" s="718"/>
      <c r="AD93" s="718"/>
      <c r="AE93" s="718"/>
      <c r="AF93" s="718"/>
      <c r="AG93" s="718"/>
      <c r="AH93" s="718"/>
      <c r="AI93" s="718"/>
      <c r="AJ93" s="718"/>
      <c r="AK93" s="718"/>
      <c r="AL93" s="718"/>
      <c r="AM93" s="718"/>
      <c r="AN93" s="718"/>
      <c r="AO93" s="718"/>
      <c r="AP93" s="718"/>
      <c r="AQ93" s="718"/>
      <c r="AR93" s="718"/>
      <c r="AS93" s="718"/>
      <c r="AT93" s="718"/>
      <c r="AU93" s="718"/>
      <c r="AV93" s="718"/>
      <c r="AW93" s="718"/>
      <c r="AX93" s="718"/>
      <c r="AY93" s="718"/>
      <c r="AZ93" s="718"/>
      <c r="BA93" s="718"/>
      <c r="BB93" s="718"/>
      <c r="BC93" s="718"/>
      <c r="BD93" s="718"/>
      <c r="BE93" s="718"/>
      <c r="BF93" s="718"/>
      <c r="BG93" s="718"/>
      <c r="BH93" s="718"/>
      <c r="BI93" s="718"/>
      <c r="BJ93" s="718"/>
      <c r="BK93" s="718"/>
      <c r="BL93" s="718"/>
      <c r="BM93" s="718"/>
      <c r="BN93" s="718"/>
      <c r="BO93" s="718"/>
      <c r="BP93" s="718"/>
      <c r="BQ93" s="718"/>
      <c r="BR93" s="718"/>
      <c r="BS93" s="718"/>
      <c r="BT93" s="718"/>
      <c r="BU93" s="718"/>
      <c r="BV93" s="719"/>
    </row>
    <row r="94" customFormat="false" ht="15" hidden="false" customHeight="true" outlineLevel="0" collapsed="false">
      <c r="A94" s="720" t="n">
        <v>8.3</v>
      </c>
      <c r="B94" s="721" t="s">
        <v>3955</v>
      </c>
      <c r="C94" s="721" t="s">
        <v>3956</v>
      </c>
      <c r="D94" s="722" t="n">
        <v>45</v>
      </c>
      <c r="E94" s="723" t="n">
        <f aca="false">F86</f>
        <v>46628</v>
      </c>
      <c r="F94" s="723" t="n">
        <f aca="false">E94+D94</f>
        <v>46673</v>
      </c>
      <c r="G94" s="723" t="n">
        <v>46673</v>
      </c>
      <c r="H94" s="724" t="n">
        <f aca="false">IF($G94="","",$F94-$G94)</f>
        <v>0</v>
      </c>
      <c r="I94" s="720" t="n">
        <v>7.6</v>
      </c>
      <c r="J94" s="725" t="n">
        <f aca="false">MIN(E99)-F94</f>
        <v>0</v>
      </c>
      <c r="K94" s="726" t="str">
        <f aca="false">IF($D94="","",IF($J94&lt;=0,"● CRITICAL",""))</f>
        <v>● CRITICAL</v>
      </c>
      <c r="L94" s="727" t="n">
        <f aca="false">IF($B$4&gt;=F94,1,IF($B$4&lt;=E94,0,($B$4-E94)/(F94-E94)))</f>
        <v>0</v>
      </c>
      <c r="M94" s="721" t="str">
        <f aca="false">IF(L94&gt;=1,"Complete",IF(L94&gt;0,"In Progress","Not Started"))</f>
        <v>Not Started</v>
      </c>
      <c r="N94" s="728" t="s">
        <v>3957</v>
      </c>
      <c r="O94" s="717"/>
      <c r="P94" s="718"/>
      <c r="Q94" s="718"/>
      <c r="R94" s="718"/>
      <c r="S94" s="718"/>
      <c r="T94" s="718"/>
      <c r="U94" s="718"/>
      <c r="V94" s="718"/>
      <c r="W94" s="718"/>
      <c r="X94" s="718"/>
      <c r="Y94" s="718"/>
      <c r="Z94" s="718"/>
      <c r="AA94" s="718"/>
      <c r="AB94" s="718"/>
      <c r="AC94" s="718"/>
      <c r="AD94" s="718"/>
      <c r="AE94" s="718"/>
      <c r="AF94" s="718"/>
      <c r="AG94" s="718"/>
      <c r="AH94" s="718"/>
      <c r="AI94" s="718"/>
      <c r="AJ94" s="718"/>
      <c r="AK94" s="718"/>
      <c r="AL94" s="718"/>
      <c r="AM94" s="718"/>
      <c r="AN94" s="718"/>
      <c r="AO94" s="718"/>
      <c r="AP94" s="718"/>
      <c r="AQ94" s="718"/>
      <c r="AR94" s="718"/>
      <c r="AS94" s="718"/>
      <c r="AT94" s="718"/>
      <c r="AU94" s="718"/>
      <c r="AV94" s="718"/>
      <c r="AW94" s="718"/>
      <c r="AX94" s="718"/>
      <c r="AY94" s="718"/>
      <c r="AZ94" s="718"/>
      <c r="BA94" s="718"/>
      <c r="BB94" s="718"/>
      <c r="BC94" s="718"/>
      <c r="BD94" s="718"/>
      <c r="BE94" s="718"/>
      <c r="BF94" s="718"/>
      <c r="BG94" s="718"/>
      <c r="BH94" s="718"/>
      <c r="BI94" s="718"/>
      <c r="BJ94" s="718"/>
      <c r="BK94" s="718"/>
      <c r="BL94" s="718"/>
      <c r="BM94" s="718"/>
      <c r="BN94" s="718"/>
      <c r="BO94" s="718"/>
      <c r="BP94" s="718"/>
      <c r="BQ94" s="718"/>
      <c r="BR94" s="718"/>
      <c r="BS94" s="718"/>
      <c r="BT94" s="718"/>
      <c r="BU94" s="718"/>
      <c r="BV94" s="719"/>
    </row>
    <row r="95" customFormat="false" ht="15" hidden="false" customHeight="true" outlineLevel="0" collapsed="false">
      <c r="A95" s="720" t="n">
        <v>8.4</v>
      </c>
      <c r="B95" s="721" t="s">
        <v>3958</v>
      </c>
      <c r="C95" s="721" t="s">
        <v>3959</v>
      </c>
      <c r="D95" s="722" t="n">
        <v>40</v>
      </c>
      <c r="E95" s="723" t="n">
        <f aca="false">F92</f>
        <v>46618</v>
      </c>
      <c r="F95" s="723" t="n">
        <f aca="false">E95+D95</f>
        <v>46658</v>
      </c>
      <c r="G95" s="723" t="n">
        <v>46658</v>
      </c>
      <c r="H95" s="724" t="n">
        <f aca="false">IF($G95="","",$F95-$G95)</f>
        <v>0</v>
      </c>
      <c r="I95" s="720" t="n">
        <v>8.1</v>
      </c>
      <c r="J95" s="725" t="n">
        <f aca="false">$F$166-F95</f>
        <v>515</v>
      </c>
      <c r="K95" s="726" t="str">
        <f aca="false">IF($D95="","",IF($J95&lt;=0,"● CRITICAL",""))</f>
        <v/>
      </c>
      <c r="L95" s="727" t="n">
        <f aca="false">IF($B$4&gt;=F95,1,IF($B$4&lt;=E95,0,($B$4-E95)/(F95-E95)))</f>
        <v>0</v>
      </c>
      <c r="M95" s="721" t="str">
        <f aca="false">IF(L95&gt;=1,"Complete",IF(L95&gt;0,"In Progress","Not Started"))</f>
        <v>Not Started</v>
      </c>
      <c r="N95" s="728" t="s">
        <v>3960</v>
      </c>
      <c r="O95" s="717"/>
      <c r="P95" s="718"/>
      <c r="Q95" s="718"/>
      <c r="R95" s="718"/>
      <c r="S95" s="718"/>
      <c r="T95" s="718"/>
      <c r="U95" s="718"/>
      <c r="V95" s="718"/>
      <c r="W95" s="718"/>
      <c r="X95" s="718"/>
      <c r="Y95" s="718"/>
      <c r="Z95" s="718"/>
      <c r="AA95" s="718"/>
      <c r="AB95" s="718"/>
      <c r="AC95" s="718"/>
      <c r="AD95" s="718"/>
      <c r="AE95" s="718"/>
      <c r="AF95" s="718"/>
      <c r="AG95" s="718"/>
      <c r="AH95" s="718"/>
      <c r="AI95" s="718"/>
      <c r="AJ95" s="718"/>
      <c r="AK95" s="718"/>
      <c r="AL95" s="718"/>
      <c r="AM95" s="718"/>
      <c r="AN95" s="718"/>
      <c r="AO95" s="718"/>
      <c r="AP95" s="718"/>
      <c r="AQ95" s="718"/>
      <c r="AR95" s="718"/>
      <c r="AS95" s="718"/>
      <c r="AT95" s="718"/>
      <c r="AU95" s="718"/>
      <c r="AV95" s="718"/>
      <c r="AW95" s="718"/>
      <c r="AX95" s="718"/>
      <c r="AY95" s="718"/>
      <c r="AZ95" s="718"/>
      <c r="BA95" s="718"/>
      <c r="BB95" s="718"/>
      <c r="BC95" s="718"/>
      <c r="BD95" s="718"/>
      <c r="BE95" s="718"/>
      <c r="BF95" s="718"/>
      <c r="BG95" s="718"/>
      <c r="BH95" s="718"/>
      <c r="BI95" s="718"/>
      <c r="BJ95" s="718"/>
      <c r="BK95" s="718"/>
      <c r="BL95" s="718"/>
      <c r="BM95" s="718"/>
      <c r="BN95" s="718"/>
      <c r="BO95" s="718"/>
      <c r="BP95" s="718"/>
      <c r="BQ95" s="718"/>
      <c r="BR95" s="718"/>
      <c r="BS95" s="718"/>
      <c r="BT95" s="718"/>
      <c r="BU95" s="718"/>
      <c r="BV95" s="719"/>
    </row>
    <row r="96" customFormat="false" ht="15" hidden="false" customHeight="true" outlineLevel="0" collapsed="false">
      <c r="A96" s="729" t="s">
        <v>3961</v>
      </c>
      <c r="B96" s="721" t="s">
        <v>3962</v>
      </c>
      <c r="C96" s="721" t="s">
        <v>3953</v>
      </c>
      <c r="D96" s="722" t="n">
        <v>15</v>
      </c>
      <c r="E96" s="723" t="n">
        <f aca="false">F93</f>
        <v>46653</v>
      </c>
      <c r="F96" s="723" t="n">
        <f aca="false">E96+D96</f>
        <v>46668</v>
      </c>
      <c r="G96" s="723" t="n">
        <v>46668</v>
      </c>
      <c r="H96" s="724" t="n">
        <f aca="false">IF($G96="","",$F96-$G96)</f>
        <v>0</v>
      </c>
      <c r="I96" s="720" t="n">
        <v>8.2</v>
      </c>
      <c r="J96" s="725" t="n">
        <f aca="false">$F$166-F96</f>
        <v>505</v>
      </c>
      <c r="K96" s="726" t="str">
        <f aca="false">IF($D96="","",IF($J96&lt;=0,"● CRITICAL",""))</f>
        <v/>
      </c>
      <c r="L96" s="727" t="n">
        <f aca="false">IF($B$4&gt;=F96,1,IF($B$4&lt;=E96,0,($B$4-E96)/(F96-E96)))</f>
        <v>0</v>
      </c>
      <c r="M96" s="721" t="str">
        <f aca="false">IF(L96&gt;=1,"Complete",IF(L96&gt;0,"In Progress","Not Started"))</f>
        <v>Not Started</v>
      </c>
      <c r="N96" s="728" t="s">
        <v>3951</v>
      </c>
      <c r="O96" s="717"/>
      <c r="P96" s="718"/>
      <c r="Q96" s="718"/>
      <c r="R96" s="718"/>
      <c r="S96" s="718"/>
      <c r="T96" s="718"/>
      <c r="U96" s="718"/>
      <c r="V96" s="718"/>
      <c r="W96" s="718"/>
      <c r="X96" s="718"/>
      <c r="Y96" s="718"/>
      <c r="Z96" s="718"/>
      <c r="AA96" s="718"/>
      <c r="AB96" s="718"/>
      <c r="AC96" s="718"/>
      <c r="AD96" s="718"/>
      <c r="AE96" s="718"/>
      <c r="AF96" s="718"/>
      <c r="AG96" s="718"/>
      <c r="AH96" s="718"/>
      <c r="AI96" s="718"/>
      <c r="AJ96" s="718"/>
      <c r="AK96" s="718"/>
      <c r="AL96" s="718"/>
      <c r="AM96" s="718"/>
      <c r="AN96" s="718"/>
      <c r="AO96" s="718"/>
      <c r="AP96" s="718"/>
      <c r="AQ96" s="718"/>
      <c r="AR96" s="718"/>
      <c r="AS96" s="718"/>
      <c r="AT96" s="718"/>
      <c r="AU96" s="730"/>
      <c r="AV96" s="730"/>
      <c r="AW96" s="718"/>
      <c r="AX96" s="718"/>
      <c r="AY96" s="718"/>
      <c r="AZ96" s="718"/>
      <c r="BA96" s="718"/>
      <c r="BB96" s="718"/>
      <c r="BC96" s="718"/>
      <c r="BD96" s="718"/>
      <c r="BE96" s="718"/>
      <c r="BF96" s="718"/>
      <c r="BG96" s="718"/>
      <c r="BH96" s="718"/>
      <c r="BI96" s="718"/>
      <c r="BJ96" s="718"/>
      <c r="BK96" s="718"/>
      <c r="BL96" s="718"/>
      <c r="BM96" s="718"/>
      <c r="BN96" s="718"/>
      <c r="BO96" s="718"/>
      <c r="BP96" s="718"/>
      <c r="BQ96" s="718"/>
      <c r="BR96" s="718"/>
      <c r="BS96" s="718"/>
      <c r="BT96" s="718"/>
      <c r="BU96" s="718"/>
      <c r="BV96" s="719"/>
    </row>
    <row r="97" customFormat="false" ht="15" hidden="false" customHeight="true" outlineLevel="0" collapsed="false">
      <c r="A97" s="729" t="s">
        <v>3963</v>
      </c>
      <c r="B97" s="721" t="s">
        <v>3964</v>
      </c>
      <c r="C97" s="721" t="s">
        <v>3965</v>
      </c>
      <c r="D97" s="722" t="n">
        <v>20</v>
      </c>
      <c r="E97" s="723" t="n">
        <f aca="false">F94</f>
        <v>46673</v>
      </c>
      <c r="F97" s="723" t="n">
        <f aca="false">E97+D97</f>
        <v>46693</v>
      </c>
      <c r="G97" s="723" t="n">
        <v>46693</v>
      </c>
      <c r="H97" s="724" t="n">
        <f aca="false">IF($G97="","",$F97-$G97)</f>
        <v>0</v>
      </c>
      <c r="I97" s="720" t="n">
        <v>8.3</v>
      </c>
      <c r="J97" s="725" t="n">
        <f aca="false">$F$166-F97</f>
        <v>480</v>
      </c>
      <c r="K97" s="726" t="str">
        <f aca="false">IF($D97="","",IF($J97&lt;=0,"● CRITICAL",""))</f>
        <v/>
      </c>
      <c r="L97" s="727" t="n">
        <f aca="false">IF($B$4&gt;=F97,1,IF($B$4&lt;=E97,0,($B$4-E97)/(F97-E97)))</f>
        <v>0</v>
      </c>
      <c r="M97" s="721" t="str">
        <f aca="false">IF(L97&gt;=1,"Complete",IF(L97&gt;0,"In Progress","Not Started"))</f>
        <v>Not Started</v>
      </c>
      <c r="N97" s="728" t="s">
        <v>3951</v>
      </c>
      <c r="O97" s="717"/>
      <c r="P97" s="718"/>
      <c r="Q97" s="718"/>
      <c r="R97" s="718"/>
      <c r="S97" s="718"/>
      <c r="T97" s="718"/>
      <c r="U97" s="718"/>
      <c r="V97" s="718"/>
      <c r="W97" s="718"/>
      <c r="X97" s="718"/>
      <c r="Y97" s="718"/>
      <c r="Z97" s="718"/>
      <c r="AA97" s="718"/>
      <c r="AB97" s="718"/>
      <c r="AC97" s="718"/>
      <c r="AD97" s="718"/>
      <c r="AE97" s="718"/>
      <c r="AF97" s="718"/>
      <c r="AG97" s="718"/>
      <c r="AH97" s="718"/>
      <c r="AI97" s="718"/>
      <c r="AJ97" s="718"/>
      <c r="AK97" s="718"/>
      <c r="AL97" s="718"/>
      <c r="AM97" s="718"/>
      <c r="AN97" s="718"/>
      <c r="AO97" s="718"/>
      <c r="AP97" s="718"/>
      <c r="AQ97" s="718"/>
      <c r="AR97" s="718"/>
      <c r="AS97" s="718"/>
      <c r="AT97" s="718"/>
      <c r="AU97" s="718"/>
      <c r="AV97" s="730"/>
      <c r="AW97" s="730"/>
      <c r="AX97" s="718"/>
      <c r="AY97" s="718"/>
      <c r="AZ97" s="718"/>
      <c r="BA97" s="718"/>
      <c r="BB97" s="718"/>
      <c r="BC97" s="718"/>
      <c r="BD97" s="718"/>
      <c r="BE97" s="718"/>
      <c r="BF97" s="718"/>
      <c r="BG97" s="718"/>
      <c r="BH97" s="718"/>
      <c r="BI97" s="718"/>
      <c r="BJ97" s="718"/>
      <c r="BK97" s="718"/>
      <c r="BL97" s="718"/>
      <c r="BM97" s="718"/>
      <c r="BN97" s="718"/>
      <c r="BO97" s="718"/>
      <c r="BP97" s="718"/>
      <c r="BQ97" s="718"/>
      <c r="BR97" s="718"/>
      <c r="BS97" s="718"/>
      <c r="BT97" s="718"/>
      <c r="BU97" s="718"/>
      <c r="BV97" s="719"/>
    </row>
    <row r="98" customFormat="false" ht="15" hidden="false" customHeight="true" outlineLevel="0" collapsed="false">
      <c r="A98" s="729" t="s">
        <v>3966</v>
      </c>
      <c r="B98" s="721" t="s">
        <v>3967</v>
      </c>
      <c r="C98" s="721" t="s">
        <v>3953</v>
      </c>
      <c r="D98" s="722" t="n">
        <v>15</v>
      </c>
      <c r="E98" s="723" t="n">
        <f aca="false">F95</f>
        <v>46658</v>
      </c>
      <c r="F98" s="723" t="n">
        <f aca="false">E98+D98</f>
        <v>46673</v>
      </c>
      <c r="G98" s="723" t="n">
        <v>46673</v>
      </c>
      <c r="H98" s="724" t="n">
        <f aca="false">IF($G98="","",$F98-$G98)</f>
        <v>0</v>
      </c>
      <c r="I98" s="720" t="n">
        <v>8.4</v>
      </c>
      <c r="J98" s="725" t="n">
        <f aca="false">$F$166-F98</f>
        <v>500</v>
      </c>
      <c r="K98" s="726" t="str">
        <f aca="false">IF($D98="","",IF($J98&lt;=0,"● CRITICAL",""))</f>
        <v/>
      </c>
      <c r="L98" s="727" t="n">
        <f aca="false">IF($B$4&gt;=F98,1,IF($B$4&lt;=E98,0,($B$4-E98)/(F98-E98)))</f>
        <v>0</v>
      </c>
      <c r="M98" s="721" t="str">
        <f aca="false">IF(L98&gt;=1,"Complete",IF(L98&gt;0,"In Progress","Not Started"))</f>
        <v>Not Started</v>
      </c>
      <c r="N98" s="728" t="s">
        <v>3951</v>
      </c>
      <c r="O98" s="717"/>
      <c r="P98" s="718"/>
      <c r="Q98" s="718"/>
      <c r="R98" s="718"/>
      <c r="S98" s="718"/>
      <c r="T98" s="718"/>
      <c r="U98" s="718"/>
      <c r="V98" s="718"/>
      <c r="W98" s="718"/>
      <c r="X98" s="718"/>
      <c r="Y98" s="718"/>
      <c r="Z98" s="718"/>
      <c r="AA98" s="718"/>
      <c r="AB98" s="718"/>
      <c r="AC98" s="718"/>
      <c r="AD98" s="718"/>
      <c r="AE98" s="718"/>
      <c r="AF98" s="718"/>
      <c r="AG98" s="718"/>
      <c r="AH98" s="718"/>
      <c r="AI98" s="718"/>
      <c r="AJ98" s="718"/>
      <c r="AK98" s="718"/>
      <c r="AL98" s="718"/>
      <c r="AM98" s="718"/>
      <c r="AN98" s="718"/>
      <c r="AO98" s="718"/>
      <c r="AP98" s="718"/>
      <c r="AQ98" s="718"/>
      <c r="AR98" s="718"/>
      <c r="AS98" s="718"/>
      <c r="AT98" s="718"/>
      <c r="AU98" s="730"/>
      <c r="AV98" s="730"/>
      <c r="AW98" s="718"/>
      <c r="AX98" s="718"/>
      <c r="AY98" s="718"/>
      <c r="AZ98" s="718"/>
      <c r="BA98" s="718"/>
      <c r="BB98" s="718"/>
      <c r="BC98" s="718"/>
      <c r="BD98" s="718"/>
      <c r="BE98" s="718"/>
      <c r="BF98" s="718"/>
      <c r="BG98" s="718"/>
      <c r="BH98" s="718"/>
      <c r="BI98" s="718"/>
      <c r="BJ98" s="718"/>
      <c r="BK98" s="718"/>
      <c r="BL98" s="718"/>
      <c r="BM98" s="718"/>
      <c r="BN98" s="718"/>
      <c r="BO98" s="718"/>
      <c r="BP98" s="718"/>
      <c r="BQ98" s="718"/>
      <c r="BR98" s="718"/>
      <c r="BS98" s="718"/>
      <c r="BT98" s="718"/>
      <c r="BU98" s="718"/>
      <c r="BV98" s="719"/>
    </row>
    <row r="99" customFormat="false" ht="15" hidden="false" customHeight="true" outlineLevel="0" collapsed="false">
      <c r="A99" s="720" t="n">
        <v>8.5</v>
      </c>
      <c r="B99" s="731" t="s">
        <v>3968</v>
      </c>
      <c r="C99" s="721" t="s">
        <v>85</v>
      </c>
      <c r="D99" s="722" t="n">
        <v>0</v>
      </c>
      <c r="E99" s="723" t="n">
        <f aca="false">F94</f>
        <v>46673</v>
      </c>
      <c r="F99" s="723" t="n">
        <f aca="false">E99+D99</f>
        <v>46673</v>
      </c>
      <c r="G99" s="723" t="n">
        <v>46673</v>
      </c>
      <c r="H99" s="724" t="n">
        <f aca="false">IF($G99="","",$F99-$G99)</f>
        <v>0</v>
      </c>
      <c r="I99" s="720" t="n">
        <v>8.3</v>
      </c>
      <c r="J99" s="725" t="n">
        <f aca="false">MIN(E129)-F99</f>
        <v>0</v>
      </c>
      <c r="K99" s="726" t="str">
        <f aca="false">IF($D99="","",IF($J99&lt;=0,"● CRITICAL",""))</f>
        <v>● CRITICAL</v>
      </c>
      <c r="L99" s="727" t="n">
        <f aca="false">IF($B$4&gt;=F99,1,IF($B$4&lt;=E99,0,($B$4-E99)/(F99-E99)))</f>
        <v>0</v>
      </c>
      <c r="M99" s="721" t="str">
        <f aca="false">IF(L99&gt;=1,"Complete",IF(L99&gt;0,"In Progress","Not Started"))</f>
        <v>Not Started</v>
      </c>
      <c r="N99" s="728" t="s">
        <v>319</v>
      </c>
      <c r="O99" s="717"/>
      <c r="P99" s="718"/>
      <c r="Q99" s="718"/>
      <c r="R99" s="718"/>
      <c r="S99" s="718"/>
      <c r="T99" s="718"/>
      <c r="U99" s="718"/>
      <c r="V99" s="718"/>
      <c r="W99" s="718"/>
      <c r="X99" s="718"/>
      <c r="Y99" s="718"/>
      <c r="Z99" s="718"/>
      <c r="AA99" s="718"/>
      <c r="AB99" s="718"/>
      <c r="AC99" s="718"/>
      <c r="AD99" s="718"/>
      <c r="AE99" s="718"/>
      <c r="AF99" s="718"/>
      <c r="AG99" s="718"/>
      <c r="AH99" s="718"/>
      <c r="AI99" s="718"/>
      <c r="AJ99" s="718"/>
      <c r="AK99" s="718"/>
      <c r="AL99" s="718"/>
      <c r="AM99" s="718"/>
      <c r="AN99" s="718"/>
      <c r="AO99" s="718"/>
      <c r="AP99" s="718"/>
      <c r="AQ99" s="718"/>
      <c r="AR99" s="718"/>
      <c r="AS99" s="718"/>
      <c r="AT99" s="718"/>
      <c r="AU99" s="718"/>
      <c r="AV99" s="718"/>
      <c r="AW99" s="718"/>
      <c r="AX99" s="718"/>
      <c r="AY99" s="718"/>
      <c r="AZ99" s="718"/>
      <c r="BA99" s="718"/>
      <c r="BB99" s="718"/>
      <c r="BC99" s="718"/>
      <c r="BD99" s="718"/>
      <c r="BE99" s="718"/>
      <c r="BF99" s="718"/>
      <c r="BG99" s="718"/>
      <c r="BH99" s="718"/>
      <c r="BI99" s="718"/>
      <c r="BJ99" s="718"/>
      <c r="BK99" s="718"/>
      <c r="BL99" s="718"/>
      <c r="BM99" s="718"/>
      <c r="BN99" s="718"/>
      <c r="BO99" s="718"/>
      <c r="BP99" s="718"/>
      <c r="BQ99" s="718"/>
      <c r="BR99" s="718"/>
      <c r="BS99" s="718"/>
      <c r="BT99" s="718"/>
      <c r="BU99" s="718"/>
      <c r="BV99" s="719"/>
    </row>
    <row r="100" customFormat="false" ht="15" hidden="false" customHeight="true" outlineLevel="0" collapsed="false">
      <c r="A100" s="709" t="n">
        <v>9</v>
      </c>
      <c r="B100" s="710" t="s">
        <v>3969</v>
      </c>
      <c r="C100" s="710"/>
      <c r="D100" s="711" t="n">
        <f aca="false">F100-E100</f>
        <v>405</v>
      </c>
      <c r="E100" s="712" t="n">
        <f aca="false">MIN(E101:E114)</f>
        <v>46583</v>
      </c>
      <c r="F100" s="712" t="n">
        <f aca="false">MAX(F101:F114)</f>
        <v>46988</v>
      </c>
      <c r="G100" s="712" t="n">
        <v>46988</v>
      </c>
      <c r="H100" s="713" t="n">
        <f aca="false">IF($G100="","",$F100-$G100)</f>
        <v>0</v>
      </c>
      <c r="I100" s="709"/>
      <c r="J100" s="714"/>
      <c r="K100" s="710"/>
      <c r="L100" s="715" t="n">
        <f aca="false">IFERROR(SUMPRODUCT($D101:$D114,$L101:$L114)/SUM($D101:$D114),0)</f>
        <v>0</v>
      </c>
      <c r="M100" s="710" t="str">
        <f aca="false">IF(L100&gt;=1,"Complete",IF(L100&gt;0,"In Progress","Not Started"))</f>
        <v>Not Started</v>
      </c>
      <c r="N100" s="716" t="s">
        <v>3915</v>
      </c>
      <c r="O100" s="717"/>
      <c r="P100" s="718"/>
      <c r="Q100" s="718"/>
      <c r="R100" s="718"/>
      <c r="S100" s="718"/>
      <c r="T100" s="718"/>
      <c r="U100" s="718"/>
      <c r="V100" s="718"/>
      <c r="W100" s="718"/>
      <c r="X100" s="718"/>
      <c r="Y100" s="718"/>
      <c r="Z100" s="718"/>
      <c r="AA100" s="718"/>
      <c r="AB100" s="718"/>
      <c r="AC100" s="718"/>
      <c r="AD100" s="718"/>
      <c r="AE100" s="718"/>
      <c r="AF100" s="718"/>
      <c r="AG100" s="718"/>
      <c r="AH100" s="718"/>
      <c r="AI100" s="718"/>
      <c r="AJ100" s="718"/>
      <c r="AK100" s="718"/>
      <c r="AL100" s="718"/>
      <c r="AM100" s="718"/>
      <c r="AN100" s="718"/>
      <c r="AO100" s="718"/>
      <c r="AP100" s="718"/>
      <c r="AQ100" s="718"/>
      <c r="AR100" s="718"/>
      <c r="AS100" s="718"/>
      <c r="AT100" s="718"/>
      <c r="AU100" s="718"/>
      <c r="AV100" s="718"/>
      <c r="AW100" s="718"/>
      <c r="AX100" s="718"/>
      <c r="AY100" s="718"/>
      <c r="AZ100" s="718"/>
      <c r="BA100" s="718"/>
      <c r="BB100" s="718"/>
      <c r="BC100" s="718"/>
      <c r="BD100" s="718"/>
      <c r="BE100" s="718"/>
      <c r="BF100" s="718"/>
      <c r="BG100" s="718"/>
      <c r="BH100" s="718"/>
      <c r="BI100" s="718"/>
      <c r="BJ100" s="718"/>
      <c r="BK100" s="718"/>
      <c r="BL100" s="718"/>
      <c r="BM100" s="718"/>
      <c r="BN100" s="718"/>
      <c r="BO100" s="718"/>
      <c r="BP100" s="718"/>
      <c r="BQ100" s="718"/>
      <c r="BR100" s="718"/>
      <c r="BS100" s="718"/>
      <c r="BT100" s="718"/>
      <c r="BU100" s="718"/>
      <c r="BV100" s="719"/>
    </row>
    <row r="101" customFormat="false" ht="15" hidden="false" customHeight="true" outlineLevel="0" collapsed="false">
      <c r="A101" s="720" t="n">
        <v>9.1</v>
      </c>
      <c r="B101" s="721" t="s">
        <v>3970</v>
      </c>
      <c r="C101" s="721" t="s">
        <v>3898</v>
      </c>
      <c r="D101" s="722" t="n">
        <v>90</v>
      </c>
      <c r="E101" s="723" t="n">
        <f aca="false">MAX(F90,F42)</f>
        <v>46628</v>
      </c>
      <c r="F101" s="723" t="n">
        <f aca="false">E101+D101</f>
        <v>46718</v>
      </c>
      <c r="G101" s="723" t="n">
        <v>46718</v>
      </c>
      <c r="H101" s="724" t="n">
        <f aca="false">IF($G101="","",$F101-$G101)</f>
        <v>0</v>
      </c>
      <c r="I101" s="720" t="s">
        <v>3971</v>
      </c>
      <c r="J101" s="725" t="n">
        <f aca="false">MIN(E102)-F101</f>
        <v>0</v>
      </c>
      <c r="K101" s="726" t="str">
        <f aca="false">IF($D101="","",IF($J101&lt;=0,"● CRITICAL",""))</f>
        <v>● CRITICAL</v>
      </c>
      <c r="L101" s="727" t="n">
        <f aca="false">IF($B$4&gt;=F101,1,IF($B$4&lt;=E101,0,($B$4-E101)/(F101-E101)))</f>
        <v>0</v>
      </c>
      <c r="M101" s="721" t="str">
        <f aca="false">IF(L101&gt;=1,"Complete",IF(L101&gt;0,"In Progress","Not Started"))</f>
        <v>Not Started</v>
      </c>
      <c r="N101" s="728" t="s">
        <v>3915</v>
      </c>
      <c r="O101" s="717"/>
      <c r="P101" s="718"/>
      <c r="Q101" s="718"/>
      <c r="R101" s="718"/>
      <c r="S101" s="718"/>
      <c r="T101" s="718"/>
      <c r="U101" s="718"/>
      <c r="V101" s="718"/>
      <c r="W101" s="718"/>
      <c r="X101" s="718"/>
      <c r="Y101" s="718"/>
      <c r="Z101" s="718"/>
      <c r="AA101" s="718"/>
      <c r="AB101" s="718"/>
      <c r="AC101" s="718"/>
      <c r="AD101" s="718"/>
      <c r="AE101" s="718"/>
      <c r="AF101" s="718"/>
      <c r="AG101" s="718"/>
      <c r="AH101" s="718"/>
      <c r="AI101" s="718"/>
      <c r="AJ101" s="718"/>
      <c r="AK101" s="718"/>
      <c r="AL101" s="718"/>
      <c r="AM101" s="718"/>
      <c r="AN101" s="718"/>
      <c r="AO101" s="718"/>
      <c r="AP101" s="718"/>
      <c r="AQ101" s="718"/>
      <c r="AR101" s="718"/>
      <c r="AS101" s="718"/>
      <c r="AT101" s="718"/>
      <c r="AU101" s="718"/>
      <c r="AV101" s="718"/>
      <c r="AW101" s="718"/>
      <c r="AX101" s="718"/>
      <c r="AY101" s="718"/>
      <c r="AZ101" s="718"/>
      <c r="BA101" s="718"/>
      <c r="BB101" s="718"/>
      <c r="BC101" s="718"/>
      <c r="BD101" s="718"/>
      <c r="BE101" s="718"/>
      <c r="BF101" s="718"/>
      <c r="BG101" s="718"/>
      <c r="BH101" s="718"/>
      <c r="BI101" s="718"/>
      <c r="BJ101" s="718"/>
      <c r="BK101" s="718"/>
      <c r="BL101" s="718"/>
      <c r="BM101" s="718"/>
      <c r="BN101" s="718"/>
      <c r="BO101" s="718"/>
      <c r="BP101" s="718"/>
      <c r="BQ101" s="718"/>
      <c r="BR101" s="718"/>
      <c r="BS101" s="718"/>
      <c r="BT101" s="718"/>
      <c r="BU101" s="718"/>
      <c r="BV101" s="719"/>
    </row>
    <row r="102" customFormat="false" ht="15" hidden="false" customHeight="true" outlineLevel="0" collapsed="false">
      <c r="A102" s="720" t="n">
        <v>9.2</v>
      </c>
      <c r="B102" s="721" t="s">
        <v>3972</v>
      </c>
      <c r="C102" s="721" t="s">
        <v>3898</v>
      </c>
      <c r="D102" s="722" t="n">
        <v>90</v>
      </c>
      <c r="E102" s="723" t="n">
        <f aca="false">MAX(F101,F43)</f>
        <v>46718</v>
      </c>
      <c r="F102" s="723" t="n">
        <f aca="false">E102+D102</f>
        <v>46808</v>
      </c>
      <c r="G102" s="723" t="n">
        <v>46808</v>
      </c>
      <c r="H102" s="724" t="n">
        <f aca="false">IF($G102="","",$F102-$G102)</f>
        <v>0</v>
      </c>
      <c r="I102" s="720" t="s">
        <v>3973</v>
      </c>
      <c r="J102" s="725" t="n">
        <f aca="false">MIN(E103,E106,E107,E108)-F102</f>
        <v>0</v>
      </c>
      <c r="K102" s="726" t="str">
        <f aca="false">IF($D102="","",IF($J102&lt;=0,"● CRITICAL",""))</f>
        <v>● CRITICAL</v>
      </c>
      <c r="L102" s="727" t="n">
        <f aca="false">IF($B$4&gt;=F102,1,IF($B$4&lt;=E102,0,($B$4-E102)/(F102-E102)))</f>
        <v>0</v>
      </c>
      <c r="M102" s="721" t="str">
        <f aca="false">IF(L102&gt;=1,"Complete",IF(L102&gt;0,"In Progress","Not Started"))</f>
        <v>Not Started</v>
      </c>
      <c r="N102" s="728" t="s">
        <v>3915</v>
      </c>
      <c r="O102" s="717"/>
      <c r="P102" s="718"/>
      <c r="Q102" s="718"/>
      <c r="R102" s="718"/>
      <c r="S102" s="718"/>
      <c r="T102" s="718"/>
      <c r="U102" s="718"/>
      <c r="V102" s="718"/>
      <c r="W102" s="718"/>
      <c r="X102" s="718"/>
      <c r="Y102" s="718"/>
      <c r="Z102" s="718"/>
      <c r="AA102" s="718"/>
      <c r="AB102" s="718"/>
      <c r="AC102" s="718"/>
      <c r="AD102" s="718"/>
      <c r="AE102" s="718"/>
      <c r="AF102" s="718"/>
      <c r="AG102" s="718"/>
      <c r="AH102" s="718"/>
      <c r="AI102" s="718"/>
      <c r="AJ102" s="718"/>
      <c r="AK102" s="718"/>
      <c r="AL102" s="718"/>
      <c r="AM102" s="718"/>
      <c r="AN102" s="718"/>
      <c r="AO102" s="718"/>
      <c r="AP102" s="718"/>
      <c r="AQ102" s="718"/>
      <c r="AR102" s="718"/>
      <c r="AS102" s="718"/>
      <c r="AT102" s="718"/>
      <c r="AU102" s="718"/>
      <c r="AV102" s="718"/>
      <c r="AW102" s="718"/>
      <c r="AX102" s="718"/>
      <c r="AY102" s="718"/>
      <c r="AZ102" s="718"/>
      <c r="BA102" s="718"/>
      <c r="BB102" s="718"/>
      <c r="BC102" s="718"/>
      <c r="BD102" s="718"/>
      <c r="BE102" s="718"/>
      <c r="BF102" s="718"/>
      <c r="BG102" s="718"/>
      <c r="BH102" s="718"/>
      <c r="BI102" s="718"/>
      <c r="BJ102" s="718"/>
      <c r="BK102" s="718"/>
      <c r="BL102" s="718"/>
      <c r="BM102" s="718"/>
      <c r="BN102" s="718"/>
      <c r="BO102" s="718"/>
      <c r="BP102" s="718"/>
      <c r="BQ102" s="718"/>
      <c r="BR102" s="718"/>
      <c r="BS102" s="718"/>
      <c r="BT102" s="718"/>
      <c r="BU102" s="718"/>
      <c r="BV102" s="719"/>
    </row>
    <row r="103" customFormat="false" ht="15" hidden="false" customHeight="true" outlineLevel="0" collapsed="false">
      <c r="A103" s="720" t="n">
        <v>9.3</v>
      </c>
      <c r="B103" s="721" t="s">
        <v>3974</v>
      </c>
      <c r="C103" s="721" t="s">
        <v>3898</v>
      </c>
      <c r="D103" s="722" t="n">
        <v>75</v>
      </c>
      <c r="E103" s="723" t="n">
        <f aca="false">MAX(F102,F44)</f>
        <v>46808</v>
      </c>
      <c r="F103" s="723" t="n">
        <f aca="false">E103+D103</f>
        <v>46883</v>
      </c>
      <c r="G103" s="723" t="n">
        <v>46883</v>
      </c>
      <c r="H103" s="724" t="n">
        <f aca="false">IF($G103="","",$F103-$G103)</f>
        <v>0</v>
      </c>
      <c r="I103" s="720" t="s">
        <v>3975</v>
      </c>
      <c r="J103" s="725" t="n">
        <f aca="false">$F$166-F103</f>
        <v>290</v>
      </c>
      <c r="K103" s="726" t="str">
        <f aca="false">IF($D103="","",IF($J103&lt;=0,"● CRITICAL",""))</f>
        <v/>
      </c>
      <c r="L103" s="727" t="n">
        <f aca="false">IF($B$4&gt;=F103,1,IF($B$4&lt;=E103,0,($B$4-E103)/(F103-E103)))</f>
        <v>0</v>
      </c>
      <c r="M103" s="721" t="str">
        <f aca="false">IF(L103&gt;=1,"Complete",IF(L103&gt;0,"In Progress","Not Started"))</f>
        <v>Not Started</v>
      </c>
      <c r="N103" s="728" t="s">
        <v>3915</v>
      </c>
      <c r="O103" s="717"/>
      <c r="P103" s="718"/>
      <c r="Q103" s="718"/>
      <c r="R103" s="718"/>
      <c r="S103" s="718"/>
      <c r="T103" s="718"/>
      <c r="U103" s="718"/>
      <c r="V103" s="718"/>
      <c r="W103" s="718"/>
      <c r="X103" s="718"/>
      <c r="Y103" s="718"/>
      <c r="Z103" s="718"/>
      <c r="AA103" s="718"/>
      <c r="AB103" s="718"/>
      <c r="AC103" s="718"/>
      <c r="AD103" s="718"/>
      <c r="AE103" s="718"/>
      <c r="AF103" s="718"/>
      <c r="AG103" s="718"/>
      <c r="AH103" s="718"/>
      <c r="AI103" s="718"/>
      <c r="AJ103" s="718"/>
      <c r="AK103" s="718"/>
      <c r="AL103" s="718"/>
      <c r="AM103" s="718"/>
      <c r="AN103" s="718"/>
      <c r="AO103" s="718"/>
      <c r="AP103" s="718"/>
      <c r="AQ103" s="718"/>
      <c r="AR103" s="718"/>
      <c r="AS103" s="718"/>
      <c r="AT103" s="718"/>
      <c r="AU103" s="718"/>
      <c r="AV103" s="718"/>
      <c r="AW103" s="718"/>
      <c r="AX103" s="718"/>
      <c r="AY103" s="718"/>
      <c r="AZ103" s="718"/>
      <c r="BA103" s="718"/>
      <c r="BB103" s="718"/>
      <c r="BC103" s="718"/>
      <c r="BD103" s="718"/>
      <c r="BE103" s="718"/>
      <c r="BF103" s="718"/>
      <c r="BG103" s="718"/>
      <c r="BH103" s="718"/>
      <c r="BI103" s="718"/>
      <c r="BJ103" s="718"/>
      <c r="BK103" s="718"/>
      <c r="BL103" s="718"/>
      <c r="BM103" s="718"/>
      <c r="BN103" s="718"/>
      <c r="BO103" s="718"/>
      <c r="BP103" s="718"/>
      <c r="BQ103" s="718"/>
      <c r="BR103" s="718"/>
      <c r="BS103" s="718"/>
      <c r="BT103" s="718"/>
      <c r="BU103" s="718"/>
      <c r="BV103" s="719"/>
    </row>
    <row r="104" customFormat="false" ht="15" hidden="false" customHeight="true" outlineLevel="0" collapsed="false">
      <c r="A104" s="720" t="n">
        <v>9.4</v>
      </c>
      <c r="B104" s="721" t="s">
        <v>3976</v>
      </c>
      <c r="C104" s="721" t="s">
        <v>3898</v>
      </c>
      <c r="D104" s="722" t="n">
        <v>90</v>
      </c>
      <c r="E104" s="723" t="n">
        <f aca="false">MAX(F90,F45)</f>
        <v>46628</v>
      </c>
      <c r="F104" s="723" t="n">
        <f aca="false">E104+D104</f>
        <v>46718</v>
      </c>
      <c r="G104" s="723" t="n">
        <v>46718</v>
      </c>
      <c r="H104" s="724" t="n">
        <f aca="false">IF($G104="","",$F104-$G104)</f>
        <v>0</v>
      </c>
      <c r="I104" s="720" t="s">
        <v>3977</v>
      </c>
      <c r="J104" s="725" t="n">
        <f aca="false">MIN(E105)-F104</f>
        <v>0</v>
      </c>
      <c r="K104" s="726" t="str">
        <f aca="false">IF($D104="","",IF($J104&lt;=0,"● CRITICAL",""))</f>
        <v>● CRITICAL</v>
      </c>
      <c r="L104" s="727" t="n">
        <f aca="false">IF($B$4&gt;=F104,1,IF($B$4&lt;=E104,0,($B$4-E104)/(F104-E104)))</f>
        <v>0</v>
      </c>
      <c r="M104" s="721" t="str">
        <f aca="false">IF(L104&gt;=1,"Complete",IF(L104&gt;0,"In Progress","Not Started"))</f>
        <v>Not Started</v>
      </c>
      <c r="N104" s="728" t="s">
        <v>3915</v>
      </c>
      <c r="O104" s="717"/>
      <c r="P104" s="718"/>
      <c r="Q104" s="718"/>
      <c r="R104" s="718"/>
      <c r="S104" s="718"/>
      <c r="T104" s="718"/>
      <c r="U104" s="718"/>
      <c r="V104" s="718"/>
      <c r="W104" s="718"/>
      <c r="X104" s="718"/>
      <c r="Y104" s="718"/>
      <c r="Z104" s="718"/>
      <c r="AA104" s="718"/>
      <c r="AB104" s="718"/>
      <c r="AC104" s="718"/>
      <c r="AD104" s="718"/>
      <c r="AE104" s="718"/>
      <c r="AF104" s="718"/>
      <c r="AG104" s="718"/>
      <c r="AH104" s="718"/>
      <c r="AI104" s="718"/>
      <c r="AJ104" s="718"/>
      <c r="AK104" s="718"/>
      <c r="AL104" s="718"/>
      <c r="AM104" s="718"/>
      <c r="AN104" s="718"/>
      <c r="AO104" s="718"/>
      <c r="AP104" s="718"/>
      <c r="AQ104" s="718"/>
      <c r="AR104" s="718"/>
      <c r="AS104" s="718"/>
      <c r="AT104" s="718"/>
      <c r="AU104" s="718"/>
      <c r="AV104" s="718"/>
      <c r="AW104" s="718"/>
      <c r="AX104" s="718"/>
      <c r="AY104" s="718"/>
      <c r="AZ104" s="718"/>
      <c r="BA104" s="718"/>
      <c r="BB104" s="718"/>
      <c r="BC104" s="718"/>
      <c r="BD104" s="718"/>
      <c r="BE104" s="718"/>
      <c r="BF104" s="718"/>
      <c r="BG104" s="718"/>
      <c r="BH104" s="718"/>
      <c r="BI104" s="718"/>
      <c r="BJ104" s="718"/>
      <c r="BK104" s="718"/>
      <c r="BL104" s="718"/>
      <c r="BM104" s="718"/>
      <c r="BN104" s="718"/>
      <c r="BO104" s="718"/>
      <c r="BP104" s="718"/>
      <c r="BQ104" s="718"/>
      <c r="BR104" s="718"/>
      <c r="BS104" s="718"/>
      <c r="BT104" s="718"/>
      <c r="BU104" s="718"/>
      <c r="BV104" s="719"/>
    </row>
    <row r="105" customFormat="false" ht="15" hidden="false" customHeight="true" outlineLevel="0" collapsed="false">
      <c r="A105" s="720" t="n">
        <v>9.5</v>
      </c>
      <c r="B105" s="721" t="s">
        <v>3978</v>
      </c>
      <c r="C105" s="721" t="s">
        <v>3898</v>
      </c>
      <c r="D105" s="722" t="n">
        <v>60</v>
      </c>
      <c r="E105" s="723" t="n">
        <f aca="false">MAX(F104,F46)</f>
        <v>46718</v>
      </c>
      <c r="F105" s="723" t="n">
        <f aca="false">E105+D105</f>
        <v>46778</v>
      </c>
      <c r="G105" s="723" t="n">
        <v>46778</v>
      </c>
      <c r="H105" s="724" t="n">
        <f aca="false">IF($G105="","",$F105-$G105)</f>
        <v>0</v>
      </c>
      <c r="I105" s="720" t="s">
        <v>3979</v>
      </c>
      <c r="J105" s="725" t="n">
        <f aca="false">$F$166-F105</f>
        <v>395</v>
      </c>
      <c r="K105" s="726" t="str">
        <f aca="false">IF($D105="","",IF($J105&lt;=0,"● CRITICAL",""))</f>
        <v/>
      </c>
      <c r="L105" s="727" t="n">
        <f aca="false">IF($B$4&gt;=F105,1,IF($B$4&lt;=E105,0,($B$4-E105)/(F105-E105)))</f>
        <v>0</v>
      </c>
      <c r="M105" s="721" t="str">
        <f aca="false">IF(L105&gt;=1,"Complete",IF(L105&gt;0,"In Progress","Not Started"))</f>
        <v>Not Started</v>
      </c>
      <c r="N105" s="728" t="s">
        <v>3915</v>
      </c>
      <c r="O105" s="717"/>
      <c r="P105" s="718"/>
      <c r="Q105" s="718"/>
      <c r="R105" s="718"/>
      <c r="S105" s="718"/>
      <c r="T105" s="718"/>
      <c r="U105" s="718"/>
      <c r="V105" s="718"/>
      <c r="W105" s="718"/>
      <c r="X105" s="718"/>
      <c r="Y105" s="718"/>
      <c r="Z105" s="718"/>
      <c r="AA105" s="718"/>
      <c r="AB105" s="718"/>
      <c r="AC105" s="718"/>
      <c r="AD105" s="718"/>
      <c r="AE105" s="718"/>
      <c r="AF105" s="718"/>
      <c r="AG105" s="718"/>
      <c r="AH105" s="718"/>
      <c r="AI105" s="718"/>
      <c r="AJ105" s="718"/>
      <c r="AK105" s="718"/>
      <c r="AL105" s="718"/>
      <c r="AM105" s="718"/>
      <c r="AN105" s="718"/>
      <c r="AO105" s="718"/>
      <c r="AP105" s="718"/>
      <c r="AQ105" s="718"/>
      <c r="AR105" s="718"/>
      <c r="AS105" s="718"/>
      <c r="AT105" s="718"/>
      <c r="AU105" s="718"/>
      <c r="AV105" s="718"/>
      <c r="AW105" s="718"/>
      <c r="AX105" s="718"/>
      <c r="AY105" s="718"/>
      <c r="AZ105" s="718"/>
      <c r="BA105" s="718"/>
      <c r="BB105" s="718"/>
      <c r="BC105" s="718"/>
      <c r="BD105" s="718"/>
      <c r="BE105" s="718"/>
      <c r="BF105" s="718"/>
      <c r="BG105" s="718"/>
      <c r="BH105" s="718"/>
      <c r="BI105" s="718"/>
      <c r="BJ105" s="718"/>
      <c r="BK105" s="718"/>
      <c r="BL105" s="718"/>
      <c r="BM105" s="718"/>
      <c r="BN105" s="718"/>
      <c r="BO105" s="718"/>
      <c r="BP105" s="718"/>
      <c r="BQ105" s="718"/>
      <c r="BR105" s="718"/>
      <c r="BS105" s="718"/>
      <c r="BT105" s="718"/>
      <c r="BU105" s="718"/>
      <c r="BV105" s="719"/>
    </row>
    <row r="106" customFormat="false" ht="15" hidden="false" customHeight="true" outlineLevel="0" collapsed="false">
      <c r="A106" s="720" t="n">
        <v>9.6</v>
      </c>
      <c r="B106" s="721" t="s">
        <v>3980</v>
      </c>
      <c r="C106" s="721" t="s">
        <v>3898</v>
      </c>
      <c r="D106" s="722" t="n">
        <v>75</v>
      </c>
      <c r="E106" s="723" t="n">
        <f aca="false">MAX(F102,F47)</f>
        <v>46808</v>
      </c>
      <c r="F106" s="723" t="n">
        <f aca="false">E106+D106</f>
        <v>46883</v>
      </c>
      <c r="G106" s="723" t="n">
        <v>46883</v>
      </c>
      <c r="H106" s="724" t="n">
        <f aca="false">IF($G106="","",$F106-$G106)</f>
        <v>0</v>
      </c>
      <c r="I106" s="720" t="s">
        <v>3981</v>
      </c>
      <c r="J106" s="725" t="n">
        <f aca="false">MIN(E114)-F106</f>
        <v>105</v>
      </c>
      <c r="K106" s="726" t="str">
        <f aca="false">IF($D106="","",IF($J106&lt;=0,"● CRITICAL",""))</f>
        <v/>
      </c>
      <c r="L106" s="727" t="n">
        <f aca="false">IF($B$4&gt;=F106,1,IF($B$4&lt;=E106,0,($B$4-E106)/(F106-E106)))</f>
        <v>0</v>
      </c>
      <c r="M106" s="721" t="str">
        <f aca="false">IF(L106&gt;=1,"Complete",IF(L106&gt;0,"In Progress","Not Started"))</f>
        <v>Not Started</v>
      </c>
      <c r="N106" s="728" t="s">
        <v>3915</v>
      </c>
      <c r="O106" s="717"/>
      <c r="P106" s="718"/>
      <c r="Q106" s="718"/>
      <c r="R106" s="718"/>
      <c r="S106" s="718"/>
      <c r="T106" s="718"/>
      <c r="U106" s="718"/>
      <c r="V106" s="718"/>
      <c r="W106" s="718"/>
      <c r="X106" s="718"/>
      <c r="Y106" s="718"/>
      <c r="Z106" s="718"/>
      <c r="AA106" s="718"/>
      <c r="AB106" s="718"/>
      <c r="AC106" s="718"/>
      <c r="AD106" s="718"/>
      <c r="AE106" s="718"/>
      <c r="AF106" s="718"/>
      <c r="AG106" s="718"/>
      <c r="AH106" s="718"/>
      <c r="AI106" s="718"/>
      <c r="AJ106" s="718"/>
      <c r="AK106" s="718"/>
      <c r="AL106" s="718"/>
      <c r="AM106" s="718"/>
      <c r="AN106" s="718"/>
      <c r="AO106" s="718"/>
      <c r="AP106" s="718"/>
      <c r="AQ106" s="718"/>
      <c r="AR106" s="718"/>
      <c r="AS106" s="718"/>
      <c r="AT106" s="718"/>
      <c r="AU106" s="718"/>
      <c r="AV106" s="718"/>
      <c r="AW106" s="718"/>
      <c r="AX106" s="718"/>
      <c r="AY106" s="718"/>
      <c r="AZ106" s="718"/>
      <c r="BA106" s="718"/>
      <c r="BB106" s="718"/>
      <c r="BC106" s="718"/>
      <c r="BD106" s="718"/>
      <c r="BE106" s="718"/>
      <c r="BF106" s="718"/>
      <c r="BG106" s="718"/>
      <c r="BH106" s="718"/>
      <c r="BI106" s="718"/>
      <c r="BJ106" s="718"/>
      <c r="BK106" s="718"/>
      <c r="BL106" s="718"/>
      <c r="BM106" s="718"/>
      <c r="BN106" s="718"/>
      <c r="BO106" s="718"/>
      <c r="BP106" s="718"/>
      <c r="BQ106" s="718"/>
      <c r="BR106" s="718"/>
      <c r="BS106" s="718"/>
      <c r="BT106" s="718"/>
      <c r="BU106" s="718"/>
      <c r="BV106" s="719"/>
    </row>
    <row r="107" customFormat="false" ht="15" hidden="false" customHeight="true" outlineLevel="0" collapsed="false">
      <c r="A107" s="720" t="n">
        <v>9.7</v>
      </c>
      <c r="B107" s="721" t="s">
        <v>3982</v>
      </c>
      <c r="C107" s="721" t="s">
        <v>3898</v>
      </c>
      <c r="D107" s="722" t="n">
        <v>60</v>
      </c>
      <c r="E107" s="723" t="n">
        <f aca="false">MAX(F102,F48)</f>
        <v>46808</v>
      </c>
      <c r="F107" s="723" t="n">
        <f aca="false">E107+D107</f>
        <v>46868</v>
      </c>
      <c r="G107" s="723" t="n">
        <v>46868</v>
      </c>
      <c r="H107" s="724" t="n">
        <f aca="false">IF($G107="","",$F107-$G107)</f>
        <v>0</v>
      </c>
      <c r="I107" s="720" t="s">
        <v>3983</v>
      </c>
      <c r="J107" s="725" t="n">
        <f aca="false">$F$166-F107</f>
        <v>305</v>
      </c>
      <c r="K107" s="726" t="str">
        <f aca="false">IF($D107="","",IF($J107&lt;=0,"● CRITICAL",""))</f>
        <v/>
      </c>
      <c r="L107" s="727" t="n">
        <f aca="false">IF($B$4&gt;=F107,1,IF($B$4&lt;=E107,0,($B$4-E107)/(F107-E107)))</f>
        <v>0</v>
      </c>
      <c r="M107" s="721" t="str">
        <f aca="false">IF(L107&gt;=1,"Complete",IF(L107&gt;0,"In Progress","Not Started"))</f>
        <v>Not Started</v>
      </c>
      <c r="N107" s="728" t="s">
        <v>3915</v>
      </c>
      <c r="O107" s="717"/>
      <c r="P107" s="718"/>
      <c r="Q107" s="718"/>
      <c r="R107" s="718"/>
      <c r="S107" s="718"/>
      <c r="T107" s="718"/>
      <c r="U107" s="718"/>
      <c r="V107" s="718"/>
      <c r="W107" s="718"/>
      <c r="X107" s="718"/>
      <c r="Y107" s="718"/>
      <c r="Z107" s="718"/>
      <c r="AA107" s="718"/>
      <c r="AB107" s="718"/>
      <c r="AC107" s="718"/>
      <c r="AD107" s="718"/>
      <c r="AE107" s="718"/>
      <c r="AF107" s="718"/>
      <c r="AG107" s="718"/>
      <c r="AH107" s="718"/>
      <c r="AI107" s="718"/>
      <c r="AJ107" s="718"/>
      <c r="AK107" s="718"/>
      <c r="AL107" s="718"/>
      <c r="AM107" s="718"/>
      <c r="AN107" s="718"/>
      <c r="AO107" s="718"/>
      <c r="AP107" s="718"/>
      <c r="AQ107" s="718"/>
      <c r="AR107" s="718"/>
      <c r="AS107" s="718"/>
      <c r="AT107" s="718"/>
      <c r="AU107" s="718"/>
      <c r="AV107" s="718"/>
      <c r="AW107" s="718"/>
      <c r="AX107" s="718"/>
      <c r="AY107" s="718"/>
      <c r="AZ107" s="718"/>
      <c r="BA107" s="718"/>
      <c r="BB107" s="718"/>
      <c r="BC107" s="718"/>
      <c r="BD107" s="718"/>
      <c r="BE107" s="718"/>
      <c r="BF107" s="718"/>
      <c r="BG107" s="718"/>
      <c r="BH107" s="718"/>
      <c r="BI107" s="718"/>
      <c r="BJ107" s="718"/>
      <c r="BK107" s="718"/>
      <c r="BL107" s="718"/>
      <c r="BM107" s="718"/>
      <c r="BN107" s="718"/>
      <c r="BO107" s="718"/>
      <c r="BP107" s="718"/>
      <c r="BQ107" s="718"/>
      <c r="BR107" s="718"/>
      <c r="BS107" s="718"/>
      <c r="BT107" s="718"/>
      <c r="BU107" s="718"/>
      <c r="BV107" s="719"/>
    </row>
    <row r="108" customFormat="false" ht="15" hidden="false" customHeight="true" outlineLevel="0" collapsed="false">
      <c r="A108" s="720" t="n">
        <v>9.8</v>
      </c>
      <c r="B108" s="721" t="s">
        <v>3984</v>
      </c>
      <c r="C108" s="721" t="s">
        <v>3898</v>
      </c>
      <c r="D108" s="722" t="n">
        <v>110</v>
      </c>
      <c r="E108" s="723" t="n">
        <f aca="false">MAX(F102,F49)</f>
        <v>46808</v>
      </c>
      <c r="F108" s="723" t="n">
        <f aca="false">E108+D108</f>
        <v>46918</v>
      </c>
      <c r="G108" s="723" t="n">
        <v>46918</v>
      </c>
      <c r="H108" s="724" t="n">
        <f aca="false">IF($G108="","",$F108-$G108)</f>
        <v>0</v>
      </c>
      <c r="I108" s="720" t="s">
        <v>3985</v>
      </c>
      <c r="J108" s="725" t="n">
        <f aca="false">MIN(E109,E137)-F108</f>
        <v>0</v>
      </c>
      <c r="K108" s="726" t="str">
        <f aca="false">IF($D108="","",IF($J108&lt;=0,"● CRITICAL",""))</f>
        <v>● CRITICAL</v>
      </c>
      <c r="L108" s="727" t="n">
        <f aca="false">IF($B$4&gt;=F108,1,IF($B$4&lt;=E108,0,($B$4-E108)/(F108-E108)))</f>
        <v>0</v>
      </c>
      <c r="M108" s="721" t="str">
        <f aca="false">IF(L108&gt;=1,"Complete",IF(L108&gt;0,"In Progress","Not Started"))</f>
        <v>Not Started</v>
      </c>
      <c r="N108" s="728" t="s">
        <v>3915</v>
      </c>
      <c r="O108" s="717"/>
      <c r="P108" s="718"/>
      <c r="Q108" s="718"/>
      <c r="R108" s="718"/>
      <c r="S108" s="718"/>
      <c r="T108" s="718"/>
      <c r="U108" s="718"/>
      <c r="V108" s="718"/>
      <c r="W108" s="718"/>
      <c r="X108" s="718"/>
      <c r="Y108" s="718"/>
      <c r="Z108" s="718"/>
      <c r="AA108" s="718"/>
      <c r="AB108" s="718"/>
      <c r="AC108" s="718"/>
      <c r="AD108" s="718"/>
      <c r="AE108" s="718"/>
      <c r="AF108" s="718"/>
      <c r="AG108" s="718"/>
      <c r="AH108" s="718"/>
      <c r="AI108" s="718"/>
      <c r="AJ108" s="718"/>
      <c r="AK108" s="718"/>
      <c r="AL108" s="718"/>
      <c r="AM108" s="718"/>
      <c r="AN108" s="718"/>
      <c r="AO108" s="718"/>
      <c r="AP108" s="718"/>
      <c r="AQ108" s="718"/>
      <c r="AR108" s="718"/>
      <c r="AS108" s="718"/>
      <c r="AT108" s="718"/>
      <c r="AU108" s="718"/>
      <c r="AV108" s="718"/>
      <c r="AW108" s="718"/>
      <c r="AX108" s="718"/>
      <c r="AY108" s="718"/>
      <c r="AZ108" s="718"/>
      <c r="BA108" s="718"/>
      <c r="BB108" s="718"/>
      <c r="BC108" s="718"/>
      <c r="BD108" s="718"/>
      <c r="BE108" s="718"/>
      <c r="BF108" s="718"/>
      <c r="BG108" s="718"/>
      <c r="BH108" s="718"/>
      <c r="BI108" s="718"/>
      <c r="BJ108" s="718"/>
      <c r="BK108" s="718"/>
      <c r="BL108" s="718"/>
      <c r="BM108" s="718"/>
      <c r="BN108" s="718"/>
      <c r="BO108" s="718"/>
      <c r="BP108" s="718"/>
      <c r="BQ108" s="718"/>
      <c r="BR108" s="718"/>
      <c r="BS108" s="718"/>
      <c r="BT108" s="718"/>
      <c r="BU108" s="718"/>
      <c r="BV108" s="719"/>
    </row>
    <row r="109" customFormat="false" ht="15" hidden="false" customHeight="true" outlineLevel="0" collapsed="false">
      <c r="A109" s="720" t="n">
        <v>9.9</v>
      </c>
      <c r="B109" s="721" t="s">
        <v>3986</v>
      </c>
      <c r="C109" s="721" t="s">
        <v>3898</v>
      </c>
      <c r="D109" s="722" t="n">
        <v>70</v>
      </c>
      <c r="E109" s="723" t="n">
        <f aca="false">MAX(F108,F49)</f>
        <v>46918</v>
      </c>
      <c r="F109" s="723" t="n">
        <f aca="false">E109+D109</f>
        <v>46988</v>
      </c>
      <c r="G109" s="723" t="n">
        <v>46988</v>
      </c>
      <c r="H109" s="724" t="n">
        <f aca="false">IF($G109="","",$F109-$G109)</f>
        <v>0</v>
      </c>
      <c r="I109" s="720" t="s">
        <v>3987</v>
      </c>
      <c r="J109" s="725" t="n">
        <f aca="false">MIN(E114)-F109</f>
        <v>0</v>
      </c>
      <c r="K109" s="726" t="str">
        <f aca="false">IF($D109="","",IF($J109&lt;=0,"● CRITICAL",""))</f>
        <v>● CRITICAL</v>
      </c>
      <c r="L109" s="727" t="n">
        <f aca="false">IF($B$4&gt;=F109,1,IF($B$4&lt;=E109,0,($B$4-E109)/(F109-E109)))</f>
        <v>0</v>
      </c>
      <c r="M109" s="721" t="str">
        <f aca="false">IF(L109&gt;=1,"Complete",IF(L109&gt;0,"In Progress","Not Started"))</f>
        <v>Not Started</v>
      </c>
      <c r="N109" s="728" t="s">
        <v>3915</v>
      </c>
      <c r="O109" s="717"/>
      <c r="P109" s="718"/>
      <c r="Q109" s="718"/>
      <c r="R109" s="718"/>
      <c r="S109" s="718"/>
      <c r="T109" s="718"/>
      <c r="U109" s="718"/>
      <c r="V109" s="718"/>
      <c r="W109" s="718"/>
      <c r="X109" s="718"/>
      <c r="Y109" s="718"/>
      <c r="Z109" s="718"/>
      <c r="AA109" s="718"/>
      <c r="AB109" s="718"/>
      <c r="AC109" s="718"/>
      <c r="AD109" s="718"/>
      <c r="AE109" s="718"/>
      <c r="AF109" s="718"/>
      <c r="AG109" s="718"/>
      <c r="AH109" s="718"/>
      <c r="AI109" s="718"/>
      <c r="AJ109" s="718"/>
      <c r="AK109" s="718"/>
      <c r="AL109" s="718"/>
      <c r="AM109" s="718"/>
      <c r="AN109" s="718"/>
      <c r="AO109" s="718"/>
      <c r="AP109" s="718"/>
      <c r="AQ109" s="718"/>
      <c r="AR109" s="718"/>
      <c r="AS109" s="718"/>
      <c r="AT109" s="718"/>
      <c r="AU109" s="718"/>
      <c r="AV109" s="718"/>
      <c r="AW109" s="718"/>
      <c r="AX109" s="718"/>
      <c r="AY109" s="718"/>
      <c r="AZ109" s="718"/>
      <c r="BA109" s="718"/>
      <c r="BB109" s="718"/>
      <c r="BC109" s="718"/>
      <c r="BD109" s="718"/>
      <c r="BE109" s="718"/>
      <c r="BF109" s="718"/>
      <c r="BG109" s="718"/>
      <c r="BH109" s="718"/>
      <c r="BI109" s="718"/>
      <c r="BJ109" s="718"/>
      <c r="BK109" s="718"/>
      <c r="BL109" s="718"/>
      <c r="BM109" s="718"/>
      <c r="BN109" s="718"/>
      <c r="BO109" s="718"/>
      <c r="BP109" s="718"/>
      <c r="BQ109" s="718"/>
      <c r="BR109" s="718"/>
      <c r="BS109" s="718"/>
      <c r="BT109" s="718"/>
      <c r="BU109" s="718"/>
      <c r="BV109" s="719"/>
    </row>
    <row r="110" customFormat="false" ht="15" hidden="false" customHeight="true" outlineLevel="0" collapsed="false">
      <c r="A110" s="720" t="n">
        <v>9.1</v>
      </c>
      <c r="B110" s="721" t="s">
        <v>3988</v>
      </c>
      <c r="C110" s="721" t="s">
        <v>3898</v>
      </c>
      <c r="D110" s="722" t="n">
        <v>40</v>
      </c>
      <c r="E110" s="723" t="n">
        <f aca="false">F85</f>
        <v>46583</v>
      </c>
      <c r="F110" s="723" t="n">
        <f aca="false">E110+D110</f>
        <v>46623</v>
      </c>
      <c r="G110" s="723" t="n">
        <v>46623</v>
      </c>
      <c r="H110" s="724" t="n">
        <f aca="false">IF($G110="","",$F110-$G110)</f>
        <v>0</v>
      </c>
      <c r="I110" s="720" t="n">
        <v>7.5</v>
      </c>
      <c r="J110" s="725" t="n">
        <f aca="false">$F$166-F110</f>
        <v>550</v>
      </c>
      <c r="K110" s="726" t="str">
        <f aca="false">IF($D110="","",IF($J110&lt;=0,"● CRITICAL",""))</f>
        <v/>
      </c>
      <c r="L110" s="727" t="n">
        <f aca="false">IF($B$4&gt;=F110,1,IF($B$4&lt;=E110,0,($B$4-E110)/(F110-E110)))</f>
        <v>0</v>
      </c>
      <c r="M110" s="721" t="str">
        <f aca="false">IF(L110&gt;=1,"Complete",IF(L110&gt;0,"In Progress","Not Started"))</f>
        <v>Not Started</v>
      </c>
      <c r="N110" s="728" t="s">
        <v>3915</v>
      </c>
      <c r="O110" s="717"/>
      <c r="P110" s="718"/>
      <c r="Q110" s="718"/>
      <c r="R110" s="718"/>
      <c r="S110" s="718"/>
      <c r="T110" s="718"/>
      <c r="U110" s="718"/>
      <c r="V110" s="718"/>
      <c r="W110" s="718"/>
      <c r="X110" s="718"/>
      <c r="Y110" s="718"/>
      <c r="Z110" s="718"/>
      <c r="AA110" s="718"/>
      <c r="AB110" s="718"/>
      <c r="AC110" s="718"/>
      <c r="AD110" s="718"/>
      <c r="AE110" s="718"/>
      <c r="AF110" s="718"/>
      <c r="AG110" s="718"/>
      <c r="AH110" s="718"/>
      <c r="AI110" s="718"/>
      <c r="AJ110" s="718"/>
      <c r="AK110" s="718"/>
      <c r="AL110" s="718"/>
      <c r="AM110" s="718"/>
      <c r="AN110" s="718"/>
      <c r="AO110" s="718"/>
      <c r="AP110" s="718"/>
      <c r="AQ110" s="718"/>
      <c r="AR110" s="718"/>
      <c r="AS110" s="718"/>
      <c r="AT110" s="718"/>
      <c r="AU110" s="718"/>
      <c r="AV110" s="718"/>
      <c r="AW110" s="718"/>
      <c r="AX110" s="718"/>
      <c r="AY110" s="718"/>
      <c r="AZ110" s="718"/>
      <c r="BA110" s="718"/>
      <c r="BB110" s="718"/>
      <c r="BC110" s="718"/>
      <c r="BD110" s="718"/>
      <c r="BE110" s="718"/>
      <c r="BF110" s="718"/>
      <c r="BG110" s="718"/>
      <c r="BH110" s="718"/>
      <c r="BI110" s="718"/>
      <c r="BJ110" s="718"/>
      <c r="BK110" s="718"/>
      <c r="BL110" s="718"/>
      <c r="BM110" s="718"/>
      <c r="BN110" s="718"/>
      <c r="BO110" s="718"/>
      <c r="BP110" s="718"/>
      <c r="BQ110" s="718"/>
      <c r="BR110" s="718"/>
      <c r="BS110" s="718"/>
      <c r="BT110" s="718"/>
      <c r="BU110" s="718"/>
      <c r="BV110" s="719"/>
    </row>
    <row r="111" customFormat="false" ht="15" hidden="false" customHeight="true" outlineLevel="0" collapsed="false">
      <c r="A111" s="729" t="s">
        <v>3989</v>
      </c>
      <c r="B111" s="721" t="s">
        <v>3990</v>
      </c>
      <c r="C111" s="721" t="s">
        <v>3898</v>
      </c>
      <c r="D111" s="722" t="n">
        <v>40</v>
      </c>
      <c r="E111" s="723" t="n">
        <f aca="false">F101</f>
        <v>46718</v>
      </c>
      <c r="F111" s="723" t="n">
        <f aca="false">E111+D111</f>
        <v>46758</v>
      </c>
      <c r="G111" s="723" t="n">
        <v>46758</v>
      </c>
      <c r="H111" s="724" t="n">
        <f aca="false">IF($G111="","",$F111-$G111)</f>
        <v>0</v>
      </c>
      <c r="I111" s="720" t="n">
        <v>9.1</v>
      </c>
      <c r="J111" s="725" t="n">
        <f aca="false">$F$166-F111</f>
        <v>415</v>
      </c>
      <c r="K111" s="726" t="str">
        <f aca="false">IF($D111="","",IF($J111&lt;=0,"● CRITICAL",""))</f>
        <v/>
      </c>
      <c r="L111" s="727" t="n">
        <f aca="false">IF($B$4&gt;=F111,1,IF($B$4&lt;=E111,0,($B$4-E111)/(F111-E111)))</f>
        <v>0</v>
      </c>
      <c r="M111" s="721" t="str">
        <f aca="false">IF(L111&gt;=1,"Complete",IF(L111&gt;0,"In Progress","Not Started"))</f>
        <v>Not Started</v>
      </c>
      <c r="N111" s="728" t="s">
        <v>3915</v>
      </c>
      <c r="O111" s="717"/>
      <c r="P111" s="718"/>
      <c r="Q111" s="718"/>
      <c r="R111" s="718"/>
      <c r="S111" s="718"/>
      <c r="T111" s="718"/>
      <c r="U111" s="718"/>
      <c r="V111" s="718"/>
      <c r="W111" s="718"/>
      <c r="X111" s="718"/>
      <c r="Y111" s="718"/>
      <c r="Z111" s="718"/>
      <c r="AA111" s="718"/>
      <c r="AB111" s="718"/>
      <c r="AC111" s="718"/>
      <c r="AD111" s="718"/>
      <c r="AE111" s="718"/>
      <c r="AF111" s="718"/>
      <c r="AG111" s="718"/>
      <c r="AH111" s="718"/>
      <c r="AI111" s="718"/>
      <c r="AJ111" s="718"/>
      <c r="AK111" s="718"/>
      <c r="AL111" s="718"/>
      <c r="AM111" s="718"/>
      <c r="AN111" s="718"/>
      <c r="AO111" s="718"/>
      <c r="AP111" s="718"/>
      <c r="AQ111" s="718"/>
      <c r="AR111" s="718"/>
      <c r="AS111" s="718"/>
      <c r="AT111" s="718"/>
      <c r="AU111" s="718"/>
      <c r="AV111" s="718"/>
      <c r="AW111" s="730"/>
      <c r="AX111" s="730"/>
      <c r="AY111" s="730"/>
      <c r="AZ111" s="718"/>
      <c r="BA111" s="718"/>
      <c r="BB111" s="718"/>
      <c r="BC111" s="718"/>
      <c r="BD111" s="718"/>
      <c r="BE111" s="718"/>
      <c r="BF111" s="718"/>
      <c r="BG111" s="718"/>
      <c r="BH111" s="718"/>
      <c r="BI111" s="718"/>
      <c r="BJ111" s="718"/>
      <c r="BK111" s="718"/>
      <c r="BL111" s="718"/>
      <c r="BM111" s="718"/>
      <c r="BN111" s="718"/>
      <c r="BO111" s="718"/>
      <c r="BP111" s="718"/>
      <c r="BQ111" s="718"/>
      <c r="BR111" s="718"/>
      <c r="BS111" s="718"/>
      <c r="BT111" s="718"/>
      <c r="BU111" s="718"/>
      <c r="BV111" s="719"/>
    </row>
    <row r="112" customFormat="false" ht="15" hidden="false" customHeight="true" outlineLevel="0" collapsed="false">
      <c r="A112" s="729" t="s">
        <v>3991</v>
      </c>
      <c r="B112" s="721" t="s">
        <v>3992</v>
      </c>
      <c r="C112" s="721" t="s">
        <v>3898</v>
      </c>
      <c r="D112" s="722" t="n">
        <v>30</v>
      </c>
      <c r="E112" s="723" t="n">
        <f aca="false">F108</f>
        <v>46918</v>
      </c>
      <c r="F112" s="723" t="n">
        <f aca="false">E112+D112</f>
        <v>46948</v>
      </c>
      <c r="G112" s="723" t="n">
        <v>46948</v>
      </c>
      <c r="H112" s="724" t="n">
        <f aca="false">IF($G112="","",$F112-$G112)</f>
        <v>0</v>
      </c>
      <c r="I112" s="720" t="n">
        <v>9.8</v>
      </c>
      <c r="J112" s="725" t="n">
        <f aca="false">$F$166-F112</f>
        <v>225</v>
      </c>
      <c r="K112" s="726" t="str">
        <f aca="false">IF($D112="","",IF($J112&lt;=0,"● CRITICAL",""))</f>
        <v/>
      </c>
      <c r="L112" s="727" t="n">
        <f aca="false">IF($B$4&gt;=F112,1,IF($B$4&lt;=E112,0,($B$4-E112)/(F112-E112)))</f>
        <v>0</v>
      </c>
      <c r="M112" s="721" t="str">
        <f aca="false">IF(L112&gt;=1,"Complete",IF(L112&gt;0,"In Progress","Not Started"))</f>
        <v>Not Started</v>
      </c>
      <c r="N112" s="728" t="s">
        <v>3915</v>
      </c>
      <c r="O112" s="717"/>
      <c r="P112" s="718"/>
      <c r="Q112" s="718"/>
      <c r="R112" s="718"/>
      <c r="S112" s="718"/>
      <c r="T112" s="718"/>
      <c r="U112" s="718"/>
      <c r="V112" s="718"/>
      <c r="W112" s="718"/>
      <c r="X112" s="718"/>
      <c r="Y112" s="718"/>
      <c r="Z112" s="718"/>
      <c r="AA112" s="718"/>
      <c r="AB112" s="718"/>
      <c r="AC112" s="718"/>
      <c r="AD112" s="718"/>
      <c r="AE112" s="718"/>
      <c r="AF112" s="718"/>
      <c r="AG112" s="718"/>
      <c r="AH112" s="718"/>
      <c r="AI112" s="718"/>
      <c r="AJ112" s="718"/>
      <c r="AK112" s="718"/>
      <c r="AL112" s="718"/>
      <c r="AM112" s="718"/>
      <c r="AN112" s="718"/>
      <c r="AO112" s="718"/>
      <c r="AP112" s="718"/>
      <c r="AQ112" s="718"/>
      <c r="AR112" s="718"/>
      <c r="AS112" s="718"/>
      <c r="AT112" s="718"/>
      <c r="AU112" s="718"/>
      <c r="AV112" s="718"/>
      <c r="AW112" s="718"/>
      <c r="AX112" s="718"/>
      <c r="AY112" s="718"/>
      <c r="AZ112" s="718"/>
      <c r="BA112" s="718"/>
      <c r="BB112" s="718"/>
      <c r="BC112" s="718"/>
      <c r="BD112" s="730"/>
      <c r="BE112" s="730"/>
      <c r="BF112" s="718"/>
      <c r="BG112" s="718"/>
      <c r="BH112" s="718"/>
      <c r="BI112" s="718"/>
      <c r="BJ112" s="718"/>
      <c r="BK112" s="718"/>
      <c r="BL112" s="718"/>
      <c r="BM112" s="718"/>
      <c r="BN112" s="718"/>
      <c r="BO112" s="718"/>
      <c r="BP112" s="718"/>
      <c r="BQ112" s="718"/>
      <c r="BR112" s="718"/>
      <c r="BS112" s="718"/>
      <c r="BT112" s="718"/>
      <c r="BU112" s="718"/>
      <c r="BV112" s="719"/>
    </row>
    <row r="113" customFormat="false" ht="15" hidden="false" customHeight="true" outlineLevel="0" collapsed="false">
      <c r="A113" s="729" t="s">
        <v>3993</v>
      </c>
      <c r="B113" s="721" t="s">
        <v>3994</v>
      </c>
      <c r="C113" s="721" t="s">
        <v>3995</v>
      </c>
      <c r="D113" s="722" t="n">
        <v>30</v>
      </c>
      <c r="E113" s="723" t="n">
        <f aca="false">F102</f>
        <v>46808</v>
      </c>
      <c r="F113" s="723" t="n">
        <f aca="false">E113+D113</f>
        <v>46838</v>
      </c>
      <c r="G113" s="723" t="n">
        <v>46838</v>
      </c>
      <c r="H113" s="724" t="n">
        <f aca="false">IF($G113="","",$F113-$G113)</f>
        <v>0</v>
      </c>
      <c r="I113" s="720" t="n">
        <v>9.2</v>
      </c>
      <c r="J113" s="725" t="n">
        <f aca="false">$F$166-F113</f>
        <v>335</v>
      </c>
      <c r="K113" s="726" t="str">
        <f aca="false">IF($D113="","",IF($J113&lt;=0,"● CRITICAL",""))</f>
        <v/>
      </c>
      <c r="L113" s="727" t="n">
        <f aca="false">IF($B$4&gt;=F113,1,IF($B$4&lt;=E113,0,($B$4-E113)/(F113-E113)))</f>
        <v>0</v>
      </c>
      <c r="M113" s="721" t="str">
        <f aca="false">IF(L113&gt;=1,"Complete",IF(L113&gt;0,"In Progress","Not Started"))</f>
        <v>Not Started</v>
      </c>
      <c r="N113" s="728" t="s">
        <v>3996</v>
      </c>
      <c r="O113" s="717"/>
      <c r="P113" s="718"/>
      <c r="Q113" s="718"/>
      <c r="R113" s="718"/>
      <c r="S113" s="718"/>
      <c r="T113" s="718"/>
      <c r="U113" s="718"/>
      <c r="V113" s="718"/>
      <c r="W113" s="718"/>
      <c r="X113" s="718"/>
      <c r="Y113" s="718"/>
      <c r="Z113" s="718"/>
      <c r="AA113" s="718"/>
      <c r="AB113" s="718"/>
      <c r="AC113" s="718"/>
      <c r="AD113" s="718"/>
      <c r="AE113" s="718"/>
      <c r="AF113" s="718"/>
      <c r="AG113" s="718"/>
      <c r="AH113" s="718"/>
      <c r="AI113" s="718"/>
      <c r="AJ113" s="718"/>
      <c r="AK113" s="718"/>
      <c r="AL113" s="718"/>
      <c r="AM113" s="718"/>
      <c r="AN113" s="718"/>
      <c r="AO113" s="718"/>
      <c r="AP113" s="718"/>
      <c r="AQ113" s="718"/>
      <c r="AR113" s="718"/>
      <c r="AS113" s="718"/>
      <c r="AT113" s="718"/>
      <c r="AU113" s="718"/>
      <c r="AV113" s="718"/>
      <c r="AW113" s="718"/>
      <c r="AX113" s="718"/>
      <c r="AY113" s="718"/>
      <c r="AZ113" s="730"/>
      <c r="BA113" s="730"/>
      <c r="BB113" s="718"/>
      <c r="BC113" s="718"/>
      <c r="BD113" s="718"/>
      <c r="BE113" s="718"/>
      <c r="BF113" s="718"/>
      <c r="BG113" s="718"/>
      <c r="BH113" s="718"/>
      <c r="BI113" s="718"/>
      <c r="BJ113" s="718"/>
      <c r="BK113" s="718"/>
      <c r="BL113" s="718"/>
      <c r="BM113" s="718"/>
      <c r="BN113" s="718"/>
      <c r="BO113" s="718"/>
      <c r="BP113" s="718"/>
      <c r="BQ113" s="718"/>
      <c r="BR113" s="718"/>
      <c r="BS113" s="718"/>
      <c r="BT113" s="718"/>
      <c r="BU113" s="718"/>
      <c r="BV113" s="719"/>
    </row>
    <row r="114" customFormat="false" ht="15" hidden="false" customHeight="true" outlineLevel="0" collapsed="false">
      <c r="A114" s="720" t="n">
        <v>9.11</v>
      </c>
      <c r="B114" s="731" t="s">
        <v>3997</v>
      </c>
      <c r="C114" s="721" t="s">
        <v>85</v>
      </c>
      <c r="D114" s="722" t="n">
        <v>0</v>
      </c>
      <c r="E114" s="723" t="n">
        <f aca="false">MAX(F109,F106)</f>
        <v>46988</v>
      </c>
      <c r="F114" s="723" t="n">
        <f aca="false">E114+D114</f>
        <v>46988</v>
      </c>
      <c r="G114" s="723" t="n">
        <v>46988</v>
      </c>
      <c r="H114" s="724" t="n">
        <f aca="false">IF($G114="","",$F114-$G114)</f>
        <v>0</v>
      </c>
      <c r="I114" s="720" t="s">
        <v>3998</v>
      </c>
      <c r="J114" s="725" t="n">
        <f aca="false">MIN(E149)-F114</f>
        <v>0</v>
      </c>
      <c r="K114" s="726" t="str">
        <f aca="false">IF($D114="","",IF($J114&lt;=0,"● CRITICAL",""))</f>
        <v>● CRITICAL</v>
      </c>
      <c r="L114" s="727" t="n">
        <f aca="false">IF($B$4&gt;=F114,1,IF($B$4&lt;=E114,0,($B$4-E114)/(F114-E114)))</f>
        <v>0</v>
      </c>
      <c r="M114" s="721" t="str">
        <f aca="false">IF(L114&gt;=1,"Complete",IF(L114&gt;0,"In Progress","Not Started"))</f>
        <v>Not Started</v>
      </c>
      <c r="N114" s="728" t="s">
        <v>3999</v>
      </c>
      <c r="O114" s="717"/>
      <c r="P114" s="718"/>
      <c r="Q114" s="718"/>
      <c r="R114" s="718"/>
      <c r="S114" s="718"/>
      <c r="T114" s="718"/>
      <c r="U114" s="718"/>
      <c r="V114" s="718"/>
      <c r="W114" s="718"/>
      <c r="X114" s="718"/>
      <c r="Y114" s="718"/>
      <c r="Z114" s="718"/>
      <c r="AA114" s="718"/>
      <c r="AB114" s="718"/>
      <c r="AC114" s="718"/>
      <c r="AD114" s="718"/>
      <c r="AE114" s="718"/>
      <c r="AF114" s="718"/>
      <c r="AG114" s="718"/>
      <c r="AH114" s="718"/>
      <c r="AI114" s="718"/>
      <c r="AJ114" s="718"/>
      <c r="AK114" s="718"/>
      <c r="AL114" s="718"/>
      <c r="AM114" s="718"/>
      <c r="AN114" s="718"/>
      <c r="AO114" s="718"/>
      <c r="AP114" s="718"/>
      <c r="AQ114" s="718"/>
      <c r="AR114" s="718"/>
      <c r="AS114" s="718"/>
      <c r="AT114" s="718"/>
      <c r="AU114" s="718"/>
      <c r="AV114" s="718"/>
      <c r="AW114" s="718"/>
      <c r="AX114" s="718"/>
      <c r="AY114" s="718"/>
      <c r="AZ114" s="718"/>
      <c r="BA114" s="718"/>
      <c r="BB114" s="718"/>
      <c r="BC114" s="718"/>
      <c r="BD114" s="718"/>
      <c r="BE114" s="718"/>
      <c r="BF114" s="718"/>
      <c r="BG114" s="718"/>
      <c r="BH114" s="718"/>
      <c r="BI114" s="718"/>
      <c r="BJ114" s="718"/>
      <c r="BK114" s="718"/>
      <c r="BL114" s="718"/>
      <c r="BM114" s="718"/>
      <c r="BN114" s="718"/>
      <c r="BO114" s="718"/>
      <c r="BP114" s="718"/>
      <c r="BQ114" s="718"/>
      <c r="BR114" s="718"/>
      <c r="BS114" s="718"/>
      <c r="BT114" s="718"/>
      <c r="BU114" s="718"/>
      <c r="BV114" s="719"/>
    </row>
    <row r="115" customFormat="false" ht="15" hidden="false" customHeight="true" outlineLevel="0" collapsed="false">
      <c r="A115" s="709" t="n">
        <v>10</v>
      </c>
      <c r="B115" s="710" t="s">
        <v>4000</v>
      </c>
      <c r="C115" s="710"/>
      <c r="D115" s="711" t="n">
        <f aca="false">F115-E115</f>
        <v>390</v>
      </c>
      <c r="E115" s="712" t="n">
        <f aca="false">MIN(E116:E127)</f>
        <v>46628</v>
      </c>
      <c r="F115" s="712" t="n">
        <f aca="false">MAX(F116:F127)</f>
        <v>47018</v>
      </c>
      <c r="G115" s="712" t="n">
        <v>47018</v>
      </c>
      <c r="H115" s="713" t="n">
        <f aca="false">IF($G115="","",$F115-$G115)</f>
        <v>0</v>
      </c>
      <c r="I115" s="709"/>
      <c r="J115" s="714"/>
      <c r="K115" s="710"/>
      <c r="L115" s="715" t="n">
        <f aca="false">IFERROR(SUMPRODUCT($D116:$D127,$L116:$L127)/SUM($D116:$D127),0)</f>
        <v>0</v>
      </c>
      <c r="M115" s="710" t="str">
        <f aca="false">IF(L115&gt;=1,"Complete",IF(L115&gt;0,"In Progress","Not Started"))</f>
        <v>Not Started</v>
      </c>
      <c r="N115" s="716" t="s">
        <v>4001</v>
      </c>
      <c r="O115" s="717"/>
      <c r="P115" s="718"/>
      <c r="Q115" s="718"/>
      <c r="R115" s="718"/>
      <c r="S115" s="718"/>
      <c r="T115" s="718"/>
      <c r="U115" s="718"/>
      <c r="V115" s="718"/>
      <c r="W115" s="718"/>
      <c r="X115" s="718"/>
      <c r="Y115" s="718"/>
      <c r="Z115" s="718"/>
      <c r="AA115" s="718"/>
      <c r="AB115" s="718"/>
      <c r="AC115" s="718"/>
      <c r="AD115" s="718"/>
      <c r="AE115" s="718"/>
      <c r="AF115" s="718"/>
      <c r="AG115" s="718"/>
      <c r="AH115" s="718"/>
      <c r="AI115" s="718"/>
      <c r="AJ115" s="718"/>
      <c r="AK115" s="718"/>
      <c r="AL115" s="718"/>
      <c r="AM115" s="718"/>
      <c r="AN115" s="718"/>
      <c r="AO115" s="718"/>
      <c r="AP115" s="718"/>
      <c r="AQ115" s="718"/>
      <c r="AR115" s="718"/>
      <c r="AS115" s="718"/>
      <c r="AT115" s="718"/>
      <c r="AU115" s="718"/>
      <c r="AV115" s="718"/>
      <c r="AW115" s="718"/>
      <c r="AX115" s="718"/>
      <c r="AY115" s="718"/>
      <c r="AZ115" s="718"/>
      <c r="BA115" s="718"/>
      <c r="BB115" s="718"/>
      <c r="BC115" s="718"/>
      <c r="BD115" s="718"/>
      <c r="BE115" s="718"/>
      <c r="BF115" s="718"/>
      <c r="BG115" s="718"/>
      <c r="BH115" s="718"/>
      <c r="BI115" s="718"/>
      <c r="BJ115" s="718"/>
      <c r="BK115" s="718"/>
      <c r="BL115" s="718"/>
      <c r="BM115" s="718"/>
      <c r="BN115" s="718"/>
      <c r="BO115" s="718"/>
      <c r="BP115" s="718"/>
      <c r="BQ115" s="718"/>
      <c r="BR115" s="718"/>
      <c r="BS115" s="718"/>
      <c r="BT115" s="718"/>
      <c r="BU115" s="718"/>
      <c r="BV115" s="719"/>
    </row>
    <row r="116" customFormat="false" ht="15" hidden="false" customHeight="true" outlineLevel="0" collapsed="false">
      <c r="A116" s="720" t="n">
        <v>10.1</v>
      </c>
      <c r="B116" s="721" t="s">
        <v>4002</v>
      </c>
      <c r="C116" s="721" t="s">
        <v>4003</v>
      </c>
      <c r="D116" s="722" t="n">
        <v>120</v>
      </c>
      <c r="E116" s="723" t="n">
        <f aca="false">MAX(F90,F50)</f>
        <v>46628</v>
      </c>
      <c r="F116" s="723" t="n">
        <f aca="false">E116+D116</f>
        <v>46748</v>
      </c>
      <c r="G116" s="723" t="n">
        <v>46748</v>
      </c>
      <c r="H116" s="724" t="n">
        <f aca="false">IF($G116="","",$F116-$G116)</f>
        <v>0</v>
      </c>
      <c r="I116" s="720" t="s">
        <v>4004</v>
      </c>
      <c r="J116" s="725" t="n">
        <f aca="false">MIN(E117,E118,E121,E122)-F116</f>
        <v>0</v>
      </c>
      <c r="K116" s="726" t="str">
        <f aca="false">IF($D116="","",IF($J116&lt;=0,"● CRITICAL",""))</f>
        <v>● CRITICAL</v>
      </c>
      <c r="L116" s="727" t="n">
        <f aca="false">IF($B$4&gt;=F116,1,IF($B$4&lt;=E116,0,($B$4-E116)/(F116-E116)))</f>
        <v>0</v>
      </c>
      <c r="M116" s="721" t="str">
        <f aca="false">IF(L116&gt;=1,"Complete",IF(L116&gt;0,"In Progress","Not Started"))</f>
        <v>Not Started</v>
      </c>
      <c r="N116" s="728" t="s">
        <v>4001</v>
      </c>
      <c r="O116" s="717"/>
      <c r="P116" s="718"/>
      <c r="Q116" s="718"/>
      <c r="R116" s="718"/>
      <c r="S116" s="718"/>
      <c r="T116" s="718"/>
      <c r="U116" s="718"/>
      <c r="V116" s="718"/>
      <c r="W116" s="718"/>
      <c r="X116" s="718"/>
      <c r="Y116" s="718"/>
      <c r="Z116" s="718"/>
      <c r="AA116" s="718"/>
      <c r="AB116" s="718"/>
      <c r="AC116" s="718"/>
      <c r="AD116" s="718"/>
      <c r="AE116" s="718"/>
      <c r="AF116" s="718"/>
      <c r="AG116" s="718"/>
      <c r="AH116" s="718"/>
      <c r="AI116" s="718"/>
      <c r="AJ116" s="718"/>
      <c r="AK116" s="718"/>
      <c r="AL116" s="718"/>
      <c r="AM116" s="718"/>
      <c r="AN116" s="718"/>
      <c r="AO116" s="718"/>
      <c r="AP116" s="718"/>
      <c r="AQ116" s="718"/>
      <c r="AR116" s="718"/>
      <c r="AS116" s="718"/>
      <c r="AT116" s="718"/>
      <c r="AU116" s="718"/>
      <c r="AV116" s="718"/>
      <c r="AW116" s="718"/>
      <c r="AX116" s="718"/>
      <c r="AY116" s="718"/>
      <c r="AZ116" s="718"/>
      <c r="BA116" s="718"/>
      <c r="BB116" s="718"/>
      <c r="BC116" s="718"/>
      <c r="BD116" s="718"/>
      <c r="BE116" s="718"/>
      <c r="BF116" s="718"/>
      <c r="BG116" s="718"/>
      <c r="BH116" s="718"/>
      <c r="BI116" s="718"/>
      <c r="BJ116" s="718"/>
      <c r="BK116" s="718"/>
      <c r="BL116" s="718"/>
      <c r="BM116" s="718"/>
      <c r="BN116" s="718"/>
      <c r="BO116" s="718"/>
      <c r="BP116" s="718"/>
      <c r="BQ116" s="718"/>
      <c r="BR116" s="718"/>
      <c r="BS116" s="718"/>
      <c r="BT116" s="718"/>
      <c r="BU116" s="718"/>
      <c r="BV116" s="719"/>
    </row>
    <row r="117" customFormat="false" ht="15" hidden="false" customHeight="true" outlineLevel="0" collapsed="false">
      <c r="A117" s="720" t="n">
        <v>10.2</v>
      </c>
      <c r="B117" s="721" t="s">
        <v>4005</v>
      </c>
      <c r="C117" s="721" t="s">
        <v>4003</v>
      </c>
      <c r="D117" s="722" t="n">
        <v>90</v>
      </c>
      <c r="E117" s="723" t="n">
        <f aca="false">MAX(F116,F51)</f>
        <v>46748</v>
      </c>
      <c r="F117" s="723" t="n">
        <f aca="false">E117+D117</f>
        <v>46838</v>
      </c>
      <c r="G117" s="723" t="n">
        <v>46838</v>
      </c>
      <c r="H117" s="724" t="n">
        <f aca="false">IF($G117="","",$F117-$G117)</f>
        <v>0</v>
      </c>
      <c r="I117" s="720" t="s">
        <v>4006</v>
      </c>
      <c r="J117" s="725" t="n">
        <f aca="false">$F$166-F117</f>
        <v>335</v>
      </c>
      <c r="K117" s="726" t="str">
        <f aca="false">IF($D117="","",IF($J117&lt;=0,"● CRITICAL",""))</f>
        <v/>
      </c>
      <c r="L117" s="727" t="n">
        <f aca="false">IF($B$4&gt;=F117,1,IF($B$4&lt;=E117,0,($B$4-E117)/(F117-E117)))</f>
        <v>0</v>
      </c>
      <c r="M117" s="721" t="str">
        <f aca="false">IF(L117&gt;=1,"Complete",IF(L117&gt;0,"In Progress","Not Started"))</f>
        <v>Not Started</v>
      </c>
      <c r="N117" s="728" t="s">
        <v>4001</v>
      </c>
      <c r="O117" s="717"/>
      <c r="P117" s="718"/>
      <c r="Q117" s="718"/>
      <c r="R117" s="718"/>
      <c r="S117" s="718"/>
      <c r="T117" s="718"/>
      <c r="U117" s="718"/>
      <c r="V117" s="718"/>
      <c r="W117" s="718"/>
      <c r="X117" s="718"/>
      <c r="Y117" s="718"/>
      <c r="Z117" s="718"/>
      <c r="AA117" s="718"/>
      <c r="AB117" s="718"/>
      <c r="AC117" s="718"/>
      <c r="AD117" s="718"/>
      <c r="AE117" s="718"/>
      <c r="AF117" s="718"/>
      <c r="AG117" s="718"/>
      <c r="AH117" s="718"/>
      <c r="AI117" s="718"/>
      <c r="AJ117" s="718"/>
      <c r="AK117" s="718"/>
      <c r="AL117" s="718"/>
      <c r="AM117" s="718"/>
      <c r="AN117" s="718"/>
      <c r="AO117" s="718"/>
      <c r="AP117" s="718"/>
      <c r="AQ117" s="718"/>
      <c r="AR117" s="718"/>
      <c r="AS117" s="718"/>
      <c r="AT117" s="718"/>
      <c r="AU117" s="718"/>
      <c r="AV117" s="718"/>
      <c r="AW117" s="718"/>
      <c r="AX117" s="718"/>
      <c r="AY117" s="718"/>
      <c r="AZ117" s="718"/>
      <c r="BA117" s="718"/>
      <c r="BB117" s="718"/>
      <c r="BC117" s="718"/>
      <c r="BD117" s="718"/>
      <c r="BE117" s="718"/>
      <c r="BF117" s="718"/>
      <c r="BG117" s="718"/>
      <c r="BH117" s="718"/>
      <c r="BI117" s="718"/>
      <c r="BJ117" s="718"/>
      <c r="BK117" s="718"/>
      <c r="BL117" s="718"/>
      <c r="BM117" s="718"/>
      <c r="BN117" s="718"/>
      <c r="BO117" s="718"/>
      <c r="BP117" s="718"/>
      <c r="BQ117" s="718"/>
      <c r="BR117" s="718"/>
      <c r="BS117" s="718"/>
      <c r="BT117" s="718"/>
      <c r="BU117" s="718"/>
      <c r="BV117" s="719"/>
    </row>
    <row r="118" customFormat="false" ht="15" hidden="false" customHeight="true" outlineLevel="0" collapsed="false">
      <c r="A118" s="720" t="n">
        <v>10.3</v>
      </c>
      <c r="B118" s="721" t="s">
        <v>4007</v>
      </c>
      <c r="C118" s="721" t="s">
        <v>4003</v>
      </c>
      <c r="D118" s="722" t="n">
        <v>100</v>
      </c>
      <c r="E118" s="723" t="n">
        <f aca="false">F116</f>
        <v>46748</v>
      </c>
      <c r="F118" s="723" t="n">
        <f aca="false">E118+D118</f>
        <v>46848</v>
      </c>
      <c r="G118" s="723" t="n">
        <v>46848</v>
      </c>
      <c r="H118" s="724" t="n">
        <f aca="false">IF($G118="","",$F118-$G118)</f>
        <v>0</v>
      </c>
      <c r="I118" s="720" t="n">
        <v>10.1</v>
      </c>
      <c r="J118" s="725" t="n">
        <f aca="false">MIN(E119,E120)-F118</f>
        <v>0</v>
      </c>
      <c r="K118" s="726" t="str">
        <f aca="false">IF($D118="","",IF($J118&lt;=0,"● CRITICAL",""))</f>
        <v>● CRITICAL</v>
      </c>
      <c r="L118" s="727" t="n">
        <f aca="false">IF($B$4&gt;=F118,1,IF($B$4&lt;=E118,0,($B$4-E118)/(F118-E118)))</f>
        <v>0</v>
      </c>
      <c r="M118" s="721" t="str">
        <f aca="false">IF(L118&gt;=1,"Complete",IF(L118&gt;0,"In Progress","Not Started"))</f>
        <v>Not Started</v>
      </c>
      <c r="N118" s="728" t="s">
        <v>4001</v>
      </c>
      <c r="O118" s="717"/>
      <c r="P118" s="718"/>
      <c r="Q118" s="718"/>
      <c r="R118" s="718"/>
      <c r="S118" s="718"/>
      <c r="T118" s="718"/>
      <c r="U118" s="718"/>
      <c r="V118" s="718"/>
      <c r="W118" s="718"/>
      <c r="X118" s="718"/>
      <c r="Y118" s="718"/>
      <c r="Z118" s="718"/>
      <c r="AA118" s="718"/>
      <c r="AB118" s="718"/>
      <c r="AC118" s="718"/>
      <c r="AD118" s="718"/>
      <c r="AE118" s="718"/>
      <c r="AF118" s="718"/>
      <c r="AG118" s="718"/>
      <c r="AH118" s="718"/>
      <c r="AI118" s="718"/>
      <c r="AJ118" s="718"/>
      <c r="AK118" s="718"/>
      <c r="AL118" s="718"/>
      <c r="AM118" s="718"/>
      <c r="AN118" s="718"/>
      <c r="AO118" s="718"/>
      <c r="AP118" s="718"/>
      <c r="AQ118" s="718"/>
      <c r="AR118" s="718"/>
      <c r="AS118" s="718"/>
      <c r="AT118" s="718"/>
      <c r="AU118" s="718"/>
      <c r="AV118" s="718"/>
      <c r="AW118" s="718"/>
      <c r="AX118" s="718"/>
      <c r="AY118" s="718"/>
      <c r="AZ118" s="718"/>
      <c r="BA118" s="718"/>
      <c r="BB118" s="718"/>
      <c r="BC118" s="718"/>
      <c r="BD118" s="718"/>
      <c r="BE118" s="718"/>
      <c r="BF118" s="718"/>
      <c r="BG118" s="718"/>
      <c r="BH118" s="718"/>
      <c r="BI118" s="718"/>
      <c r="BJ118" s="718"/>
      <c r="BK118" s="718"/>
      <c r="BL118" s="718"/>
      <c r="BM118" s="718"/>
      <c r="BN118" s="718"/>
      <c r="BO118" s="718"/>
      <c r="BP118" s="718"/>
      <c r="BQ118" s="718"/>
      <c r="BR118" s="718"/>
      <c r="BS118" s="718"/>
      <c r="BT118" s="718"/>
      <c r="BU118" s="718"/>
      <c r="BV118" s="719"/>
    </row>
    <row r="119" customFormat="false" ht="15" hidden="false" customHeight="true" outlineLevel="0" collapsed="false">
      <c r="A119" s="720" t="n">
        <v>10.4</v>
      </c>
      <c r="B119" s="721" t="s">
        <v>4008</v>
      </c>
      <c r="C119" s="721" t="s">
        <v>4003</v>
      </c>
      <c r="D119" s="722" t="n">
        <v>80</v>
      </c>
      <c r="E119" s="723" t="n">
        <f aca="false">MAX(F118,F52)</f>
        <v>46848</v>
      </c>
      <c r="F119" s="723" t="n">
        <f aca="false">E119+D119</f>
        <v>46928</v>
      </c>
      <c r="G119" s="723" t="n">
        <v>46928</v>
      </c>
      <c r="H119" s="724" t="n">
        <f aca="false">IF($G119="","",$F119-$G119)</f>
        <v>0</v>
      </c>
      <c r="I119" s="720" t="s">
        <v>4009</v>
      </c>
      <c r="J119" s="725" t="n">
        <f aca="false">MIN(E126)-F119</f>
        <v>0</v>
      </c>
      <c r="K119" s="726" t="str">
        <f aca="false">IF($D119="","",IF($J119&lt;=0,"● CRITICAL",""))</f>
        <v>● CRITICAL</v>
      </c>
      <c r="L119" s="727" t="n">
        <f aca="false">IF($B$4&gt;=F119,1,IF($B$4&lt;=E119,0,($B$4-E119)/(F119-E119)))</f>
        <v>0</v>
      </c>
      <c r="M119" s="721" t="str">
        <f aca="false">IF(L119&gt;=1,"Complete",IF(L119&gt;0,"In Progress","Not Started"))</f>
        <v>Not Started</v>
      </c>
      <c r="N119" s="728" t="s">
        <v>4001</v>
      </c>
      <c r="O119" s="717"/>
      <c r="P119" s="718"/>
      <c r="Q119" s="718"/>
      <c r="R119" s="718"/>
      <c r="S119" s="718"/>
      <c r="T119" s="718"/>
      <c r="U119" s="718"/>
      <c r="V119" s="718"/>
      <c r="W119" s="718"/>
      <c r="X119" s="718"/>
      <c r="Y119" s="718"/>
      <c r="Z119" s="718"/>
      <c r="AA119" s="718"/>
      <c r="AB119" s="718"/>
      <c r="AC119" s="718"/>
      <c r="AD119" s="718"/>
      <c r="AE119" s="718"/>
      <c r="AF119" s="718"/>
      <c r="AG119" s="718"/>
      <c r="AH119" s="718"/>
      <c r="AI119" s="718"/>
      <c r="AJ119" s="718"/>
      <c r="AK119" s="718"/>
      <c r="AL119" s="718"/>
      <c r="AM119" s="718"/>
      <c r="AN119" s="718"/>
      <c r="AO119" s="718"/>
      <c r="AP119" s="718"/>
      <c r="AQ119" s="718"/>
      <c r="AR119" s="718"/>
      <c r="AS119" s="718"/>
      <c r="AT119" s="718"/>
      <c r="AU119" s="718"/>
      <c r="AV119" s="718"/>
      <c r="AW119" s="718"/>
      <c r="AX119" s="718"/>
      <c r="AY119" s="718"/>
      <c r="AZ119" s="718"/>
      <c r="BA119" s="718"/>
      <c r="BB119" s="718"/>
      <c r="BC119" s="718"/>
      <c r="BD119" s="718"/>
      <c r="BE119" s="718"/>
      <c r="BF119" s="718"/>
      <c r="BG119" s="718"/>
      <c r="BH119" s="718"/>
      <c r="BI119" s="718"/>
      <c r="BJ119" s="718"/>
      <c r="BK119" s="718"/>
      <c r="BL119" s="718"/>
      <c r="BM119" s="718"/>
      <c r="BN119" s="718"/>
      <c r="BO119" s="718"/>
      <c r="BP119" s="718"/>
      <c r="BQ119" s="718"/>
      <c r="BR119" s="718"/>
      <c r="BS119" s="718"/>
      <c r="BT119" s="718"/>
      <c r="BU119" s="718"/>
      <c r="BV119" s="719"/>
    </row>
    <row r="120" customFormat="false" ht="15" hidden="false" customHeight="true" outlineLevel="0" collapsed="false">
      <c r="A120" s="720" t="n">
        <v>10.5</v>
      </c>
      <c r="B120" s="721" t="s">
        <v>4010</v>
      </c>
      <c r="C120" s="721" t="s">
        <v>4003</v>
      </c>
      <c r="D120" s="722" t="n">
        <v>70</v>
      </c>
      <c r="E120" s="723" t="n">
        <f aca="false">MAX(F118,F53)</f>
        <v>46848</v>
      </c>
      <c r="F120" s="723" t="n">
        <f aca="false">E120+D120</f>
        <v>46918</v>
      </c>
      <c r="G120" s="723" t="n">
        <v>46918</v>
      </c>
      <c r="H120" s="724" t="n">
        <f aca="false">IF($G120="","",$F120-$G120)</f>
        <v>0</v>
      </c>
      <c r="I120" s="720" t="s">
        <v>4011</v>
      </c>
      <c r="J120" s="725" t="n">
        <f aca="false">$F$166-F120</f>
        <v>255</v>
      </c>
      <c r="K120" s="726" t="str">
        <f aca="false">IF($D120="","",IF($J120&lt;=0,"● CRITICAL",""))</f>
        <v/>
      </c>
      <c r="L120" s="727" t="n">
        <f aca="false">IF($B$4&gt;=F120,1,IF($B$4&lt;=E120,0,($B$4-E120)/(F120-E120)))</f>
        <v>0</v>
      </c>
      <c r="M120" s="721" t="str">
        <f aca="false">IF(L120&gt;=1,"Complete",IF(L120&gt;0,"In Progress","Not Started"))</f>
        <v>Not Started</v>
      </c>
      <c r="N120" s="728" t="s">
        <v>4001</v>
      </c>
      <c r="O120" s="717"/>
      <c r="P120" s="718"/>
      <c r="Q120" s="718"/>
      <c r="R120" s="718"/>
      <c r="S120" s="718"/>
      <c r="T120" s="718"/>
      <c r="U120" s="718"/>
      <c r="V120" s="718"/>
      <c r="W120" s="718"/>
      <c r="X120" s="718"/>
      <c r="Y120" s="718"/>
      <c r="Z120" s="718"/>
      <c r="AA120" s="718"/>
      <c r="AB120" s="718"/>
      <c r="AC120" s="718"/>
      <c r="AD120" s="718"/>
      <c r="AE120" s="718"/>
      <c r="AF120" s="718"/>
      <c r="AG120" s="718"/>
      <c r="AH120" s="718"/>
      <c r="AI120" s="718"/>
      <c r="AJ120" s="718"/>
      <c r="AK120" s="718"/>
      <c r="AL120" s="718"/>
      <c r="AM120" s="718"/>
      <c r="AN120" s="718"/>
      <c r="AO120" s="718"/>
      <c r="AP120" s="718"/>
      <c r="AQ120" s="718"/>
      <c r="AR120" s="718"/>
      <c r="AS120" s="718"/>
      <c r="AT120" s="718"/>
      <c r="AU120" s="718"/>
      <c r="AV120" s="718"/>
      <c r="AW120" s="718"/>
      <c r="AX120" s="718"/>
      <c r="AY120" s="718"/>
      <c r="AZ120" s="718"/>
      <c r="BA120" s="718"/>
      <c r="BB120" s="718"/>
      <c r="BC120" s="718"/>
      <c r="BD120" s="718"/>
      <c r="BE120" s="718"/>
      <c r="BF120" s="718"/>
      <c r="BG120" s="718"/>
      <c r="BH120" s="718"/>
      <c r="BI120" s="718"/>
      <c r="BJ120" s="718"/>
      <c r="BK120" s="718"/>
      <c r="BL120" s="718"/>
      <c r="BM120" s="718"/>
      <c r="BN120" s="718"/>
      <c r="BO120" s="718"/>
      <c r="BP120" s="718"/>
      <c r="BQ120" s="718"/>
      <c r="BR120" s="718"/>
      <c r="BS120" s="718"/>
      <c r="BT120" s="718"/>
      <c r="BU120" s="718"/>
      <c r="BV120" s="719"/>
    </row>
    <row r="121" customFormat="false" ht="15" hidden="false" customHeight="true" outlineLevel="0" collapsed="false">
      <c r="A121" s="720" t="n">
        <v>10.6</v>
      </c>
      <c r="B121" s="721" t="s">
        <v>4012</v>
      </c>
      <c r="C121" s="721" t="s">
        <v>4003</v>
      </c>
      <c r="D121" s="722" t="n">
        <v>80</v>
      </c>
      <c r="E121" s="723" t="n">
        <f aca="false">MAX(F116,F54)</f>
        <v>46748</v>
      </c>
      <c r="F121" s="723" t="n">
        <f aca="false">E121+D121</f>
        <v>46828</v>
      </c>
      <c r="G121" s="723" t="n">
        <v>46828</v>
      </c>
      <c r="H121" s="724" t="n">
        <f aca="false">IF($G121="","",$F121-$G121)</f>
        <v>0</v>
      </c>
      <c r="I121" s="720" t="s">
        <v>4013</v>
      </c>
      <c r="J121" s="725" t="n">
        <f aca="false">$F$166-F121</f>
        <v>345</v>
      </c>
      <c r="K121" s="726" t="str">
        <f aca="false">IF($D121="","",IF($J121&lt;=0,"● CRITICAL",""))</f>
        <v/>
      </c>
      <c r="L121" s="727" t="n">
        <f aca="false">IF($B$4&gt;=F121,1,IF($B$4&lt;=E121,0,($B$4-E121)/(F121-E121)))</f>
        <v>0</v>
      </c>
      <c r="M121" s="721" t="str">
        <f aca="false">IF(L121&gt;=1,"Complete",IF(L121&gt;0,"In Progress","Not Started"))</f>
        <v>Not Started</v>
      </c>
      <c r="N121" s="728" t="s">
        <v>4001</v>
      </c>
      <c r="O121" s="717"/>
      <c r="P121" s="718"/>
      <c r="Q121" s="718"/>
      <c r="R121" s="718"/>
      <c r="S121" s="718"/>
      <c r="T121" s="718"/>
      <c r="U121" s="718"/>
      <c r="V121" s="718"/>
      <c r="W121" s="718"/>
      <c r="X121" s="718"/>
      <c r="Y121" s="718"/>
      <c r="Z121" s="718"/>
      <c r="AA121" s="718"/>
      <c r="AB121" s="718"/>
      <c r="AC121" s="718"/>
      <c r="AD121" s="718"/>
      <c r="AE121" s="718"/>
      <c r="AF121" s="718"/>
      <c r="AG121" s="718"/>
      <c r="AH121" s="718"/>
      <c r="AI121" s="718"/>
      <c r="AJ121" s="718"/>
      <c r="AK121" s="718"/>
      <c r="AL121" s="718"/>
      <c r="AM121" s="718"/>
      <c r="AN121" s="718"/>
      <c r="AO121" s="718"/>
      <c r="AP121" s="718"/>
      <c r="AQ121" s="718"/>
      <c r="AR121" s="718"/>
      <c r="AS121" s="718"/>
      <c r="AT121" s="718"/>
      <c r="AU121" s="718"/>
      <c r="AV121" s="718"/>
      <c r="AW121" s="718"/>
      <c r="AX121" s="718"/>
      <c r="AY121" s="718"/>
      <c r="AZ121" s="718"/>
      <c r="BA121" s="718"/>
      <c r="BB121" s="718"/>
      <c r="BC121" s="718"/>
      <c r="BD121" s="718"/>
      <c r="BE121" s="718"/>
      <c r="BF121" s="718"/>
      <c r="BG121" s="718"/>
      <c r="BH121" s="718"/>
      <c r="BI121" s="718"/>
      <c r="BJ121" s="718"/>
      <c r="BK121" s="718"/>
      <c r="BL121" s="718"/>
      <c r="BM121" s="718"/>
      <c r="BN121" s="718"/>
      <c r="BO121" s="718"/>
      <c r="BP121" s="718"/>
      <c r="BQ121" s="718"/>
      <c r="BR121" s="718"/>
      <c r="BS121" s="718"/>
      <c r="BT121" s="718"/>
      <c r="BU121" s="718"/>
      <c r="BV121" s="719"/>
    </row>
    <row r="122" customFormat="false" ht="15" hidden="false" customHeight="true" outlineLevel="0" collapsed="false">
      <c r="A122" s="720" t="n">
        <v>10.7</v>
      </c>
      <c r="B122" s="721" t="s">
        <v>4014</v>
      </c>
      <c r="C122" s="721" t="s">
        <v>4003</v>
      </c>
      <c r="D122" s="722" t="n">
        <v>70</v>
      </c>
      <c r="E122" s="723" t="n">
        <f aca="false">F116</f>
        <v>46748</v>
      </c>
      <c r="F122" s="723" t="n">
        <f aca="false">E122+D122</f>
        <v>46818</v>
      </c>
      <c r="G122" s="723" t="n">
        <v>46818</v>
      </c>
      <c r="H122" s="724" t="n">
        <f aca="false">IF($G122="","",$F122-$G122)</f>
        <v>0</v>
      </c>
      <c r="I122" s="720" t="n">
        <v>10.1</v>
      </c>
      <c r="J122" s="725" t="n">
        <f aca="false">$F$166-F122</f>
        <v>355</v>
      </c>
      <c r="K122" s="726" t="str">
        <f aca="false">IF($D122="","",IF($J122&lt;=0,"● CRITICAL",""))</f>
        <v/>
      </c>
      <c r="L122" s="727" t="n">
        <f aca="false">IF($B$4&gt;=F122,1,IF($B$4&lt;=E122,0,($B$4-E122)/(F122-E122)))</f>
        <v>0</v>
      </c>
      <c r="M122" s="721" t="str">
        <f aca="false">IF(L122&gt;=1,"Complete",IF(L122&gt;0,"In Progress","Not Started"))</f>
        <v>Not Started</v>
      </c>
      <c r="N122" s="728" t="s">
        <v>4001</v>
      </c>
      <c r="O122" s="717"/>
      <c r="P122" s="718"/>
      <c r="Q122" s="718"/>
      <c r="R122" s="718"/>
      <c r="S122" s="718"/>
      <c r="T122" s="718"/>
      <c r="U122" s="718"/>
      <c r="V122" s="718"/>
      <c r="W122" s="718"/>
      <c r="X122" s="718"/>
      <c r="Y122" s="718"/>
      <c r="Z122" s="718"/>
      <c r="AA122" s="718"/>
      <c r="AB122" s="718"/>
      <c r="AC122" s="718"/>
      <c r="AD122" s="718"/>
      <c r="AE122" s="718"/>
      <c r="AF122" s="718"/>
      <c r="AG122" s="718"/>
      <c r="AH122" s="718"/>
      <c r="AI122" s="718"/>
      <c r="AJ122" s="718"/>
      <c r="AK122" s="718"/>
      <c r="AL122" s="718"/>
      <c r="AM122" s="718"/>
      <c r="AN122" s="718"/>
      <c r="AO122" s="718"/>
      <c r="AP122" s="718"/>
      <c r="AQ122" s="718"/>
      <c r="AR122" s="718"/>
      <c r="AS122" s="718"/>
      <c r="AT122" s="718"/>
      <c r="AU122" s="718"/>
      <c r="AV122" s="718"/>
      <c r="AW122" s="718"/>
      <c r="AX122" s="718"/>
      <c r="AY122" s="718"/>
      <c r="AZ122" s="718"/>
      <c r="BA122" s="718"/>
      <c r="BB122" s="718"/>
      <c r="BC122" s="718"/>
      <c r="BD122" s="718"/>
      <c r="BE122" s="718"/>
      <c r="BF122" s="718"/>
      <c r="BG122" s="718"/>
      <c r="BH122" s="718"/>
      <c r="BI122" s="718"/>
      <c r="BJ122" s="718"/>
      <c r="BK122" s="718"/>
      <c r="BL122" s="718"/>
      <c r="BM122" s="718"/>
      <c r="BN122" s="718"/>
      <c r="BO122" s="718"/>
      <c r="BP122" s="718"/>
      <c r="BQ122" s="718"/>
      <c r="BR122" s="718"/>
      <c r="BS122" s="718"/>
      <c r="BT122" s="718"/>
      <c r="BU122" s="718"/>
      <c r="BV122" s="719"/>
    </row>
    <row r="123" customFormat="false" ht="15" hidden="false" customHeight="true" outlineLevel="0" collapsed="false">
      <c r="A123" s="729" t="n">
        <v>10.1</v>
      </c>
      <c r="B123" s="721" t="s">
        <v>4015</v>
      </c>
      <c r="C123" s="721" t="s">
        <v>4003</v>
      </c>
      <c r="D123" s="722" t="n">
        <v>45</v>
      </c>
      <c r="E123" s="723" t="n">
        <f aca="false">F117</f>
        <v>46838</v>
      </c>
      <c r="F123" s="723" t="n">
        <f aca="false">E123+D123</f>
        <v>46883</v>
      </c>
      <c r="G123" s="723" t="n">
        <v>46883</v>
      </c>
      <c r="H123" s="724" t="n">
        <f aca="false">IF($G123="","",$F123-$G123)</f>
        <v>0</v>
      </c>
      <c r="I123" s="720" t="n">
        <v>10.2</v>
      </c>
      <c r="J123" s="725" t="n">
        <f aca="false">$F$166-F123</f>
        <v>290</v>
      </c>
      <c r="K123" s="726" t="str">
        <f aca="false">IF($D123="","",IF($J123&lt;=0,"● CRITICAL",""))</f>
        <v/>
      </c>
      <c r="L123" s="727" t="n">
        <f aca="false">IF($B$4&gt;=F123,1,IF($B$4&lt;=E123,0,($B$4-E123)/(F123-E123)))</f>
        <v>0</v>
      </c>
      <c r="M123" s="721" t="str">
        <f aca="false">IF(L123&gt;=1,"Complete",IF(L123&gt;0,"In Progress","Not Started"))</f>
        <v>Not Started</v>
      </c>
      <c r="N123" s="728" t="s">
        <v>4001</v>
      </c>
      <c r="O123" s="717"/>
      <c r="P123" s="718"/>
      <c r="Q123" s="718"/>
      <c r="R123" s="718"/>
      <c r="S123" s="718"/>
      <c r="T123" s="718"/>
      <c r="U123" s="718"/>
      <c r="V123" s="718"/>
      <c r="W123" s="718"/>
      <c r="X123" s="718"/>
      <c r="Y123" s="718"/>
      <c r="Z123" s="718"/>
      <c r="AA123" s="718"/>
      <c r="AB123" s="718"/>
      <c r="AC123" s="718"/>
      <c r="AD123" s="718"/>
      <c r="AE123" s="718"/>
      <c r="AF123" s="718"/>
      <c r="AG123" s="718"/>
      <c r="AH123" s="718"/>
      <c r="AI123" s="718"/>
      <c r="AJ123" s="718"/>
      <c r="AK123" s="718"/>
      <c r="AL123" s="718"/>
      <c r="AM123" s="718"/>
      <c r="AN123" s="718"/>
      <c r="AO123" s="718"/>
      <c r="AP123" s="718"/>
      <c r="AQ123" s="718"/>
      <c r="AR123" s="718"/>
      <c r="AS123" s="718"/>
      <c r="AT123" s="718"/>
      <c r="AU123" s="718"/>
      <c r="AV123" s="718"/>
      <c r="AW123" s="718"/>
      <c r="AX123" s="718"/>
      <c r="AY123" s="718"/>
      <c r="AZ123" s="718"/>
      <c r="BA123" s="730"/>
      <c r="BB123" s="730"/>
      <c r="BC123" s="730"/>
      <c r="BD123" s="718"/>
      <c r="BE123" s="718"/>
      <c r="BF123" s="718"/>
      <c r="BG123" s="718"/>
      <c r="BH123" s="718"/>
      <c r="BI123" s="718"/>
      <c r="BJ123" s="718"/>
      <c r="BK123" s="718"/>
      <c r="BL123" s="718"/>
      <c r="BM123" s="718"/>
      <c r="BN123" s="718"/>
      <c r="BO123" s="718"/>
      <c r="BP123" s="718"/>
      <c r="BQ123" s="718"/>
      <c r="BR123" s="718"/>
      <c r="BS123" s="718"/>
      <c r="BT123" s="718"/>
      <c r="BU123" s="718"/>
      <c r="BV123" s="719"/>
    </row>
    <row r="124" customFormat="false" ht="15" hidden="false" customHeight="true" outlineLevel="0" collapsed="false">
      <c r="A124" s="729" t="n">
        <v>10.11</v>
      </c>
      <c r="B124" s="721" t="s">
        <v>4016</v>
      </c>
      <c r="C124" s="721" t="s">
        <v>4003</v>
      </c>
      <c r="D124" s="722" t="n">
        <v>30</v>
      </c>
      <c r="E124" s="723" t="n">
        <f aca="false">F118</f>
        <v>46848</v>
      </c>
      <c r="F124" s="723" t="n">
        <f aca="false">E124+D124</f>
        <v>46878</v>
      </c>
      <c r="G124" s="723" t="n">
        <v>46878</v>
      </c>
      <c r="H124" s="724" t="n">
        <f aca="false">IF($G124="","",$F124-$G124)</f>
        <v>0</v>
      </c>
      <c r="I124" s="720" t="n">
        <v>10.3</v>
      </c>
      <c r="J124" s="725" t="n">
        <f aca="false">$F$166-F124</f>
        <v>295</v>
      </c>
      <c r="K124" s="726" t="str">
        <f aca="false">IF($D124="","",IF($J124&lt;=0,"● CRITICAL",""))</f>
        <v/>
      </c>
      <c r="L124" s="727" t="n">
        <f aca="false">IF($B$4&gt;=F124,1,IF($B$4&lt;=E124,0,($B$4-E124)/(F124-E124)))</f>
        <v>0</v>
      </c>
      <c r="M124" s="721" t="str">
        <f aca="false">IF(L124&gt;=1,"Complete",IF(L124&gt;0,"In Progress","Not Started"))</f>
        <v>Not Started</v>
      </c>
      <c r="N124" s="728" t="s">
        <v>4001</v>
      </c>
      <c r="O124" s="717"/>
      <c r="P124" s="718"/>
      <c r="Q124" s="718"/>
      <c r="R124" s="718"/>
      <c r="S124" s="718"/>
      <c r="T124" s="718"/>
      <c r="U124" s="718"/>
      <c r="V124" s="718"/>
      <c r="W124" s="718"/>
      <c r="X124" s="718"/>
      <c r="Y124" s="718"/>
      <c r="Z124" s="718"/>
      <c r="AA124" s="718"/>
      <c r="AB124" s="718"/>
      <c r="AC124" s="718"/>
      <c r="AD124" s="718"/>
      <c r="AE124" s="718"/>
      <c r="AF124" s="718"/>
      <c r="AG124" s="718"/>
      <c r="AH124" s="718"/>
      <c r="AI124" s="718"/>
      <c r="AJ124" s="718"/>
      <c r="AK124" s="718"/>
      <c r="AL124" s="718"/>
      <c r="AM124" s="718"/>
      <c r="AN124" s="718"/>
      <c r="AO124" s="718"/>
      <c r="AP124" s="718"/>
      <c r="AQ124" s="718"/>
      <c r="AR124" s="718"/>
      <c r="AS124" s="718"/>
      <c r="AT124" s="718"/>
      <c r="AU124" s="718"/>
      <c r="AV124" s="718"/>
      <c r="AW124" s="718"/>
      <c r="AX124" s="718"/>
      <c r="AY124" s="718"/>
      <c r="AZ124" s="718"/>
      <c r="BA124" s="718"/>
      <c r="BB124" s="730"/>
      <c r="BC124" s="730"/>
      <c r="BD124" s="718"/>
      <c r="BE124" s="718"/>
      <c r="BF124" s="718"/>
      <c r="BG124" s="718"/>
      <c r="BH124" s="718"/>
      <c r="BI124" s="718"/>
      <c r="BJ124" s="718"/>
      <c r="BK124" s="718"/>
      <c r="BL124" s="718"/>
      <c r="BM124" s="718"/>
      <c r="BN124" s="718"/>
      <c r="BO124" s="718"/>
      <c r="BP124" s="718"/>
      <c r="BQ124" s="718"/>
      <c r="BR124" s="718"/>
      <c r="BS124" s="718"/>
      <c r="BT124" s="718"/>
      <c r="BU124" s="718"/>
      <c r="BV124" s="719"/>
    </row>
    <row r="125" customFormat="false" ht="15" hidden="false" customHeight="true" outlineLevel="0" collapsed="false">
      <c r="A125" s="729" t="n">
        <v>10.12</v>
      </c>
      <c r="B125" s="721" t="s">
        <v>4017</v>
      </c>
      <c r="C125" s="721" t="s">
        <v>4018</v>
      </c>
      <c r="D125" s="722" t="n">
        <v>30</v>
      </c>
      <c r="E125" s="723" t="n">
        <f aca="false">F119</f>
        <v>46928</v>
      </c>
      <c r="F125" s="723" t="n">
        <f aca="false">E125+D125</f>
        <v>46958</v>
      </c>
      <c r="G125" s="723" t="n">
        <v>46958</v>
      </c>
      <c r="H125" s="724" t="n">
        <f aca="false">IF($G125="","",$F125-$G125)</f>
        <v>0</v>
      </c>
      <c r="I125" s="720" t="n">
        <v>10.4</v>
      </c>
      <c r="J125" s="725" t="n">
        <f aca="false">$F$166-F125</f>
        <v>215</v>
      </c>
      <c r="K125" s="726" t="str">
        <f aca="false">IF($D125="","",IF($J125&lt;=0,"● CRITICAL",""))</f>
        <v/>
      </c>
      <c r="L125" s="727" t="n">
        <f aca="false">IF($B$4&gt;=F125,1,IF($B$4&lt;=E125,0,($B$4-E125)/(F125-E125)))</f>
        <v>0</v>
      </c>
      <c r="M125" s="721" t="str">
        <f aca="false">IF(L125&gt;=1,"Complete",IF(L125&gt;0,"In Progress","Not Started"))</f>
        <v>Not Started</v>
      </c>
      <c r="N125" s="728" t="s">
        <v>4019</v>
      </c>
      <c r="O125" s="717"/>
      <c r="P125" s="718"/>
      <c r="Q125" s="718"/>
      <c r="R125" s="718"/>
      <c r="S125" s="718"/>
      <c r="T125" s="718"/>
      <c r="U125" s="718"/>
      <c r="V125" s="718"/>
      <c r="W125" s="718"/>
      <c r="X125" s="718"/>
      <c r="Y125" s="718"/>
      <c r="Z125" s="718"/>
      <c r="AA125" s="718"/>
      <c r="AB125" s="718"/>
      <c r="AC125" s="718"/>
      <c r="AD125" s="718"/>
      <c r="AE125" s="718"/>
      <c r="AF125" s="718"/>
      <c r="AG125" s="718"/>
      <c r="AH125" s="718"/>
      <c r="AI125" s="718"/>
      <c r="AJ125" s="718"/>
      <c r="AK125" s="718"/>
      <c r="AL125" s="718"/>
      <c r="AM125" s="718"/>
      <c r="AN125" s="718"/>
      <c r="AO125" s="718"/>
      <c r="AP125" s="718"/>
      <c r="AQ125" s="718"/>
      <c r="AR125" s="718"/>
      <c r="AS125" s="718"/>
      <c r="AT125" s="718"/>
      <c r="AU125" s="718"/>
      <c r="AV125" s="718"/>
      <c r="AW125" s="718"/>
      <c r="AX125" s="718"/>
      <c r="AY125" s="718"/>
      <c r="AZ125" s="718"/>
      <c r="BA125" s="718"/>
      <c r="BB125" s="718"/>
      <c r="BC125" s="718"/>
      <c r="BD125" s="730"/>
      <c r="BE125" s="730"/>
      <c r="BF125" s="718"/>
      <c r="BG125" s="718"/>
      <c r="BH125" s="718"/>
      <c r="BI125" s="718"/>
      <c r="BJ125" s="718"/>
      <c r="BK125" s="718"/>
      <c r="BL125" s="718"/>
      <c r="BM125" s="718"/>
      <c r="BN125" s="718"/>
      <c r="BO125" s="718"/>
      <c r="BP125" s="718"/>
      <c r="BQ125" s="718"/>
      <c r="BR125" s="718"/>
      <c r="BS125" s="718"/>
      <c r="BT125" s="718"/>
      <c r="BU125" s="718"/>
      <c r="BV125" s="719"/>
    </row>
    <row r="126" customFormat="false" ht="15" hidden="false" customHeight="true" outlineLevel="0" collapsed="false">
      <c r="A126" s="720" t="n">
        <v>10.8</v>
      </c>
      <c r="B126" s="721" t="s">
        <v>4020</v>
      </c>
      <c r="C126" s="721" t="s">
        <v>4018</v>
      </c>
      <c r="D126" s="722" t="n">
        <v>90</v>
      </c>
      <c r="E126" s="723" t="n">
        <f aca="false">F119</f>
        <v>46928</v>
      </c>
      <c r="F126" s="723" t="n">
        <f aca="false">E126+D126</f>
        <v>47018</v>
      </c>
      <c r="G126" s="723" t="n">
        <v>47018</v>
      </c>
      <c r="H126" s="724" t="n">
        <f aca="false">IF($G126="","",$F126-$G126)</f>
        <v>0</v>
      </c>
      <c r="I126" s="720" t="n">
        <v>10.4</v>
      </c>
      <c r="J126" s="725" t="n">
        <f aca="false">MIN(E127)-F126</f>
        <v>0</v>
      </c>
      <c r="K126" s="726" t="str">
        <f aca="false">IF($D126="","",IF($J126&lt;=0,"● CRITICAL",""))</f>
        <v>● CRITICAL</v>
      </c>
      <c r="L126" s="727" t="n">
        <f aca="false">IF($B$4&gt;=F126,1,IF($B$4&lt;=E126,0,($B$4-E126)/(F126-E126)))</f>
        <v>0</v>
      </c>
      <c r="M126" s="721" t="str">
        <f aca="false">IF(L126&gt;=1,"Complete",IF(L126&gt;0,"In Progress","Not Started"))</f>
        <v>Not Started</v>
      </c>
      <c r="N126" s="728" t="s">
        <v>4019</v>
      </c>
      <c r="O126" s="717"/>
      <c r="P126" s="718"/>
      <c r="Q126" s="718"/>
      <c r="R126" s="718"/>
      <c r="S126" s="718"/>
      <c r="T126" s="718"/>
      <c r="U126" s="718"/>
      <c r="V126" s="718"/>
      <c r="W126" s="718"/>
      <c r="X126" s="718"/>
      <c r="Y126" s="718"/>
      <c r="Z126" s="718"/>
      <c r="AA126" s="718"/>
      <c r="AB126" s="718"/>
      <c r="AC126" s="718"/>
      <c r="AD126" s="718"/>
      <c r="AE126" s="718"/>
      <c r="AF126" s="718"/>
      <c r="AG126" s="718"/>
      <c r="AH126" s="718"/>
      <c r="AI126" s="718"/>
      <c r="AJ126" s="718"/>
      <c r="AK126" s="718"/>
      <c r="AL126" s="718"/>
      <c r="AM126" s="718"/>
      <c r="AN126" s="718"/>
      <c r="AO126" s="718"/>
      <c r="AP126" s="718"/>
      <c r="AQ126" s="718"/>
      <c r="AR126" s="718"/>
      <c r="AS126" s="718"/>
      <c r="AT126" s="718"/>
      <c r="AU126" s="718"/>
      <c r="AV126" s="718"/>
      <c r="AW126" s="718"/>
      <c r="AX126" s="718"/>
      <c r="AY126" s="718"/>
      <c r="AZ126" s="718"/>
      <c r="BA126" s="718"/>
      <c r="BB126" s="718"/>
      <c r="BC126" s="718"/>
      <c r="BD126" s="718"/>
      <c r="BE126" s="718"/>
      <c r="BF126" s="718"/>
      <c r="BG126" s="718"/>
      <c r="BH126" s="718"/>
      <c r="BI126" s="718"/>
      <c r="BJ126" s="718"/>
      <c r="BK126" s="718"/>
      <c r="BL126" s="718"/>
      <c r="BM126" s="718"/>
      <c r="BN126" s="718"/>
      <c r="BO126" s="718"/>
      <c r="BP126" s="718"/>
      <c r="BQ126" s="718"/>
      <c r="BR126" s="718"/>
      <c r="BS126" s="718"/>
      <c r="BT126" s="718"/>
      <c r="BU126" s="718"/>
      <c r="BV126" s="719"/>
    </row>
    <row r="127" customFormat="false" ht="15" hidden="false" customHeight="true" outlineLevel="0" collapsed="false">
      <c r="A127" s="720" t="n">
        <v>10.9</v>
      </c>
      <c r="B127" s="731" t="s">
        <v>4021</v>
      </c>
      <c r="C127" s="721" t="s">
        <v>85</v>
      </c>
      <c r="D127" s="722" t="n">
        <v>0</v>
      </c>
      <c r="E127" s="723" t="n">
        <f aca="false">F126</f>
        <v>47018</v>
      </c>
      <c r="F127" s="723" t="n">
        <f aca="false">E127+D127</f>
        <v>47018</v>
      </c>
      <c r="G127" s="723" t="n">
        <v>47018</v>
      </c>
      <c r="H127" s="724" t="n">
        <f aca="false">IF($G127="","",$F127-$G127)</f>
        <v>0</v>
      </c>
      <c r="I127" s="720" t="n">
        <v>10.8</v>
      </c>
      <c r="J127" s="725" t="n">
        <f aca="false">MIN(E150)-F127</f>
        <v>15</v>
      </c>
      <c r="K127" s="726" t="str">
        <f aca="false">IF($D127="","",IF($J127&lt;=0,"● CRITICAL",""))</f>
        <v/>
      </c>
      <c r="L127" s="727" t="n">
        <f aca="false">IF($B$4&gt;=F127,1,IF($B$4&lt;=E127,0,($B$4-E127)/(F127-E127)))</f>
        <v>0</v>
      </c>
      <c r="M127" s="721" t="str">
        <f aca="false">IF(L127&gt;=1,"Complete",IF(L127&gt;0,"In Progress","Not Started"))</f>
        <v>Not Started</v>
      </c>
      <c r="N127" s="728" t="s">
        <v>4022</v>
      </c>
      <c r="O127" s="717"/>
      <c r="P127" s="718"/>
      <c r="Q127" s="718"/>
      <c r="R127" s="718"/>
      <c r="S127" s="718"/>
      <c r="T127" s="718"/>
      <c r="U127" s="718"/>
      <c r="V127" s="718"/>
      <c r="W127" s="718"/>
      <c r="X127" s="718"/>
      <c r="Y127" s="718"/>
      <c r="Z127" s="718"/>
      <c r="AA127" s="718"/>
      <c r="AB127" s="718"/>
      <c r="AC127" s="718"/>
      <c r="AD127" s="718"/>
      <c r="AE127" s="718"/>
      <c r="AF127" s="718"/>
      <c r="AG127" s="718"/>
      <c r="AH127" s="718"/>
      <c r="AI127" s="718"/>
      <c r="AJ127" s="718"/>
      <c r="AK127" s="718"/>
      <c r="AL127" s="718"/>
      <c r="AM127" s="718"/>
      <c r="AN127" s="718"/>
      <c r="AO127" s="718"/>
      <c r="AP127" s="718"/>
      <c r="AQ127" s="718"/>
      <c r="AR127" s="718"/>
      <c r="AS127" s="718"/>
      <c r="AT127" s="718"/>
      <c r="AU127" s="718"/>
      <c r="AV127" s="718"/>
      <c r="AW127" s="718"/>
      <c r="AX127" s="718"/>
      <c r="AY127" s="718"/>
      <c r="AZ127" s="718"/>
      <c r="BA127" s="718"/>
      <c r="BB127" s="718"/>
      <c r="BC127" s="718"/>
      <c r="BD127" s="718"/>
      <c r="BE127" s="718"/>
      <c r="BF127" s="718"/>
      <c r="BG127" s="718"/>
      <c r="BH127" s="718"/>
      <c r="BI127" s="718"/>
      <c r="BJ127" s="718"/>
      <c r="BK127" s="718"/>
      <c r="BL127" s="718"/>
      <c r="BM127" s="718"/>
      <c r="BN127" s="718"/>
      <c r="BO127" s="718"/>
      <c r="BP127" s="718"/>
      <c r="BQ127" s="718"/>
      <c r="BR127" s="718"/>
      <c r="BS127" s="718"/>
      <c r="BT127" s="718"/>
      <c r="BU127" s="718"/>
      <c r="BV127" s="719"/>
    </row>
    <row r="128" customFormat="false" ht="15" hidden="false" customHeight="true" outlineLevel="0" collapsed="false">
      <c r="A128" s="709" t="n">
        <v>11</v>
      </c>
      <c r="B128" s="710" t="s">
        <v>4023</v>
      </c>
      <c r="C128" s="710"/>
      <c r="D128" s="711" t="n">
        <f aca="false">F128-E128</f>
        <v>320</v>
      </c>
      <c r="E128" s="712" t="n">
        <f aca="false">MIN(E129:E137)</f>
        <v>46673</v>
      </c>
      <c r="F128" s="712" t="n">
        <f aca="false">MAX(F129:F137)</f>
        <v>46993</v>
      </c>
      <c r="G128" s="712" t="n">
        <v>46993</v>
      </c>
      <c r="H128" s="713" t="n">
        <f aca="false">IF($G128="","",$F128-$G128)</f>
        <v>0</v>
      </c>
      <c r="I128" s="709"/>
      <c r="J128" s="714"/>
      <c r="K128" s="710"/>
      <c r="L128" s="715" t="n">
        <f aca="false">IFERROR(SUMPRODUCT($D129:$D137,$L129:$L137)/SUM($D129:$D137),0)</f>
        <v>0</v>
      </c>
      <c r="M128" s="710" t="str">
        <f aca="false">IF(L128&gt;=1,"Complete",IF(L128&gt;0,"In Progress","Not Started"))</f>
        <v>Not Started</v>
      </c>
      <c r="N128" s="716" t="s">
        <v>4024</v>
      </c>
      <c r="O128" s="717"/>
      <c r="P128" s="718"/>
      <c r="Q128" s="718"/>
      <c r="R128" s="718"/>
      <c r="S128" s="718"/>
      <c r="T128" s="718"/>
      <c r="U128" s="718"/>
      <c r="V128" s="718"/>
      <c r="W128" s="718"/>
      <c r="X128" s="718"/>
      <c r="Y128" s="718"/>
      <c r="Z128" s="718"/>
      <c r="AA128" s="718"/>
      <c r="AB128" s="718"/>
      <c r="AC128" s="718"/>
      <c r="AD128" s="718"/>
      <c r="AE128" s="718"/>
      <c r="AF128" s="718"/>
      <c r="AG128" s="718"/>
      <c r="AH128" s="718"/>
      <c r="AI128" s="718"/>
      <c r="AJ128" s="718"/>
      <c r="AK128" s="718"/>
      <c r="AL128" s="718"/>
      <c r="AM128" s="718"/>
      <c r="AN128" s="718"/>
      <c r="AO128" s="718"/>
      <c r="AP128" s="718"/>
      <c r="AQ128" s="718"/>
      <c r="AR128" s="718"/>
      <c r="AS128" s="718"/>
      <c r="AT128" s="718"/>
      <c r="AU128" s="718"/>
      <c r="AV128" s="718"/>
      <c r="AW128" s="718"/>
      <c r="AX128" s="718"/>
      <c r="AY128" s="718"/>
      <c r="AZ128" s="718"/>
      <c r="BA128" s="718"/>
      <c r="BB128" s="718"/>
      <c r="BC128" s="718"/>
      <c r="BD128" s="718"/>
      <c r="BE128" s="718"/>
      <c r="BF128" s="718"/>
      <c r="BG128" s="718"/>
      <c r="BH128" s="718"/>
      <c r="BI128" s="718"/>
      <c r="BJ128" s="718"/>
      <c r="BK128" s="718"/>
      <c r="BL128" s="718"/>
      <c r="BM128" s="718"/>
      <c r="BN128" s="718"/>
      <c r="BO128" s="718"/>
      <c r="BP128" s="718"/>
      <c r="BQ128" s="718"/>
      <c r="BR128" s="718"/>
      <c r="BS128" s="718"/>
      <c r="BT128" s="718"/>
      <c r="BU128" s="718"/>
      <c r="BV128" s="719"/>
    </row>
    <row r="129" customFormat="false" ht="15" hidden="false" customHeight="true" outlineLevel="0" collapsed="false">
      <c r="A129" s="720" t="n">
        <v>11.1</v>
      </c>
      <c r="B129" s="721" t="s">
        <v>4025</v>
      </c>
      <c r="C129" s="721" t="s">
        <v>4026</v>
      </c>
      <c r="D129" s="722" t="n">
        <v>60</v>
      </c>
      <c r="E129" s="723" t="n">
        <f aca="false">F99</f>
        <v>46673</v>
      </c>
      <c r="F129" s="723" t="n">
        <f aca="false">E129+D129</f>
        <v>46733</v>
      </c>
      <c r="G129" s="723" t="n">
        <v>46733</v>
      </c>
      <c r="H129" s="724" t="n">
        <f aca="false">IF($G129="","",$F129-$G129)</f>
        <v>0</v>
      </c>
      <c r="I129" s="720" t="n">
        <v>8.5</v>
      </c>
      <c r="J129" s="725" t="n">
        <f aca="false">MIN(E130,E132)-F129</f>
        <v>0</v>
      </c>
      <c r="K129" s="726" t="str">
        <f aca="false">IF($D129="","",IF($J129&lt;=0,"● CRITICAL",""))</f>
        <v>● CRITICAL</v>
      </c>
      <c r="L129" s="727" t="n">
        <f aca="false">IF($B$4&gt;=F129,1,IF($B$4&lt;=E129,0,($B$4-E129)/(F129-E129)))</f>
        <v>0</v>
      </c>
      <c r="M129" s="721" t="str">
        <f aca="false">IF(L129&gt;=1,"Complete",IF(L129&gt;0,"In Progress","Not Started"))</f>
        <v>Not Started</v>
      </c>
      <c r="N129" s="728" t="s">
        <v>4027</v>
      </c>
      <c r="O129" s="717"/>
      <c r="P129" s="718"/>
      <c r="Q129" s="718"/>
      <c r="R129" s="718"/>
      <c r="S129" s="718"/>
      <c r="T129" s="718"/>
      <c r="U129" s="718"/>
      <c r="V129" s="718"/>
      <c r="W129" s="718"/>
      <c r="X129" s="718"/>
      <c r="Y129" s="718"/>
      <c r="Z129" s="718"/>
      <c r="AA129" s="718"/>
      <c r="AB129" s="718"/>
      <c r="AC129" s="718"/>
      <c r="AD129" s="718"/>
      <c r="AE129" s="718"/>
      <c r="AF129" s="718"/>
      <c r="AG129" s="718"/>
      <c r="AH129" s="718"/>
      <c r="AI129" s="718"/>
      <c r="AJ129" s="718"/>
      <c r="AK129" s="718"/>
      <c r="AL129" s="718"/>
      <c r="AM129" s="718"/>
      <c r="AN129" s="718"/>
      <c r="AO129" s="718"/>
      <c r="AP129" s="718"/>
      <c r="AQ129" s="718"/>
      <c r="AR129" s="718"/>
      <c r="AS129" s="718"/>
      <c r="AT129" s="718"/>
      <c r="AU129" s="718"/>
      <c r="AV129" s="718"/>
      <c r="AW129" s="718"/>
      <c r="AX129" s="718"/>
      <c r="AY129" s="718"/>
      <c r="AZ129" s="718"/>
      <c r="BA129" s="718"/>
      <c r="BB129" s="718"/>
      <c r="BC129" s="718"/>
      <c r="BD129" s="718"/>
      <c r="BE129" s="718"/>
      <c r="BF129" s="718"/>
      <c r="BG129" s="718"/>
      <c r="BH129" s="718"/>
      <c r="BI129" s="718"/>
      <c r="BJ129" s="718"/>
      <c r="BK129" s="718"/>
      <c r="BL129" s="718"/>
      <c r="BM129" s="718"/>
      <c r="BN129" s="718"/>
      <c r="BO129" s="718"/>
      <c r="BP129" s="718"/>
      <c r="BQ129" s="718"/>
      <c r="BR129" s="718"/>
      <c r="BS129" s="718"/>
      <c r="BT129" s="718"/>
      <c r="BU129" s="718"/>
      <c r="BV129" s="719"/>
    </row>
    <row r="130" customFormat="false" ht="15" hidden="false" customHeight="true" outlineLevel="0" collapsed="false">
      <c r="A130" s="720" t="n">
        <v>11.2</v>
      </c>
      <c r="B130" s="721" t="s">
        <v>4028</v>
      </c>
      <c r="C130" s="721" t="s">
        <v>4029</v>
      </c>
      <c r="D130" s="722" t="n">
        <v>45</v>
      </c>
      <c r="E130" s="723" t="n">
        <f aca="false">F129</f>
        <v>46733</v>
      </c>
      <c r="F130" s="723" t="n">
        <f aca="false">E130+D130</f>
        <v>46778</v>
      </c>
      <c r="G130" s="723" t="n">
        <v>46778</v>
      </c>
      <c r="H130" s="724" t="n">
        <f aca="false">IF($G130="","",$F130-$G130)</f>
        <v>0</v>
      </c>
      <c r="I130" s="720" t="n">
        <v>11.1</v>
      </c>
      <c r="J130" s="725" t="n">
        <f aca="false">MIN(E131,E137,E139)-F130</f>
        <v>0</v>
      </c>
      <c r="K130" s="726" t="str">
        <f aca="false">IF($D130="","",IF($J130&lt;=0,"● CRITICAL",""))</f>
        <v>● CRITICAL</v>
      </c>
      <c r="L130" s="727" t="n">
        <f aca="false">IF($B$4&gt;=F130,1,IF($B$4&lt;=E130,0,($B$4-E130)/(F130-E130)))</f>
        <v>0</v>
      </c>
      <c r="M130" s="721" t="str">
        <f aca="false">IF(L130&gt;=1,"Complete",IF(L130&gt;0,"In Progress","Not Started"))</f>
        <v>Not Started</v>
      </c>
      <c r="N130" s="728" t="s">
        <v>4030</v>
      </c>
      <c r="O130" s="717"/>
      <c r="P130" s="718"/>
      <c r="Q130" s="718"/>
      <c r="R130" s="718"/>
      <c r="S130" s="718"/>
      <c r="T130" s="718"/>
      <c r="U130" s="718"/>
      <c r="V130" s="718"/>
      <c r="W130" s="718"/>
      <c r="X130" s="718"/>
      <c r="Y130" s="718"/>
      <c r="Z130" s="718"/>
      <c r="AA130" s="718"/>
      <c r="AB130" s="718"/>
      <c r="AC130" s="718"/>
      <c r="AD130" s="718"/>
      <c r="AE130" s="718"/>
      <c r="AF130" s="718"/>
      <c r="AG130" s="718"/>
      <c r="AH130" s="718"/>
      <c r="AI130" s="718"/>
      <c r="AJ130" s="718"/>
      <c r="AK130" s="718"/>
      <c r="AL130" s="718"/>
      <c r="AM130" s="718"/>
      <c r="AN130" s="718"/>
      <c r="AO130" s="718"/>
      <c r="AP130" s="718"/>
      <c r="AQ130" s="718"/>
      <c r="AR130" s="718"/>
      <c r="AS130" s="718"/>
      <c r="AT130" s="718"/>
      <c r="AU130" s="718"/>
      <c r="AV130" s="718"/>
      <c r="AW130" s="718"/>
      <c r="AX130" s="718"/>
      <c r="AY130" s="718"/>
      <c r="AZ130" s="718"/>
      <c r="BA130" s="718"/>
      <c r="BB130" s="718"/>
      <c r="BC130" s="718"/>
      <c r="BD130" s="718"/>
      <c r="BE130" s="718"/>
      <c r="BF130" s="718"/>
      <c r="BG130" s="718"/>
      <c r="BH130" s="718"/>
      <c r="BI130" s="718"/>
      <c r="BJ130" s="718"/>
      <c r="BK130" s="718"/>
      <c r="BL130" s="718"/>
      <c r="BM130" s="718"/>
      <c r="BN130" s="718"/>
      <c r="BO130" s="718"/>
      <c r="BP130" s="718"/>
      <c r="BQ130" s="718"/>
      <c r="BR130" s="718"/>
      <c r="BS130" s="718"/>
      <c r="BT130" s="718"/>
      <c r="BU130" s="718"/>
      <c r="BV130" s="719"/>
    </row>
    <row r="131" customFormat="false" ht="15" hidden="false" customHeight="true" outlineLevel="0" collapsed="false">
      <c r="A131" s="720" t="n">
        <v>11.3</v>
      </c>
      <c r="B131" s="721" t="s">
        <v>4031</v>
      </c>
      <c r="C131" s="721" t="s">
        <v>4032</v>
      </c>
      <c r="D131" s="722" t="n">
        <v>40</v>
      </c>
      <c r="E131" s="723" t="n">
        <f aca="false">F130</f>
        <v>46778</v>
      </c>
      <c r="F131" s="723" t="n">
        <f aca="false">E131+D131</f>
        <v>46818</v>
      </c>
      <c r="G131" s="723" t="n">
        <v>46818</v>
      </c>
      <c r="H131" s="724" t="n">
        <f aca="false">IF($G131="","",$F131-$G131)</f>
        <v>0</v>
      </c>
      <c r="I131" s="720" t="n">
        <v>11.2</v>
      </c>
      <c r="J131" s="725" t="n">
        <f aca="false">MIN(E133)-F131</f>
        <v>0</v>
      </c>
      <c r="K131" s="726" t="str">
        <f aca="false">IF($D131="","",IF($J131&lt;=0,"● CRITICAL",""))</f>
        <v>● CRITICAL</v>
      </c>
      <c r="L131" s="727" t="n">
        <f aca="false">IF($B$4&gt;=F131,1,IF($B$4&lt;=E131,0,($B$4-E131)/(F131-E131)))</f>
        <v>0</v>
      </c>
      <c r="M131" s="721" t="str">
        <f aca="false">IF(L131&gt;=1,"Complete",IF(L131&gt;0,"In Progress","Not Started"))</f>
        <v>Not Started</v>
      </c>
      <c r="N131" s="728" t="s">
        <v>4030</v>
      </c>
      <c r="O131" s="717"/>
      <c r="P131" s="718"/>
      <c r="Q131" s="718"/>
      <c r="R131" s="718"/>
      <c r="S131" s="718"/>
      <c r="T131" s="718"/>
      <c r="U131" s="718"/>
      <c r="V131" s="718"/>
      <c r="W131" s="718"/>
      <c r="X131" s="718"/>
      <c r="Y131" s="718"/>
      <c r="Z131" s="718"/>
      <c r="AA131" s="718"/>
      <c r="AB131" s="718"/>
      <c r="AC131" s="718"/>
      <c r="AD131" s="718"/>
      <c r="AE131" s="718"/>
      <c r="AF131" s="718"/>
      <c r="AG131" s="718"/>
      <c r="AH131" s="718"/>
      <c r="AI131" s="718"/>
      <c r="AJ131" s="718"/>
      <c r="AK131" s="718"/>
      <c r="AL131" s="718"/>
      <c r="AM131" s="718"/>
      <c r="AN131" s="718"/>
      <c r="AO131" s="718"/>
      <c r="AP131" s="718"/>
      <c r="AQ131" s="718"/>
      <c r="AR131" s="718"/>
      <c r="AS131" s="718"/>
      <c r="AT131" s="718"/>
      <c r="AU131" s="718"/>
      <c r="AV131" s="718"/>
      <c r="AW131" s="718"/>
      <c r="AX131" s="718"/>
      <c r="AY131" s="718"/>
      <c r="AZ131" s="718"/>
      <c r="BA131" s="718"/>
      <c r="BB131" s="718"/>
      <c r="BC131" s="718"/>
      <c r="BD131" s="718"/>
      <c r="BE131" s="718"/>
      <c r="BF131" s="718"/>
      <c r="BG131" s="718"/>
      <c r="BH131" s="718"/>
      <c r="BI131" s="718"/>
      <c r="BJ131" s="718"/>
      <c r="BK131" s="718"/>
      <c r="BL131" s="718"/>
      <c r="BM131" s="718"/>
      <c r="BN131" s="718"/>
      <c r="BO131" s="718"/>
      <c r="BP131" s="718"/>
      <c r="BQ131" s="718"/>
      <c r="BR131" s="718"/>
      <c r="BS131" s="718"/>
      <c r="BT131" s="718"/>
      <c r="BU131" s="718"/>
      <c r="BV131" s="719"/>
    </row>
    <row r="132" customFormat="false" ht="15" hidden="false" customHeight="true" outlineLevel="0" collapsed="false">
      <c r="A132" s="720" t="n">
        <v>11.4</v>
      </c>
      <c r="B132" s="721" t="s">
        <v>4033</v>
      </c>
      <c r="C132" s="721" t="s">
        <v>4034</v>
      </c>
      <c r="D132" s="722" t="n">
        <v>60</v>
      </c>
      <c r="E132" s="723" t="n">
        <f aca="false">F129</f>
        <v>46733</v>
      </c>
      <c r="F132" s="723" t="n">
        <f aca="false">E132+D132</f>
        <v>46793</v>
      </c>
      <c r="G132" s="723" t="n">
        <v>46793</v>
      </c>
      <c r="H132" s="724" t="n">
        <f aca="false">IF($G132="","",$F132-$G132)</f>
        <v>0</v>
      </c>
      <c r="I132" s="720" t="n">
        <v>11.1</v>
      </c>
      <c r="J132" s="725" t="n">
        <f aca="false">$F$166-F132</f>
        <v>380</v>
      </c>
      <c r="K132" s="726" t="str">
        <f aca="false">IF($D132="","",IF($J132&lt;=0,"● CRITICAL",""))</f>
        <v/>
      </c>
      <c r="L132" s="727" t="n">
        <f aca="false">IF($B$4&gt;=F132,1,IF($B$4&lt;=E132,0,($B$4-E132)/(F132-E132)))</f>
        <v>0</v>
      </c>
      <c r="M132" s="721" t="str">
        <f aca="false">IF(L132&gt;=1,"Complete",IF(L132&gt;0,"In Progress","Not Started"))</f>
        <v>Not Started</v>
      </c>
      <c r="N132" s="728" t="s">
        <v>4035</v>
      </c>
      <c r="O132" s="717"/>
      <c r="P132" s="718"/>
      <c r="Q132" s="718"/>
      <c r="R132" s="718"/>
      <c r="S132" s="718"/>
      <c r="T132" s="718"/>
      <c r="U132" s="718"/>
      <c r="V132" s="718"/>
      <c r="W132" s="718"/>
      <c r="X132" s="718"/>
      <c r="Y132" s="718"/>
      <c r="Z132" s="718"/>
      <c r="AA132" s="718"/>
      <c r="AB132" s="718"/>
      <c r="AC132" s="718"/>
      <c r="AD132" s="718"/>
      <c r="AE132" s="718"/>
      <c r="AF132" s="718"/>
      <c r="AG132" s="718"/>
      <c r="AH132" s="718"/>
      <c r="AI132" s="718"/>
      <c r="AJ132" s="718"/>
      <c r="AK132" s="718"/>
      <c r="AL132" s="718"/>
      <c r="AM132" s="718"/>
      <c r="AN132" s="718"/>
      <c r="AO132" s="718"/>
      <c r="AP132" s="718"/>
      <c r="AQ132" s="718"/>
      <c r="AR132" s="718"/>
      <c r="AS132" s="718"/>
      <c r="AT132" s="718"/>
      <c r="AU132" s="718"/>
      <c r="AV132" s="718"/>
      <c r="AW132" s="718"/>
      <c r="AX132" s="718"/>
      <c r="AY132" s="718"/>
      <c r="AZ132" s="718"/>
      <c r="BA132" s="718"/>
      <c r="BB132" s="718"/>
      <c r="BC132" s="718"/>
      <c r="BD132" s="718"/>
      <c r="BE132" s="718"/>
      <c r="BF132" s="718"/>
      <c r="BG132" s="718"/>
      <c r="BH132" s="718"/>
      <c r="BI132" s="718"/>
      <c r="BJ132" s="718"/>
      <c r="BK132" s="718"/>
      <c r="BL132" s="718"/>
      <c r="BM132" s="718"/>
      <c r="BN132" s="718"/>
      <c r="BO132" s="718"/>
      <c r="BP132" s="718"/>
      <c r="BQ132" s="718"/>
      <c r="BR132" s="718"/>
      <c r="BS132" s="718"/>
      <c r="BT132" s="718"/>
      <c r="BU132" s="718"/>
      <c r="BV132" s="719"/>
    </row>
    <row r="133" customFormat="false" ht="15" hidden="false" customHeight="true" outlineLevel="0" collapsed="false">
      <c r="A133" s="720" t="n">
        <v>11.5</v>
      </c>
      <c r="B133" s="721" t="s">
        <v>4036</v>
      </c>
      <c r="C133" s="721" t="s">
        <v>4037</v>
      </c>
      <c r="D133" s="722" t="n">
        <v>45</v>
      </c>
      <c r="E133" s="723" t="n">
        <f aca="false">F131</f>
        <v>46818</v>
      </c>
      <c r="F133" s="723" t="n">
        <f aca="false">E133+D133</f>
        <v>46863</v>
      </c>
      <c r="G133" s="723" t="n">
        <v>46863</v>
      </c>
      <c r="H133" s="724" t="n">
        <f aca="false">IF($G133="","",$F133-$G133)</f>
        <v>0</v>
      </c>
      <c r="I133" s="720" t="n">
        <v>11.3</v>
      </c>
      <c r="J133" s="725" t="n">
        <f aca="false">MIN(E79,E146)-F133</f>
        <v>0</v>
      </c>
      <c r="K133" s="726" t="str">
        <f aca="false">IF($D133="","",IF($J133&lt;=0,"● CRITICAL",""))</f>
        <v>● CRITICAL</v>
      </c>
      <c r="L133" s="727" t="n">
        <f aca="false">IF($B$4&gt;=F133,1,IF($B$4&lt;=E133,0,($B$4-E133)/(F133-E133)))</f>
        <v>0</v>
      </c>
      <c r="M133" s="721" t="str">
        <f aca="false">IF(L133&gt;=1,"Complete",IF(L133&gt;0,"In Progress","Not Started"))</f>
        <v>Not Started</v>
      </c>
      <c r="N133" s="728" t="s">
        <v>319</v>
      </c>
      <c r="O133" s="717"/>
      <c r="P133" s="718"/>
      <c r="Q133" s="718"/>
      <c r="R133" s="718"/>
      <c r="S133" s="718"/>
      <c r="T133" s="718"/>
      <c r="U133" s="718"/>
      <c r="V133" s="718"/>
      <c r="W133" s="718"/>
      <c r="X133" s="718"/>
      <c r="Y133" s="718"/>
      <c r="Z133" s="718"/>
      <c r="AA133" s="718"/>
      <c r="AB133" s="718"/>
      <c r="AC133" s="718"/>
      <c r="AD133" s="718"/>
      <c r="AE133" s="718"/>
      <c r="AF133" s="718"/>
      <c r="AG133" s="718"/>
      <c r="AH133" s="718"/>
      <c r="AI133" s="718"/>
      <c r="AJ133" s="718"/>
      <c r="AK133" s="718"/>
      <c r="AL133" s="718"/>
      <c r="AM133" s="718"/>
      <c r="AN133" s="718"/>
      <c r="AO133" s="718"/>
      <c r="AP133" s="718"/>
      <c r="AQ133" s="718"/>
      <c r="AR133" s="718"/>
      <c r="AS133" s="718"/>
      <c r="AT133" s="718"/>
      <c r="AU133" s="718"/>
      <c r="AV133" s="718"/>
      <c r="AW133" s="718"/>
      <c r="AX133" s="718"/>
      <c r="AY133" s="718"/>
      <c r="AZ133" s="718"/>
      <c r="BA133" s="718"/>
      <c r="BB133" s="718"/>
      <c r="BC133" s="718"/>
      <c r="BD133" s="718"/>
      <c r="BE133" s="718"/>
      <c r="BF133" s="718"/>
      <c r="BG133" s="718"/>
      <c r="BH133" s="718"/>
      <c r="BI133" s="718"/>
      <c r="BJ133" s="718"/>
      <c r="BK133" s="718"/>
      <c r="BL133" s="718"/>
      <c r="BM133" s="718"/>
      <c r="BN133" s="718"/>
      <c r="BO133" s="718"/>
      <c r="BP133" s="718"/>
      <c r="BQ133" s="718"/>
      <c r="BR133" s="718"/>
      <c r="BS133" s="718"/>
      <c r="BT133" s="718"/>
      <c r="BU133" s="718"/>
      <c r="BV133" s="719"/>
    </row>
    <row r="134" customFormat="false" ht="15" hidden="false" customHeight="true" outlineLevel="0" collapsed="false">
      <c r="A134" s="720" t="n">
        <v>11.7</v>
      </c>
      <c r="B134" s="721" t="s">
        <v>4038</v>
      </c>
      <c r="C134" s="721" t="s">
        <v>4032</v>
      </c>
      <c r="D134" s="722" t="n">
        <v>30</v>
      </c>
      <c r="E134" s="723" t="n">
        <f aca="false">F130</f>
        <v>46778</v>
      </c>
      <c r="F134" s="723" t="n">
        <f aca="false">E134+D134</f>
        <v>46808</v>
      </c>
      <c r="G134" s="723" t="n">
        <v>46808</v>
      </c>
      <c r="H134" s="724" t="n">
        <f aca="false">IF($G134="","",$F134-$G134)</f>
        <v>0</v>
      </c>
      <c r="I134" s="720" t="n">
        <v>11.2</v>
      </c>
      <c r="J134" s="725" t="n">
        <f aca="false">$F$166-F134</f>
        <v>365</v>
      </c>
      <c r="K134" s="726" t="str">
        <f aca="false">IF($D134="","",IF($J134&lt;=0,"● CRITICAL",""))</f>
        <v/>
      </c>
      <c r="L134" s="727" t="n">
        <f aca="false">IF($B$4&gt;=F134,1,IF($B$4&lt;=E134,0,($B$4-E134)/(F134-E134)))</f>
        <v>0</v>
      </c>
      <c r="M134" s="721" t="str">
        <f aca="false">IF(L134&gt;=1,"Complete",IF(L134&gt;0,"In Progress","Not Started"))</f>
        <v>Not Started</v>
      </c>
      <c r="N134" s="728" t="s">
        <v>4030</v>
      </c>
      <c r="O134" s="717"/>
      <c r="P134" s="718"/>
      <c r="Q134" s="718"/>
      <c r="R134" s="718"/>
      <c r="S134" s="718"/>
      <c r="T134" s="718"/>
      <c r="U134" s="718"/>
      <c r="V134" s="718"/>
      <c r="W134" s="718"/>
      <c r="X134" s="718"/>
      <c r="Y134" s="718"/>
      <c r="Z134" s="718"/>
      <c r="AA134" s="718"/>
      <c r="AB134" s="718"/>
      <c r="AC134" s="718"/>
      <c r="AD134" s="718"/>
      <c r="AE134" s="718"/>
      <c r="AF134" s="718"/>
      <c r="AG134" s="718"/>
      <c r="AH134" s="718"/>
      <c r="AI134" s="718"/>
      <c r="AJ134" s="718"/>
      <c r="AK134" s="718"/>
      <c r="AL134" s="718"/>
      <c r="AM134" s="718"/>
      <c r="AN134" s="718"/>
      <c r="AO134" s="718"/>
      <c r="AP134" s="718"/>
      <c r="AQ134" s="718"/>
      <c r="AR134" s="718"/>
      <c r="AS134" s="718"/>
      <c r="AT134" s="718"/>
      <c r="AU134" s="718"/>
      <c r="AV134" s="718"/>
      <c r="AW134" s="718"/>
      <c r="AX134" s="718"/>
      <c r="AY134" s="730"/>
      <c r="AZ134" s="730"/>
      <c r="BA134" s="718"/>
      <c r="BB134" s="718"/>
      <c r="BC134" s="718"/>
      <c r="BD134" s="718"/>
      <c r="BE134" s="718"/>
      <c r="BF134" s="718"/>
      <c r="BG134" s="718"/>
      <c r="BH134" s="718"/>
      <c r="BI134" s="718"/>
      <c r="BJ134" s="718"/>
      <c r="BK134" s="718"/>
      <c r="BL134" s="718"/>
      <c r="BM134" s="718"/>
      <c r="BN134" s="718"/>
      <c r="BO134" s="718"/>
      <c r="BP134" s="718"/>
      <c r="BQ134" s="718"/>
      <c r="BR134" s="718"/>
      <c r="BS134" s="718"/>
      <c r="BT134" s="718"/>
      <c r="BU134" s="718"/>
      <c r="BV134" s="719"/>
    </row>
    <row r="135" customFormat="false" ht="15" hidden="false" customHeight="true" outlineLevel="0" collapsed="false">
      <c r="A135" s="720" t="n">
        <v>11.8</v>
      </c>
      <c r="B135" s="721" t="s">
        <v>4039</v>
      </c>
      <c r="C135" s="721" t="s">
        <v>4018</v>
      </c>
      <c r="D135" s="722" t="n">
        <v>20</v>
      </c>
      <c r="E135" s="723" t="n">
        <f aca="false">F130</f>
        <v>46778</v>
      </c>
      <c r="F135" s="723" t="n">
        <f aca="false">E135+D135</f>
        <v>46798</v>
      </c>
      <c r="G135" s="723" t="n">
        <v>46798</v>
      </c>
      <c r="H135" s="724" t="n">
        <f aca="false">IF($G135="","",$F135-$G135)</f>
        <v>0</v>
      </c>
      <c r="I135" s="720" t="n">
        <v>11.2</v>
      </c>
      <c r="J135" s="725" t="n">
        <f aca="false">$F$166-F135</f>
        <v>375</v>
      </c>
      <c r="K135" s="726" t="str">
        <f aca="false">IF($D135="","",IF($J135&lt;=0,"● CRITICAL",""))</f>
        <v/>
      </c>
      <c r="L135" s="727" t="n">
        <f aca="false">IF($B$4&gt;=F135,1,IF($B$4&lt;=E135,0,($B$4-E135)/(F135-E135)))</f>
        <v>0</v>
      </c>
      <c r="M135" s="721" t="str">
        <f aca="false">IF(L135&gt;=1,"Complete",IF(L135&gt;0,"In Progress","Not Started"))</f>
        <v>Not Started</v>
      </c>
      <c r="N135" s="728" t="s">
        <v>4019</v>
      </c>
      <c r="O135" s="717"/>
      <c r="P135" s="718"/>
      <c r="Q135" s="718"/>
      <c r="R135" s="718"/>
      <c r="S135" s="718"/>
      <c r="T135" s="718"/>
      <c r="U135" s="718"/>
      <c r="V135" s="718"/>
      <c r="W135" s="718"/>
      <c r="X135" s="718"/>
      <c r="Y135" s="718"/>
      <c r="Z135" s="718"/>
      <c r="AA135" s="718"/>
      <c r="AB135" s="718"/>
      <c r="AC135" s="718"/>
      <c r="AD135" s="718"/>
      <c r="AE135" s="718"/>
      <c r="AF135" s="718"/>
      <c r="AG135" s="718"/>
      <c r="AH135" s="718"/>
      <c r="AI135" s="718"/>
      <c r="AJ135" s="718"/>
      <c r="AK135" s="718"/>
      <c r="AL135" s="718"/>
      <c r="AM135" s="718"/>
      <c r="AN135" s="718"/>
      <c r="AO135" s="718"/>
      <c r="AP135" s="718"/>
      <c r="AQ135" s="718"/>
      <c r="AR135" s="718"/>
      <c r="AS135" s="718"/>
      <c r="AT135" s="718"/>
      <c r="AU135" s="718"/>
      <c r="AV135" s="718"/>
      <c r="AW135" s="718"/>
      <c r="AX135" s="718"/>
      <c r="AY135" s="730"/>
      <c r="AZ135" s="730"/>
      <c r="BA135" s="718"/>
      <c r="BB135" s="718"/>
      <c r="BC135" s="718"/>
      <c r="BD135" s="718"/>
      <c r="BE135" s="718"/>
      <c r="BF135" s="718"/>
      <c r="BG135" s="718"/>
      <c r="BH135" s="718"/>
      <c r="BI135" s="718"/>
      <c r="BJ135" s="718"/>
      <c r="BK135" s="718"/>
      <c r="BL135" s="718"/>
      <c r="BM135" s="718"/>
      <c r="BN135" s="718"/>
      <c r="BO135" s="718"/>
      <c r="BP135" s="718"/>
      <c r="BQ135" s="718"/>
      <c r="BR135" s="718"/>
      <c r="BS135" s="718"/>
      <c r="BT135" s="718"/>
      <c r="BU135" s="718"/>
      <c r="BV135" s="719"/>
    </row>
    <row r="136" customFormat="false" ht="15" hidden="false" customHeight="true" outlineLevel="0" collapsed="false">
      <c r="A136" s="720" t="n">
        <v>11.9</v>
      </c>
      <c r="B136" s="721" t="s">
        <v>4040</v>
      </c>
      <c r="C136" s="721" t="s">
        <v>4032</v>
      </c>
      <c r="D136" s="722" t="n">
        <v>20</v>
      </c>
      <c r="E136" s="723" t="n">
        <f aca="false">F133</f>
        <v>46863</v>
      </c>
      <c r="F136" s="723" t="n">
        <f aca="false">E136+D136</f>
        <v>46883</v>
      </c>
      <c r="G136" s="723" t="n">
        <v>46883</v>
      </c>
      <c r="H136" s="724" t="n">
        <f aca="false">IF($G136="","",$F136-$G136)</f>
        <v>0</v>
      </c>
      <c r="I136" s="720" t="n">
        <v>11.5</v>
      </c>
      <c r="J136" s="725" t="n">
        <f aca="false">$F$166-F136</f>
        <v>290</v>
      </c>
      <c r="K136" s="726" t="str">
        <f aca="false">IF($D136="","",IF($J136&lt;=0,"● CRITICAL",""))</f>
        <v/>
      </c>
      <c r="L136" s="727" t="n">
        <f aca="false">IF($B$4&gt;=F136,1,IF($B$4&lt;=E136,0,($B$4-E136)/(F136-E136)))</f>
        <v>0</v>
      </c>
      <c r="M136" s="721" t="str">
        <f aca="false">IF(L136&gt;=1,"Complete",IF(L136&gt;0,"In Progress","Not Started"))</f>
        <v>Not Started</v>
      </c>
      <c r="N136" s="728" t="s">
        <v>4030</v>
      </c>
      <c r="O136" s="717"/>
      <c r="P136" s="718"/>
      <c r="Q136" s="718"/>
      <c r="R136" s="718"/>
      <c r="S136" s="718"/>
      <c r="T136" s="718"/>
      <c r="U136" s="718"/>
      <c r="V136" s="718"/>
      <c r="W136" s="718"/>
      <c r="X136" s="718"/>
      <c r="Y136" s="718"/>
      <c r="Z136" s="718"/>
      <c r="AA136" s="718"/>
      <c r="AB136" s="718"/>
      <c r="AC136" s="718"/>
      <c r="AD136" s="718"/>
      <c r="AE136" s="718"/>
      <c r="AF136" s="718"/>
      <c r="AG136" s="718"/>
      <c r="AH136" s="718"/>
      <c r="AI136" s="718"/>
      <c r="AJ136" s="718"/>
      <c r="AK136" s="718"/>
      <c r="AL136" s="718"/>
      <c r="AM136" s="718"/>
      <c r="AN136" s="718"/>
      <c r="AO136" s="718"/>
      <c r="AP136" s="718"/>
      <c r="AQ136" s="718"/>
      <c r="AR136" s="718"/>
      <c r="AS136" s="718"/>
      <c r="AT136" s="718"/>
      <c r="AU136" s="718"/>
      <c r="AV136" s="718"/>
      <c r="AW136" s="718"/>
      <c r="AX136" s="718"/>
      <c r="AY136" s="718"/>
      <c r="AZ136" s="718"/>
      <c r="BA136" s="718"/>
      <c r="BB136" s="730"/>
      <c r="BC136" s="730"/>
      <c r="BD136" s="718"/>
      <c r="BE136" s="718"/>
      <c r="BF136" s="718"/>
      <c r="BG136" s="718"/>
      <c r="BH136" s="718"/>
      <c r="BI136" s="718"/>
      <c r="BJ136" s="718"/>
      <c r="BK136" s="718"/>
      <c r="BL136" s="718"/>
      <c r="BM136" s="718"/>
      <c r="BN136" s="718"/>
      <c r="BO136" s="718"/>
      <c r="BP136" s="718"/>
      <c r="BQ136" s="718"/>
      <c r="BR136" s="718"/>
      <c r="BS136" s="718"/>
      <c r="BT136" s="718"/>
      <c r="BU136" s="718"/>
      <c r="BV136" s="719"/>
    </row>
    <row r="137" customFormat="false" ht="15" hidden="false" customHeight="true" outlineLevel="0" collapsed="false">
      <c r="A137" s="720" t="n">
        <v>11.6</v>
      </c>
      <c r="B137" s="721" t="s">
        <v>4041</v>
      </c>
      <c r="C137" s="721" t="s">
        <v>3898</v>
      </c>
      <c r="D137" s="722" t="n">
        <v>75</v>
      </c>
      <c r="E137" s="723" t="n">
        <f aca="false">MAX(F130,F108)</f>
        <v>46918</v>
      </c>
      <c r="F137" s="723" t="n">
        <f aca="false">E137+D137</f>
        <v>46993</v>
      </c>
      <c r="G137" s="723" t="n">
        <v>46993</v>
      </c>
      <c r="H137" s="724" t="n">
        <f aca="false">IF($G137="","",$F137-$G137)</f>
        <v>0</v>
      </c>
      <c r="I137" s="720" t="s">
        <v>4042</v>
      </c>
      <c r="J137" s="725" t="n">
        <f aca="false">$F$166-F137</f>
        <v>180</v>
      </c>
      <c r="K137" s="726" t="str">
        <f aca="false">IF($D137="","",IF($J137&lt;=0,"● CRITICAL",""))</f>
        <v/>
      </c>
      <c r="L137" s="727" t="n">
        <f aca="false">IF($B$4&gt;=F137,1,IF($B$4&lt;=E137,0,($B$4-E137)/(F137-E137)))</f>
        <v>0</v>
      </c>
      <c r="M137" s="721" t="str">
        <f aca="false">IF(L137&gt;=1,"Complete",IF(L137&gt;0,"In Progress","Not Started"))</f>
        <v>Not Started</v>
      </c>
      <c r="N137" s="728" t="s">
        <v>3915</v>
      </c>
      <c r="O137" s="717"/>
      <c r="P137" s="718"/>
      <c r="Q137" s="718"/>
      <c r="R137" s="718"/>
      <c r="S137" s="718"/>
      <c r="T137" s="718"/>
      <c r="U137" s="718"/>
      <c r="V137" s="718"/>
      <c r="W137" s="718"/>
      <c r="X137" s="718"/>
      <c r="Y137" s="718"/>
      <c r="Z137" s="718"/>
      <c r="AA137" s="718"/>
      <c r="AB137" s="718"/>
      <c r="AC137" s="718"/>
      <c r="AD137" s="718"/>
      <c r="AE137" s="718"/>
      <c r="AF137" s="718"/>
      <c r="AG137" s="718"/>
      <c r="AH137" s="718"/>
      <c r="AI137" s="718"/>
      <c r="AJ137" s="718"/>
      <c r="AK137" s="718"/>
      <c r="AL137" s="718"/>
      <c r="AM137" s="718"/>
      <c r="AN137" s="718"/>
      <c r="AO137" s="718"/>
      <c r="AP137" s="718"/>
      <c r="AQ137" s="718"/>
      <c r="AR137" s="718"/>
      <c r="AS137" s="718"/>
      <c r="AT137" s="718"/>
      <c r="AU137" s="718"/>
      <c r="AV137" s="718"/>
      <c r="AW137" s="718"/>
      <c r="AX137" s="718"/>
      <c r="AY137" s="718"/>
      <c r="AZ137" s="718"/>
      <c r="BA137" s="718"/>
      <c r="BB137" s="718"/>
      <c r="BC137" s="718"/>
      <c r="BD137" s="730"/>
      <c r="BE137" s="730"/>
      <c r="BF137" s="730"/>
      <c r="BG137" s="718"/>
      <c r="BH137" s="718"/>
      <c r="BI137" s="718"/>
      <c r="BJ137" s="718"/>
      <c r="BK137" s="718"/>
      <c r="BL137" s="718"/>
      <c r="BM137" s="718"/>
      <c r="BN137" s="718"/>
      <c r="BO137" s="718"/>
      <c r="BP137" s="718"/>
      <c r="BQ137" s="718"/>
      <c r="BR137" s="718"/>
      <c r="BS137" s="718"/>
      <c r="BT137" s="718"/>
      <c r="BU137" s="718"/>
      <c r="BV137" s="719"/>
    </row>
    <row r="138" customFormat="false" ht="15" hidden="false" customHeight="true" outlineLevel="0" collapsed="false">
      <c r="A138" s="709" t="n">
        <v>12</v>
      </c>
      <c r="B138" s="710" t="s">
        <v>4043</v>
      </c>
      <c r="C138" s="710"/>
      <c r="D138" s="711" t="n">
        <f aca="false">F138-E138</f>
        <v>215</v>
      </c>
      <c r="E138" s="712" t="n">
        <f aca="false">MIN(E139:E146)</f>
        <v>46778</v>
      </c>
      <c r="F138" s="712" t="n">
        <f aca="false">MAX(F139:F146)</f>
        <v>46993</v>
      </c>
      <c r="G138" s="712" t="n">
        <v>46993</v>
      </c>
      <c r="H138" s="713" t="n">
        <f aca="false">IF($G138="","",$F138-$G138)</f>
        <v>0</v>
      </c>
      <c r="I138" s="709"/>
      <c r="J138" s="714"/>
      <c r="K138" s="710"/>
      <c r="L138" s="715" t="n">
        <f aca="false">IFERROR(SUMPRODUCT($D139:$D146,$L139:$L146)/SUM($D139:$D146),0)</f>
        <v>0</v>
      </c>
      <c r="M138" s="710" t="str">
        <f aca="false">IF(L138&gt;=1,"Complete",IF(L138&gt;0,"In Progress","Not Started"))</f>
        <v>Not Started</v>
      </c>
      <c r="N138" s="716" t="s">
        <v>4044</v>
      </c>
      <c r="O138" s="717"/>
      <c r="P138" s="718"/>
      <c r="Q138" s="718"/>
      <c r="R138" s="718"/>
      <c r="S138" s="718"/>
      <c r="T138" s="718"/>
      <c r="U138" s="718"/>
      <c r="V138" s="718"/>
      <c r="W138" s="718"/>
      <c r="X138" s="718"/>
      <c r="Y138" s="718"/>
      <c r="Z138" s="718"/>
      <c r="AA138" s="718"/>
      <c r="AB138" s="718"/>
      <c r="AC138" s="718"/>
      <c r="AD138" s="718"/>
      <c r="AE138" s="718"/>
      <c r="AF138" s="718"/>
      <c r="AG138" s="718"/>
      <c r="AH138" s="718"/>
      <c r="AI138" s="718"/>
      <c r="AJ138" s="718"/>
      <c r="AK138" s="718"/>
      <c r="AL138" s="718"/>
      <c r="AM138" s="718"/>
      <c r="AN138" s="718"/>
      <c r="AO138" s="718"/>
      <c r="AP138" s="718"/>
      <c r="AQ138" s="718"/>
      <c r="AR138" s="718"/>
      <c r="AS138" s="718"/>
      <c r="AT138" s="718"/>
      <c r="AU138" s="718"/>
      <c r="AV138" s="718"/>
      <c r="AW138" s="718"/>
      <c r="AX138" s="718"/>
      <c r="AY138" s="732"/>
      <c r="AZ138" s="732"/>
      <c r="BA138" s="732"/>
      <c r="BB138" s="732"/>
      <c r="BC138" s="732"/>
      <c r="BD138" s="732"/>
      <c r="BE138" s="732"/>
      <c r="BF138" s="732"/>
      <c r="BG138" s="718"/>
      <c r="BH138" s="718"/>
      <c r="BI138" s="718"/>
      <c r="BJ138" s="718"/>
      <c r="BK138" s="718"/>
      <c r="BL138" s="718"/>
      <c r="BM138" s="718"/>
      <c r="BN138" s="718"/>
      <c r="BO138" s="718"/>
      <c r="BP138" s="718"/>
      <c r="BQ138" s="718"/>
      <c r="BR138" s="718"/>
      <c r="BS138" s="718"/>
      <c r="BT138" s="718"/>
      <c r="BU138" s="718"/>
      <c r="BV138" s="719"/>
    </row>
    <row r="139" customFormat="false" ht="15" hidden="false" customHeight="true" outlineLevel="0" collapsed="false">
      <c r="A139" s="720" t="n">
        <v>12.1</v>
      </c>
      <c r="B139" s="721" t="s">
        <v>4045</v>
      </c>
      <c r="C139" s="721" t="s">
        <v>4046</v>
      </c>
      <c r="D139" s="722" t="n">
        <v>60</v>
      </c>
      <c r="E139" s="723" t="n">
        <f aca="false">MAX(F130,F56)</f>
        <v>46778</v>
      </c>
      <c r="F139" s="723" t="n">
        <f aca="false">E139+D139</f>
        <v>46838</v>
      </c>
      <c r="G139" s="723" t="n">
        <v>46838</v>
      </c>
      <c r="H139" s="724" t="n">
        <f aca="false">IF($G139="","",$F139-$G139)</f>
        <v>0</v>
      </c>
      <c r="I139" s="720" t="s">
        <v>4047</v>
      </c>
      <c r="J139" s="725" t="n">
        <f aca="false">MIN(E140)-F139</f>
        <v>0</v>
      </c>
      <c r="K139" s="726" t="str">
        <f aca="false">IF($D139="","",IF($J139&lt;=0,"● CRITICAL",""))</f>
        <v>● CRITICAL</v>
      </c>
      <c r="L139" s="727" t="n">
        <f aca="false">IF($B$4&gt;=F139,1,IF($B$4&lt;=E139,0,($B$4-E139)/(F139-E139)))</f>
        <v>0</v>
      </c>
      <c r="M139" s="721" t="str">
        <f aca="false">IF(L139&gt;=1,"Complete",IF(L139&gt;0,"In Progress","Not Started"))</f>
        <v>Not Started</v>
      </c>
      <c r="N139" s="728" t="s">
        <v>4048</v>
      </c>
      <c r="O139" s="717"/>
      <c r="P139" s="718"/>
      <c r="Q139" s="718"/>
      <c r="R139" s="718"/>
      <c r="S139" s="718"/>
      <c r="T139" s="718"/>
      <c r="U139" s="718"/>
      <c r="V139" s="718"/>
      <c r="W139" s="718"/>
      <c r="X139" s="718"/>
      <c r="Y139" s="718"/>
      <c r="Z139" s="718"/>
      <c r="AA139" s="718"/>
      <c r="AB139" s="718"/>
      <c r="AC139" s="718"/>
      <c r="AD139" s="718"/>
      <c r="AE139" s="718"/>
      <c r="AF139" s="718"/>
      <c r="AG139" s="718"/>
      <c r="AH139" s="718"/>
      <c r="AI139" s="718"/>
      <c r="AJ139" s="718"/>
      <c r="AK139" s="718"/>
      <c r="AL139" s="718"/>
      <c r="AM139" s="718"/>
      <c r="AN139" s="718"/>
      <c r="AO139" s="718"/>
      <c r="AP139" s="718"/>
      <c r="AQ139" s="718"/>
      <c r="AR139" s="718"/>
      <c r="AS139" s="718"/>
      <c r="AT139" s="718"/>
      <c r="AU139" s="718"/>
      <c r="AV139" s="718"/>
      <c r="AW139" s="718"/>
      <c r="AX139" s="718"/>
      <c r="AY139" s="733"/>
      <c r="AZ139" s="733"/>
      <c r="BA139" s="733"/>
      <c r="BB139" s="718"/>
      <c r="BC139" s="718"/>
      <c r="BD139" s="718"/>
      <c r="BE139" s="718"/>
      <c r="BF139" s="718"/>
      <c r="BG139" s="718"/>
      <c r="BH139" s="718"/>
      <c r="BI139" s="718"/>
      <c r="BJ139" s="718"/>
      <c r="BK139" s="718"/>
      <c r="BL139" s="718"/>
      <c r="BM139" s="718"/>
      <c r="BN139" s="718"/>
      <c r="BO139" s="718"/>
      <c r="BP139" s="718"/>
      <c r="BQ139" s="718"/>
      <c r="BR139" s="718"/>
      <c r="BS139" s="718"/>
      <c r="BT139" s="718"/>
      <c r="BU139" s="718"/>
      <c r="BV139" s="719"/>
    </row>
    <row r="140" customFormat="false" ht="15" hidden="false" customHeight="true" outlineLevel="0" collapsed="false">
      <c r="A140" s="720" t="n">
        <v>12.2</v>
      </c>
      <c r="B140" s="721" t="s">
        <v>4049</v>
      </c>
      <c r="C140" s="721" t="s">
        <v>4050</v>
      </c>
      <c r="D140" s="722" t="n">
        <v>45</v>
      </c>
      <c r="E140" s="723" t="n">
        <f aca="false">MAX(F139,F56)</f>
        <v>46838</v>
      </c>
      <c r="F140" s="723" t="n">
        <f aca="false">E140+D140</f>
        <v>46883</v>
      </c>
      <c r="G140" s="723" t="n">
        <v>46883</v>
      </c>
      <c r="H140" s="724" t="n">
        <f aca="false">IF($G140="","",$F140-$G140)</f>
        <v>0</v>
      </c>
      <c r="I140" s="720" t="s">
        <v>4051</v>
      </c>
      <c r="J140" s="725" t="n">
        <f aca="false">MIN(E141)-F140</f>
        <v>0</v>
      </c>
      <c r="K140" s="726" t="str">
        <f aca="false">IF($D140="","",IF($J140&lt;=0,"● CRITICAL",""))</f>
        <v>● CRITICAL</v>
      </c>
      <c r="L140" s="727" t="n">
        <f aca="false">IF($B$4&gt;=F140,1,IF($B$4&lt;=E140,0,($B$4-E140)/(F140-E140)))</f>
        <v>0</v>
      </c>
      <c r="M140" s="721" t="str">
        <f aca="false">IF(L140&gt;=1,"Complete",IF(L140&gt;0,"In Progress","Not Started"))</f>
        <v>Not Started</v>
      </c>
      <c r="N140" s="728" t="s">
        <v>3880</v>
      </c>
      <c r="O140" s="717"/>
      <c r="P140" s="718"/>
      <c r="Q140" s="718"/>
      <c r="R140" s="718"/>
      <c r="S140" s="718"/>
      <c r="T140" s="718"/>
      <c r="U140" s="718"/>
      <c r="V140" s="718"/>
      <c r="W140" s="718"/>
      <c r="X140" s="718"/>
      <c r="Y140" s="718"/>
      <c r="Z140" s="718"/>
      <c r="AA140" s="718"/>
      <c r="AB140" s="718"/>
      <c r="AC140" s="718"/>
      <c r="AD140" s="718"/>
      <c r="AE140" s="718"/>
      <c r="AF140" s="718"/>
      <c r="AG140" s="718"/>
      <c r="AH140" s="718"/>
      <c r="AI140" s="718"/>
      <c r="AJ140" s="718"/>
      <c r="AK140" s="718"/>
      <c r="AL140" s="718"/>
      <c r="AM140" s="718"/>
      <c r="AN140" s="718"/>
      <c r="AO140" s="718"/>
      <c r="AP140" s="718"/>
      <c r="AQ140" s="718"/>
      <c r="AR140" s="718"/>
      <c r="AS140" s="718"/>
      <c r="AT140" s="718"/>
      <c r="AU140" s="718"/>
      <c r="AV140" s="718"/>
      <c r="AW140" s="718"/>
      <c r="AX140" s="718"/>
      <c r="AY140" s="718"/>
      <c r="AZ140" s="718"/>
      <c r="BA140" s="718"/>
      <c r="BB140" s="718"/>
      <c r="BC140" s="718"/>
      <c r="BD140" s="718"/>
      <c r="BE140" s="718"/>
      <c r="BF140" s="718"/>
      <c r="BG140" s="718"/>
      <c r="BH140" s="718"/>
      <c r="BI140" s="718"/>
      <c r="BJ140" s="718"/>
      <c r="BK140" s="718"/>
      <c r="BL140" s="718"/>
      <c r="BM140" s="718"/>
      <c r="BN140" s="718"/>
      <c r="BO140" s="718"/>
      <c r="BP140" s="718"/>
      <c r="BQ140" s="718"/>
      <c r="BR140" s="718"/>
      <c r="BS140" s="718"/>
      <c r="BT140" s="718"/>
      <c r="BU140" s="718"/>
      <c r="BV140" s="719"/>
    </row>
    <row r="141" customFormat="false" ht="15" hidden="false" customHeight="true" outlineLevel="0" collapsed="false">
      <c r="A141" s="720" t="n">
        <v>12.3</v>
      </c>
      <c r="B141" s="721" t="s">
        <v>4052</v>
      </c>
      <c r="C141" s="721" t="s">
        <v>4050</v>
      </c>
      <c r="D141" s="722" t="n">
        <v>50</v>
      </c>
      <c r="E141" s="723" t="n">
        <f aca="false">MAX(F140,F56)</f>
        <v>46883</v>
      </c>
      <c r="F141" s="723" t="n">
        <f aca="false">E141+D141</f>
        <v>46933</v>
      </c>
      <c r="G141" s="723" t="n">
        <v>46933</v>
      </c>
      <c r="H141" s="724" t="n">
        <f aca="false">IF($G141="","",$F141-$G141)</f>
        <v>0</v>
      </c>
      <c r="I141" s="720" t="s">
        <v>4053</v>
      </c>
      <c r="J141" s="725" t="n">
        <f aca="false">MIN(E142)-F141</f>
        <v>0</v>
      </c>
      <c r="K141" s="726" t="str">
        <f aca="false">IF($D141="","",IF($J141&lt;=0,"● CRITICAL",""))</f>
        <v>● CRITICAL</v>
      </c>
      <c r="L141" s="727" t="n">
        <f aca="false">IF($B$4&gt;=F141,1,IF($B$4&lt;=E141,0,($B$4-E141)/(F141-E141)))</f>
        <v>0</v>
      </c>
      <c r="M141" s="721" t="str">
        <f aca="false">IF(L141&gt;=1,"Complete",IF(L141&gt;0,"In Progress","Not Started"))</f>
        <v>Not Started</v>
      </c>
      <c r="N141" s="728" t="s">
        <v>3880</v>
      </c>
      <c r="O141" s="717"/>
      <c r="P141" s="718"/>
      <c r="Q141" s="718"/>
      <c r="R141" s="718"/>
      <c r="S141" s="718"/>
      <c r="T141" s="718"/>
      <c r="U141" s="718"/>
      <c r="V141" s="718"/>
      <c r="W141" s="718"/>
      <c r="X141" s="718"/>
      <c r="Y141" s="718"/>
      <c r="Z141" s="718"/>
      <c r="AA141" s="718"/>
      <c r="AB141" s="718"/>
      <c r="AC141" s="718"/>
      <c r="AD141" s="718"/>
      <c r="AE141" s="718"/>
      <c r="AF141" s="718"/>
      <c r="AG141" s="718"/>
      <c r="AH141" s="718"/>
      <c r="AI141" s="718"/>
      <c r="AJ141" s="718"/>
      <c r="AK141" s="718"/>
      <c r="AL141" s="718"/>
      <c r="AM141" s="718"/>
      <c r="AN141" s="718"/>
      <c r="AO141" s="718"/>
      <c r="AP141" s="718"/>
      <c r="AQ141" s="718"/>
      <c r="AR141" s="718"/>
      <c r="AS141" s="718"/>
      <c r="AT141" s="718"/>
      <c r="AU141" s="718"/>
      <c r="AV141" s="718"/>
      <c r="AW141" s="718"/>
      <c r="AX141" s="718"/>
      <c r="AY141" s="718"/>
      <c r="AZ141" s="718"/>
      <c r="BA141" s="718"/>
      <c r="BB141" s="718"/>
      <c r="BC141" s="718"/>
      <c r="BD141" s="718"/>
      <c r="BE141" s="718"/>
      <c r="BF141" s="718"/>
      <c r="BG141" s="718"/>
      <c r="BH141" s="718"/>
      <c r="BI141" s="718"/>
      <c r="BJ141" s="718"/>
      <c r="BK141" s="718"/>
      <c r="BL141" s="718"/>
      <c r="BM141" s="718"/>
      <c r="BN141" s="718"/>
      <c r="BO141" s="718"/>
      <c r="BP141" s="718"/>
      <c r="BQ141" s="718"/>
      <c r="BR141" s="718"/>
      <c r="BS141" s="718"/>
      <c r="BT141" s="718"/>
      <c r="BU141" s="718"/>
      <c r="BV141" s="719"/>
    </row>
    <row r="142" customFormat="false" ht="15" hidden="false" customHeight="true" outlineLevel="0" collapsed="false">
      <c r="A142" s="720" t="n">
        <v>12.4</v>
      </c>
      <c r="B142" s="721" t="s">
        <v>4054</v>
      </c>
      <c r="C142" s="721" t="s">
        <v>4018</v>
      </c>
      <c r="D142" s="722" t="n">
        <v>60</v>
      </c>
      <c r="E142" s="723" t="n">
        <f aca="false">F141</f>
        <v>46933</v>
      </c>
      <c r="F142" s="723" t="n">
        <f aca="false">E142+D142</f>
        <v>46993</v>
      </c>
      <c r="G142" s="723" t="n">
        <v>46993</v>
      </c>
      <c r="H142" s="724" t="n">
        <f aca="false">IF($G142="","",$F142-$G142)</f>
        <v>0</v>
      </c>
      <c r="I142" s="720" t="n">
        <v>12.3</v>
      </c>
      <c r="J142" s="725" t="n">
        <f aca="false">MIN(E151)-F142</f>
        <v>85</v>
      </c>
      <c r="K142" s="726" t="str">
        <f aca="false">IF($D142="","",IF($J142&lt;=0,"● CRITICAL",""))</f>
        <v/>
      </c>
      <c r="L142" s="727" t="n">
        <f aca="false">IF($B$4&gt;=F142,1,IF($B$4&lt;=E142,0,($B$4-E142)/(F142-E142)))</f>
        <v>0</v>
      </c>
      <c r="M142" s="721" t="str">
        <f aca="false">IF(L142&gt;=1,"Complete",IF(L142&gt;0,"In Progress","Not Started"))</f>
        <v>Not Started</v>
      </c>
      <c r="N142" s="728" t="s">
        <v>3880</v>
      </c>
      <c r="O142" s="717"/>
      <c r="P142" s="718"/>
      <c r="Q142" s="718"/>
      <c r="R142" s="718"/>
      <c r="S142" s="718"/>
      <c r="T142" s="718"/>
      <c r="U142" s="718"/>
      <c r="V142" s="718"/>
      <c r="W142" s="718"/>
      <c r="X142" s="718"/>
      <c r="Y142" s="718"/>
      <c r="Z142" s="718"/>
      <c r="AA142" s="718"/>
      <c r="AB142" s="718"/>
      <c r="AC142" s="718"/>
      <c r="AD142" s="718"/>
      <c r="AE142" s="718"/>
      <c r="AF142" s="718"/>
      <c r="AG142" s="718"/>
      <c r="AH142" s="718"/>
      <c r="AI142" s="718"/>
      <c r="AJ142" s="718"/>
      <c r="AK142" s="718"/>
      <c r="AL142" s="718"/>
      <c r="AM142" s="718"/>
      <c r="AN142" s="718"/>
      <c r="AO142" s="718"/>
      <c r="AP142" s="718"/>
      <c r="AQ142" s="718"/>
      <c r="AR142" s="718"/>
      <c r="AS142" s="718"/>
      <c r="AT142" s="718"/>
      <c r="AU142" s="718"/>
      <c r="AV142" s="718"/>
      <c r="AW142" s="718"/>
      <c r="AX142" s="718"/>
      <c r="AY142" s="718"/>
      <c r="AZ142" s="718"/>
      <c r="BA142" s="718"/>
      <c r="BB142" s="718"/>
      <c r="BC142" s="718"/>
      <c r="BD142" s="718"/>
      <c r="BE142" s="718"/>
      <c r="BF142" s="718"/>
      <c r="BG142" s="718"/>
      <c r="BH142" s="718"/>
      <c r="BI142" s="718"/>
      <c r="BJ142" s="718"/>
      <c r="BK142" s="718"/>
      <c r="BL142" s="718"/>
      <c r="BM142" s="718"/>
      <c r="BN142" s="718"/>
      <c r="BO142" s="718"/>
      <c r="BP142" s="718"/>
      <c r="BQ142" s="718"/>
      <c r="BR142" s="718"/>
      <c r="BS142" s="718"/>
      <c r="BT142" s="718"/>
      <c r="BU142" s="718"/>
      <c r="BV142" s="719"/>
    </row>
    <row r="143" customFormat="false" ht="15" hidden="false" customHeight="true" outlineLevel="0" collapsed="false">
      <c r="A143" s="720" t="n">
        <v>12.6</v>
      </c>
      <c r="B143" s="721" t="s">
        <v>4055</v>
      </c>
      <c r="C143" s="721" t="s">
        <v>4046</v>
      </c>
      <c r="D143" s="722" t="n">
        <v>25</v>
      </c>
      <c r="E143" s="723" t="n">
        <f aca="false">F141</f>
        <v>46933</v>
      </c>
      <c r="F143" s="723" t="n">
        <f aca="false">E143+D143</f>
        <v>46958</v>
      </c>
      <c r="G143" s="723" t="n">
        <v>46958</v>
      </c>
      <c r="H143" s="724" t="n">
        <f aca="false">IF($G143="","",$F143-$G143)</f>
        <v>0</v>
      </c>
      <c r="I143" s="720" t="n">
        <v>12.3</v>
      </c>
      <c r="J143" s="725" t="n">
        <f aca="false">$F$166-F143</f>
        <v>215</v>
      </c>
      <c r="K143" s="726" t="str">
        <f aca="false">IF($D143="","",IF($J143&lt;=0,"● CRITICAL",""))</f>
        <v/>
      </c>
      <c r="L143" s="727" t="n">
        <f aca="false">IF($B$4&gt;=F143,1,IF($B$4&lt;=E143,0,($B$4-E143)/(F143-E143)))</f>
        <v>0</v>
      </c>
      <c r="M143" s="721" t="str">
        <f aca="false">IF(L143&gt;=1,"Complete",IF(L143&gt;0,"In Progress","Not Started"))</f>
        <v>Not Started</v>
      </c>
      <c r="N143" s="728" t="s">
        <v>4048</v>
      </c>
      <c r="O143" s="717"/>
      <c r="P143" s="718"/>
      <c r="Q143" s="718"/>
      <c r="R143" s="718"/>
      <c r="S143" s="718"/>
      <c r="T143" s="718"/>
      <c r="U143" s="718"/>
      <c r="V143" s="718"/>
      <c r="W143" s="718"/>
      <c r="X143" s="718"/>
      <c r="Y143" s="718"/>
      <c r="Z143" s="718"/>
      <c r="AA143" s="718"/>
      <c r="AB143" s="718"/>
      <c r="AC143" s="718"/>
      <c r="AD143" s="718"/>
      <c r="AE143" s="718"/>
      <c r="AF143" s="718"/>
      <c r="AG143" s="718"/>
      <c r="AH143" s="718"/>
      <c r="AI143" s="718"/>
      <c r="AJ143" s="718"/>
      <c r="AK143" s="718"/>
      <c r="AL143" s="718"/>
      <c r="AM143" s="718"/>
      <c r="AN143" s="718"/>
      <c r="AO143" s="718"/>
      <c r="AP143" s="718"/>
      <c r="AQ143" s="718"/>
      <c r="AR143" s="718"/>
      <c r="AS143" s="718"/>
      <c r="AT143" s="718"/>
      <c r="AU143" s="718"/>
      <c r="AV143" s="718"/>
      <c r="AW143" s="718"/>
      <c r="AX143" s="718"/>
      <c r="AY143" s="718"/>
      <c r="AZ143" s="718"/>
      <c r="BA143" s="718"/>
      <c r="BB143" s="718"/>
      <c r="BC143" s="718"/>
      <c r="BD143" s="730"/>
      <c r="BE143" s="730"/>
      <c r="BF143" s="718"/>
      <c r="BG143" s="718"/>
      <c r="BH143" s="718"/>
      <c r="BI143" s="718"/>
      <c r="BJ143" s="718"/>
      <c r="BK143" s="718"/>
      <c r="BL143" s="718"/>
      <c r="BM143" s="718"/>
      <c r="BN143" s="718"/>
      <c r="BO143" s="718"/>
      <c r="BP143" s="718"/>
      <c r="BQ143" s="718"/>
      <c r="BR143" s="718"/>
      <c r="BS143" s="718"/>
      <c r="BT143" s="718"/>
      <c r="BU143" s="718"/>
      <c r="BV143" s="719"/>
    </row>
    <row r="144" customFormat="false" ht="15" hidden="false" customHeight="true" outlineLevel="0" collapsed="false">
      <c r="A144" s="720" t="n">
        <v>12.7</v>
      </c>
      <c r="B144" s="721" t="s">
        <v>4056</v>
      </c>
      <c r="C144" s="721" t="s">
        <v>4050</v>
      </c>
      <c r="D144" s="722" t="n">
        <v>40</v>
      </c>
      <c r="E144" s="723" t="n">
        <f aca="false">F140</f>
        <v>46883</v>
      </c>
      <c r="F144" s="723" t="n">
        <f aca="false">E144+D144</f>
        <v>46923</v>
      </c>
      <c r="G144" s="723" t="n">
        <v>46923</v>
      </c>
      <c r="H144" s="724" t="n">
        <f aca="false">IF($G144="","",$F144-$G144)</f>
        <v>0</v>
      </c>
      <c r="I144" s="720" t="n">
        <v>12.2</v>
      </c>
      <c r="J144" s="725" t="n">
        <f aca="false">$F$166-F144</f>
        <v>250</v>
      </c>
      <c r="K144" s="726" t="str">
        <f aca="false">IF($D144="","",IF($J144&lt;=0,"● CRITICAL",""))</f>
        <v/>
      </c>
      <c r="L144" s="727" t="n">
        <f aca="false">IF($B$4&gt;=F144,1,IF($B$4&lt;=E144,0,($B$4-E144)/(F144-E144)))</f>
        <v>0</v>
      </c>
      <c r="M144" s="721" t="str">
        <f aca="false">IF(L144&gt;=1,"Complete",IF(L144&gt;0,"In Progress","Not Started"))</f>
        <v>Not Started</v>
      </c>
      <c r="N144" s="728" t="s">
        <v>3880</v>
      </c>
      <c r="O144" s="717"/>
      <c r="P144" s="718"/>
      <c r="Q144" s="718"/>
      <c r="R144" s="718"/>
      <c r="S144" s="718"/>
      <c r="T144" s="718"/>
      <c r="U144" s="718"/>
      <c r="V144" s="718"/>
      <c r="W144" s="718"/>
      <c r="X144" s="718"/>
      <c r="Y144" s="718"/>
      <c r="Z144" s="718"/>
      <c r="AA144" s="718"/>
      <c r="AB144" s="718"/>
      <c r="AC144" s="718"/>
      <c r="AD144" s="718"/>
      <c r="AE144" s="718"/>
      <c r="AF144" s="718"/>
      <c r="AG144" s="718"/>
      <c r="AH144" s="718"/>
      <c r="AI144" s="718"/>
      <c r="AJ144" s="718"/>
      <c r="AK144" s="718"/>
      <c r="AL144" s="718"/>
      <c r="AM144" s="718"/>
      <c r="AN144" s="718"/>
      <c r="AO144" s="718"/>
      <c r="AP144" s="718"/>
      <c r="AQ144" s="718"/>
      <c r="AR144" s="718"/>
      <c r="AS144" s="718"/>
      <c r="AT144" s="718"/>
      <c r="AU144" s="718"/>
      <c r="AV144" s="718"/>
      <c r="AW144" s="718"/>
      <c r="AX144" s="718"/>
      <c r="AY144" s="718"/>
      <c r="AZ144" s="718"/>
      <c r="BA144" s="718"/>
      <c r="BB144" s="718"/>
      <c r="BC144" s="730"/>
      <c r="BD144" s="730"/>
      <c r="BE144" s="718"/>
      <c r="BF144" s="718"/>
      <c r="BG144" s="718"/>
      <c r="BH144" s="718"/>
      <c r="BI144" s="718"/>
      <c r="BJ144" s="718"/>
      <c r="BK144" s="718"/>
      <c r="BL144" s="718"/>
      <c r="BM144" s="718"/>
      <c r="BN144" s="718"/>
      <c r="BO144" s="718"/>
      <c r="BP144" s="718"/>
      <c r="BQ144" s="718"/>
      <c r="BR144" s="718"/>
      <c r="BS144" s="718"/>
      <c r="BT144" s="718"/>
      <c r="BU144" s="718"/>
      <c r="BV144" s="719"/>
    </row>
    <row r="145" customFormat="false" ht="15" hidden="false" customHeight="true" outlineLevel="0" collapsed="false">
      <c r="A145" s="720" t="n">
        <v>12.8</v>
      </c>
      <c r="B145" s="721" t="s">
        <v>4057</v>
      </c>
      <c r="C145" s="721" t="s">
        <v>4050</v>
      </c>
      <c r="D145" s="722" t="n">
        <v>30</v>
      </c>
      <c r="E145" s="723" t="n">
        <f aca="false">F141</f>
        <v>46933</v>
      </c>
      <c r="F145" s="723" t="n">
        <f aca="false">E145+D145</f>
        <v>46963</v>
      </c>
      <c r="G145" s="723" t="n">
        <v>46963</v>
      </c>
      <c r="H145" s="724" t="n">
        <f aca="false">IF($G145="","",$F145-$G145)</f>
        <v>0</v>
      </c>
      <c r="I145" s="720" t="n">
        <v>12.3</v>
      </c>
      <c r="J145" s="725" t="n">
        <f aca="false">$F$166-F145</f>
        <v>210</v>
      </c>
      <c r="K145" s="726" t="str">
        <f aca="false">IF($D145="","",IF($J145&lt;=0,"● CRITICAL",""))</f>
        <v/>
      </c>
      <c r="L145" s="727" t="n">
        <f aca="false">IF($B$4&gt;=F145,1,IF($B$4&lt;=E145,0,($B$4-E145)/(F145-E145)))</f>
        <v>0</v>
      </c>
      <c r="M145" s="721" t="str">
        <f aca="false">IF(L145&gt;=1,"Complete",IF(L145&gt;0,"In Progress","Not Started"))</f>
        <v>Not Started</v>
      </c>
      <c r="N145" s="728" t="s">
        <v>3880</v>
      </c>
      <c r="O145" s="717"/>
      <c r="P145" s="718"/>
      <c r="Q145" s="718"/>
      <c r="R145" s="718"/>
      <c r="S145" s="718"/>
      <c r="T145" s="718"/>
      <c r="U145" s="718"/>
      <c r="V145" s="718"/>
      <c r="W145" s="718"/>
      <c r="X145" s="718"/>
      <c r="Y145" s="718"/>
      <c r="Z145" s="718"/>
      <c r="AA145" s="718"/>
      <c r="AB145" s="718"/>
      <c r="AC145" s="718"/>
      <c r="AD145" s="718"/>
      <c r="AE145" s="718"/>
      <c r="AF145" s="718"/>
      <c r="AG145" s="718"/>
      <c r="AH145" s="718"/>
      <c r="AI145" s="718"/>
      <c r="AJ145" s="718"/>
      <c r="AK145" s="718"/>
      <c r="AL145" s="718"/>
      <c r="AM145" s="718"/>
      <c r="AN145" s="718"/>
      <c r="AO145" s="718"/>
      <c r="AP145" s="718"/>
      <c r="AQ145" s="718"/>
      <c r="AR145" s="718"/>
      <c r="AS145" s="718"/>
      <c r="AT145" s="718"/>
      <c r="AU145" s="718"/>
      <c r="AV145" s="718"/>
      <c r="AW145" s="718"/>
      <c r="AX145" s="718"/>
      <c r="AY145" s="718"/>
      <c r="AZ145" s="718"/>
      <c r="BA145" s="718"/>
      <c r="BB145" s="718"/>
      <c r="BC145" s="718"/>
      <c r="BD145" s="730"/>
      <c r="BE145" s="730"/>
      <c r="BF145" s="718"/>
      <c r="BG145" s="718"/>
      <c r="BH145" s="718"/>
      <c r="BI145" s="718"/>
      <c r="BJ145" s="718"/>
      <c r="BK145" s="718"/>
      <c r="BL145" s="718"/>
      <c r="BM145" s="718"/>
      <c r="BN145" s="718"/>
      <c r="BO145" s="718"/>
      <c r="BP145" s="718"/>
      <c r="BQ145" s="718"/>
      <c r="BR145" s="718"/>
      <c r="BS145" s="718"/>
      <c r="BT145" s="718"/>
      <c r="BU145" s="718"/>
      <c r="BV145" s="719"/>
    </row>
    <row r="146" customFormat="false" ht="15" hidden="false" customHeight="true" outlineLevel="0" collapsed="false">
      <c r="A146" s="720" t="n">
        <v>12.5</v>
      </c>
      <c r="B146" s="721" t="s">
        <v>4058</v>
      </c>
      <c r="C146" s="721" t="s">
        <v>4059</v>
      </c>
      <c r="D146" s="722" t="n">
        <v>55</v>
      </c>
      <c r="E146" s="723" t="n">
        <f aca="false">F133</f>
        <v>46863</v>
      </c>
      <c r="F146" s="723" t="n">
        <f aca="false">E146+D146</f>
        <v>46918</v>
      </c>
      <c r="G146" s="723" t="n">
        <v>46918</v>
      </c>
      <c r="H146" s="724" t="n">
        <f aca="false">IF($G146="","",$F146-$G146)</f>
        <v>0</v>
      </c>
      <c r="I146" s="720" t="n">
        <v>11.5</v>
      </c>
      <c r="J146" s="725" t="n">
        <f aca="false">$F$166-F146</f>
        <v>255</v>
      </c>
      <c r="K146" s="726" t="str">
        <f aca="false">IF($D146="","",IF($J146&lt;=0,"● CRITICAL",""))</f>
        <v/>
      </c>
      <c r="L146" s="727" t="n">
        <f aca="false">IF($B$4&gt;=F146,1,IF($B$4&lt;=E146,0,($B$4-E146)/(F146-E146)))</f>
        <v>0</v>
      </c>
      <c r="M146" s="721" t="str">
        <f aca="false">IF(L146&gt;=1,"Complete",IF(L146&gt;0,"In Progress","Not Started"))</f>
        <v>Not Started</v>
      </c>
      <c r="N146" s="728" t="s">
        <v>4060</v>
      </c>
      <c r="O146" s="717"/>
      <c r="P146" s="718"/>
      <c r="Q146" s="718"/>
      <c r="R146" s="718"/>
      <c r="S146" s="718"/>
      <c r="T146" s="718"/>
      <c r="U146" s="718"/>
      <c r="V146" s="718"/>
      <c r="W146" s="718"/>
      <c r="X146" s="718"/>
      <c r="Y146" s="718"/>
      <c r="Z146" s="718"/>
      <c r="AA146" s="718"/>
      <c r="AB146" s="718"/>
      <c r="AC146" s="718"/>
      <c r="AD146" s="718"/>
      <c r="AE146" s="718"/>
      <c r="AF146" s="718"/>
      <c r="AG146" s="718"/>
      <c r="AH146" s="718"/>
      <c r="AI146" s="718"/>
      <c r="AJ146" s="718"/>
      <c r="AK146" s="718"/>
      <c r="AL146" s="718"/>
      <c r="AM146" s="718"/>
      <c r="AN146" s="718"/>
      <c r="AO146" s="718"/>
      <c r="AP146" s="718"/>
      <c r="AQ146" s="718"/>
      <c r="AR146" s="718"/>
      <c r="AS146" s="718"/>
      <c r="AT146" s="718"/>
      <c r="AU146" s="718"/>
      <c r="AV146" s="718"/>
      <c r="AW146" s="718"/>
      <c r="AX146" s="718"/>
      <c r="AY146" s="718"/>
      <c r="AZ146" s="718"/>
      <c r="BA146" s="718"/>
      <c r="BB146" s="718"/>
      <c r="BC146" s="718"/>
      <c r="BD146" s="718"/>
      <c r="BE146" s="718"/>
      <c r="BF146" s="718"/>
      <c r="BG146" s="718"/>
      <c r="BH146" s="718"/>
      <c r="BI146" s="718"/>
      <c r="BJ146" s="718"/>
      <c r="BK146" s="718"/>
      <c r="BL146" s="718"/>
      <c r="BM146" s="718"/>
      <c r="BN146" s="718"/>
      <c r="BO146" s="718"/>
      <c r="BP146" s="718"/>
      <c r="BQ146" s="718"/>
      <c r="BR146" s="718"/>
      <c r="BS146" s="718"/>
      <c r="BT146" s="718"/>
      <c r="BU146" s="718"/>
      <c r="BV146" s="719"/>
    </row>
    <row r="147" customFormat="false" ht="15" hidden="false" customHeight="true" outlineLevel="0" collapsed="false">
      <c r="A147" s="709" t="n">
        <v>13</v>
      </c>
      <c r="B147" s="710" t="s">
        <v>4061</v>
      </c>
      <c r="C147" s="710"/>
      <c r="D147" s="711" t="n">
        <f aca="false">F147-E147</f>
        <v>960</v>
      </c>
      <c r="E147" s="712" t="n">
        <f aca="false">MIN(E148:E156)</f>
        <v>46173</v>
      </c>
      <c r="F147" s="712" t="n">
        <f aca="false">MAX(F148:F156)</f>
        <v>47133</v>
      </c>
      <c r="G147" s="712" t="n">
        <v>47133</v>
      </c>
      <c r="H147" s="713" t="n">
        <f aca="false">IF($G147="","",$F147-$G147)</f>
        <v>0</v>
      </c>
      <c r="I147" s="709"/>
      <c r="J147" s="714"/>
      <c r="K147" s="710"/>
      <c r="L147" s="715" t="n">
        <f aca="false">IFERROR(SUMPRODUCT($D148:$D156,$L148:$L156)/SUM($D148:$D156),0)</f>
        <v>0.126530612244898</v>
      </c>
      <c r="M147" s="710" t="str">
        <f aca="false">IF(L147&gt;=1,"Complete",IF(L147&gt;0,"In Progress","Not Started"))</f>
        <v>In Progress</v>
      </c>
      <c r="N147" s="716" t="s">
        <v>4062</v>
      </c>
      <c r="O147" s="717"/>
      <c r="P147" s="718"/>
      <c r="Q147" s="718"/>
      <c r="R147" s="718"/>
      <c r="S147" s="718"/>
      <c r="T147" s="718"/>
      <c r="U147" s="718"/>
      <c r="V147" s="718"/>
      <c r="W147" s="718"/>
      <c r="X147" s="718"/>
      <c r="Y147" s="718"/>
      <c r="Z147" s="718"/>
      <c r="AA147" s="718"/>
      <c r="AB147" s="718"/>
      <c r="AC147" s="718"/>
      <c r="AD147" s="718"/>
      <c r="AE147" s="718"/>
      <c r="AF147" s="718"/>
      <c r="AG147" s="718"/>
      <c r="AH147" s="718"/>
      <c r="AI147" s="718"/>
      <c r="AJ147" s="718"/>
      <c r="AK147" s="718"/>
      <c r="AL147" s="718"/>
      <c r="AM147" s="718"/>
      <c r="AN147" s="718"/>
      <c r="AO147" s="718"/>
      <c r="AP147" s="718"/>
      <c r="AQ147" s="718"/>
      <c r="AR147" s="718"/>
      <c r="AS147" s="718"/>
      <c r="AT147" s="718"/>
      <c r="AU147" s="718"/>
      <c r="AV147" s="718"/>
      <c r="AW147" s="718"/>
      <c r="AX147" s="718"/>
      <c r="AY147" s="718"/>
      <c r="AZ147" s="718"/>
      <c r="BA147" s="718"/>
      <c r="BB147" s="718"/>
      <c r="BC147" s="718"/>
      <c r="BD147" s="718"/>
      <c r="BE147" s="718"/>
      <c r="BF147" s="718"/>
      <c r="BG147" s="718"/>
      <c r="BH147" s="718"/>
      <c r="BI147" s="718"/>
      <c r="BJ147" s="718"/>
      <c r="BK147" s="718"/>
      <c r="BL147" s="718"/>
      <c r="BM147" s="718"/>
      <c r="BN147" s="718"/>
      <c r="BO147" s="718"/>
      <c r="BP147" s="718"/>
      <c r="BQ147" s="718"/>
      <c r="BR147" s="718"/>
      <c r="BS147" s="718"/>
      <c r="BT147" s="718"/>
      <c r="BU147" s="718"/>
      <c r="BV147" s="719"/>
    </row>
    <row r="148" customFormat="false" ht="15" hidden="false" customHeight="true" outlineLevel="0" collapsed="false">
      <c r="A148" s="720" t="n">
        <v>13.1</v>
      </c>
      <c r="B148" s="721" t="s">
        <v>4063</v>
      </c>
      <c r="C148" s="721" t="s">
        <v>3853</v>
      </c>
      <c r="D148" s="722" t="n">
        <v>45</v>
      </c>
      <c r="E148" s="723" t="n">
        <f aca="false">F37</f>
        <v>46173</v>
      </c>
      <c r="F148" s="723" t="n">
        <f aca="false">E148+D148</f>
        <v>46218</v>
      </c>
      <c r="G148" s="723" t="n">
        <v>46218</v>
      </c>
      <c r="H148" s="724" t="n">
        <f aca="false">IF($G148="","",$F148-$G148)</f>
        <v>0</v>
      </c>
      <c r="I148" s="720" t="n">
        <v>3.6</v>
      </c>
      <c r="J148" s="725" t="n">
        <f aca="false">$F$166-F148</f>
        <v>955</v>
      </c>
      <c r="K148" s="726" t="str">
        <f aca="false">IF($D148="","",IF($J148&lt;=0,"● CRITICAL",""))</f>
        <v/>
      </c>
      <c r="L148" s="727" t="n">
        <f aca="false">IF($B$4&gt;=F148,1,IF($B$4&lt;=E148,0,($B$4-E148)/(F148-E148)))</f>
        <v>0.688888888888889</v>
      </c>
      <c r="M148" s="721" t="str">
        <f aca="false">IF(L148&gt;=1,"Complete",IF(L148&gt;0,"In Progress","Not Started"))</f>
        <v>In Progress</v>
      </c>
      <c r="N148" s="728" t="s">
        <v>3853</v>
      </c>
      <c r="O148" s="717"/>
      <c r="P148" s="718"/>
      <c r="Q148" s="718"/>
      <c r="R148" s="718"/>
      <c r="S148" s="718"/>
      <c r="T148" s="718"/>
      <c r="U148" s="718"/>
      <c r="V148" s="718"/>
      <c r="W148" s="718"/>
      <c r="X148" s="718"/>
      <c r="Y148" s="718"/>
      <c r="Z148" s="718"/>
      <c r="AA148" s="718"/>
      <c r="AB148" s="718"/>
      <c r="AC148" s="718"/>
      <c r="AD148" s="718"/>
      <c r="AE148" s="718"/>
      <c r="AF148" s="718"/>
      <c r="AG148" s="718"/>
      <c r="AH148" s="718"/>
      <c r="AI148" s="718"/>
      <c r="AJ148" s="718"/>
      <c r="AK148" s="718"/>
      <c r="AL148" s="718"/>
      <c r="AM148" s="718"/>
      <c r="AN148" s="718"/>
      <c r="AO148" s="718"/>
      <c r="AP148" s="718"/>
      <c r="AQ148" s="718"/>
      <c r="AR148" s="718"/>
      <c r="AS148" s="718"/>
      <c r="AT148" s="718"/>
      <c r="AU148" s="718"/>
      <c r="AV148" s="718"/>
      <c r="AW148" s="718"/>
      <c r="AX148" s="718"/>
      <c r="AY148" s="718"/>
      <c r="AZ148" s="718"/>
      <c r="BA148" s="718"/>
      <c r="BB148" s="718"/>
      <c r="BC148" s="718"/>
      <c r="BD148" s="718"/>
      <c r="BE148" s="718"/>
      <c r="BF148" s="718"/>
      <c r="BG148" s="718"/>
      <c r="BH148" s="718"/>
      <c r="BI148" s="718"/>
      <c r="BJ148" s="718"/>
      <c r="BK148" s="718"/>
      <c r="BL148" s="718"/>
      <c r="BM148" s="718"/>
      <c r="BN148" s="718"/>
      <c r="BO148" s="718"/>
      <c r="BP148" s="718"/>
      <c r="BQ148" s="718"/>
      <c r="BR148" s="718"/>
      <c r="BS148" s="718"/>
      <c r="BT148" s="718"/>
      <c r="BU148" s="718"/>
      <c r="BV148" s="719"/>
    </row>
    <row r="149" customFormat="false" ht="15" hidden="false" customHeight="true" outlineLevel="0" collapsed="false">
      <c r="A149" s="720" t="n">
        <v>13.2</v>
      </c>
      <c r="B149" s="721" t="s">
        <v>4064</v>
      </c>
      <c r="C149" s="721" t="s">
        <v>3853</v>
      </c>
      <c r="D149" s="722" t="n">
        <v>45</v>
      </c>
      <c r="E149" s="723" t="n">
        <f aca="false">F114</f>
        <v>46988</v>
      </c>
      <c r="F149" s="723" t="n">
        <f aca="false">E149+D149</f>
        <v>47033</v>
      </c>
      <c r="G149" s="723" t="n">
        <v>47033</v>
      </c>
      <c r="H149" s="724" t="n">
        <f aca="false">IF($G149="","",$F149-$G149)</f>
        <v>0</v>
      </c>
      <c r="I149" s="720" t="n">
        <v>9.11</v>
      </c>
      <c r="J149" s="725" t="n">
        <f aca="false">MIN(E150)-F149</f>
        <v>0</v>
      </c>
      <c r="K149" s="726" t="str">
        <f aca="false">IF($D149="","",IF($J149&lt;=0,"● CRITICAL",""))</f>
        <v>● CRITICAL</v>
      </c>
      <c r="L149" s="727" t="n">
        <f aca="false">IF($B$4&gt;=F149,1,IF($B$4&lt;=E149,0,($B$4-E149)/(F149-E149)))</f>
        <v>0</v>
      </c>
      <c r="M149" s="721" t="str">
        <f aca="false">IF(L149&gt;=1,"Complete",IF(L149&gt;0,"In Progress","Not Started"))</f>
        <v>Not Started</v>
      </c>
      <c r="N149" s="728" t="s">
        <v>3853</v>
      </c>
      <c r="O149" s="717"/>
      <c r="P149" s="718"/>
      <c r="Q149" s="718"/>
      <c r="R149" s="718"/>
      <c r="S149" s="718"/>
      <c r="T149" s="718"/>
      <c r="U149" s="718"/>
      <c r="V149" s="718"/>
      <c r="W149" s="718"/>
      <c r="X149" s="718"/>
      <c r="Y149" s="718"/>
      <c r="Z149" s="718"/>
      <c r="AA149" s="718"/>
      <c r="AB149" s="718"/>
      <c r="AC149" s="718"/>
      <c r="AD149" s="718"/>
      <c r="AE149" s="718"/>
      <c r="AF149" s="718"/>
      <c r="AG149" s="718"/>
      <c r="AH149" s="718"/>
      <c r="AI149" s="718"/>
      <c r="AJ149" s="718"/>
      <c r="AK149" s="718"/>
      <c r="AL149" s="718"/>
      <c r="AM149" s="718"/>
      <c r="AN149" s="718"/>
      <c r="AO149" s="718"/>
      <c r="AP149" s="718"/>
      <c r="AQ149" s="718"/>
      <c r="AR149" s="718"/>
      <c r="AS149" s="718"/>
      <c r="AT149" s="718"/>
      <c r="AU149" s="718"/>
      <c r="AV149" s="718"/>
      <c r="AW149" s="718"/>
      <c r="AX149" s="718"/>
      <c r="AY149" s="718"/>
      <c r="AZ149" s="718"/>
      <c r="BA149" s="718"/>
      <c r="BB149" s="718"/>
      <c r="BC149" s="718"/>
      <c r="BD149" s="718"/>
      <c r="BE149" s="718"/>
      <c r="BF149" s="718"/>
      <c r="BG149" s="718"/>
      <c r="BH149" s="718"/>
      <c r="BI149" s="718"/>
      <c r="BJ149" s="718"/>
      <c r="BK149" s="718"/>
      <c r="BL149" s="718"/>
      <c r="BM149" s="718"/>
      <c r="BN149" s="718"/>
      <c r="BO149" s="718"/>
      <c r="BP149" s="718"/>
      <c r="BQ149" s="718"/>
      <c r="BR149" s="718"/>
      <c r="BS149" s="718"/>
      <c r="BT149" s="718"/>
      <c r="BU149" s="718"/>
      <c r="BV149" s="719"/>
    </row>
    <row r="150" customFormat="false" ht="15" hidden="false" customHeight="true" outlineLevel="0" collapsed="false">
      <c r="A150" s="720" t="n">
        <v>13.3</v>
      </c>
      <c r="B150" s="721" t="s">
        <v>4065</v>
      </c>
      <c r="C150" s="721" t="s">
        <v>3853</v>
      </c>
      <c r="D150" s="722" t="n">
        <v>45</v>
      </c>
      <c r="E150" s="723" t="n">
        <f aca="false">MAX(F149,F127)</f>
        <v>47033</v>
      </c>
      <c r="F150" s="723" t="n">
        <f aca="false">E150+D150</f>
        <v>47078</v>
      </c>
      <c r="G150" s="723" t="n">
        <v>47078</v>
      </c>
      <c r="H150" s="724" t="n">
        <f aca="false">IF($G150="","",$F150-$G150)</f>
        <v>0</v>
      </c>
      <c r="I150" s="720" t="s">
        <v>4066</v>
      </c>
      <c r="J150" s="725" t="n">
        <f aca="false">MIN(E151)-F150</f>
        <v>0</v>
      </c>
      <c r="K150" s="726" t="str">
        <f aca="false">IF($D150="","",IF($J150&lt;=0,"● CRITICAL",""))</f>
        <v>● CRITICAL</v>
      </c>
      <c r="L150" s="727" t="n">
        <f aca="false">IF($B$4&gt;=F150,1,IF($B$4&lt;=E150,0,($B$4-E150)/(F150-E150)))</f>
        <v>0</v>
      </c>
      <c r="M150" s="721" t="str">
        <f aca="false">IF(L150&gt;=1,"Complete",IF(L150&gt;0,"In Progress","Not Started"))</f>
        <v>Not Started</v>
      </c>
      <c r="N150" s="728" t="s">
        <v>3853</v>
      </c>
      <c r="O150" s="717"/>
      <c r="P150" s="718"/>
      <c r="Q150" s="718"/>
      <c r="R150" s="718"/>
      <c r="S150" s="718"/>
      <c r="T150" s="718"/>
      <c r="U150" s="718"/>
      <c r="V150" s="718"/>
      <c r="W150" s="718"/>
      <c r="X150" s="718"/>
      <c r="Y150" s="718"/>
      <c r="Z150" s="718"/>
      <c r="AA150" s="718"/>
      <c r="AB150" s="718"/>
      <c r="AC150" s="718"/>
      <c r="AD150" s="718"/>
      <c r="AE150" s="718"/>
      <c r="AF150" s="718"/>
      <c r="AG150" s="718"/>
      <c r="AH150" s="718"/>
      <c r="AI150" s="718"/>
      <c r="AJ150" s="718"/>
      <c r="AK150" s="718"/>
      <c r="AL150" s="718"/>
      <c r="AM150" s="718"/>
      <c r="AN150" s="718"/>
      <c r="AO150" s="718"/>
      <c r="AP150" s="718"/>
      <c r="AQ150" s="718"/>
      <c r="AR150" s="718"/>
      <c r="AS150" s="718"/>
      <c r="AT150" s="718"/>
      <c r="AU150" s="718"/>
      <c r="AV150" s="718"/>
      <c r="AW150" s="718"/>
      <c r="AX150" s="718"/>
      <c r="AY150" s="718"/>
      <c r="AZ150" s="718"/>
      <c r="BA150" s="718"/>
      <c r="BB150" s="718"/>
      <c r="BC150" s="718"/>
      <c r="BD150" s="718"/>
      <c r="BE150" s="718"/>
      <c r="BF150" s="718"/>
      <c r="BG150" s="718"/>
      <c r="BH150" s="733"/>
      <c r="BI150" s="733"/>
      <c r="BJ150" s="718"/>
      <c r="BK150" s="718"/>
      <c r="BL150" s="718"/>
      <c r="BM150" s="718"/>
      <c r="BN150" s="718"/>
      <c r="BO150" s="718"/>
      <c r="BP150" s="718"/>
      <c r="BQ150" s="718"/>
      <c r="BR150" s="718"/>
      <c r="BS150" s="718"/>
      <c r="BT150" s="718"/>
      <c r="BU150" s="718"/>
      <c r="BV150" s="719"/>
    </row>
    <row r="151" customFormat="false" ht="15" hidden="false" customHeight="true" outlineLevel="0" collapsed="false">
      <c r="A151" s="720" t="n">
        <v>13.4</v>
      </c>
      <c r="B151" s="721" t="s">
        <v>4067</v>
      </c>
      <c r="C151" s="721" t="s">
        <v>3853</v>
      </c>
      <c r="D151" s="722" t="n">
        <v>30</v>
      </c>
      <c r="E151" s="723" t="n">
        <f aca="false">MAX(F150,F142)</f>
        <v>47078</v>
      </c>
      <c r="F151" s="723" t="n">
        <f aca="false">E151+D151</f>
        <v>47108</v>
      </c>
      <c r="G151" s="723" t="n">
        <v>47108</v>
      </c>
      <c r="H151" s="724" t="n">
        <f aca="false">IF($G151="","",$F151-$G151)</f>
        <v>0</v>
      </c>
      <c r="I151" s="720" t="s">
        <v>4068</v>
      </c>
      <c r="J151" s="725" t="n">
        <f aca="false">MIN(E152,E158)-F151</f>
        <v>0</v>
      </c>
      <c r="K151" s="726" t="str">
        <f aca="false">IF($D151="","",IF($J151&lt;=0,"● CRITICAL",""))</f>
        <v>● CRITICAL</v>
      </c>
      <c r="L151" s="727" t="n">
        <f aca="false">IF($B$4&gt;=F151,1,IF($B$4&lt;=E151,0,($B$4-E151)/(F151-E151)))</f>
        <v>0</v>
      </c>
      <c r="M151" s="721" t="str">
        <f aca="false">IF(L151&gt;=1,"Complete",IF(L151&gt;0,"In Progress","Not Started"))</f>
        <v>Not Started</v>
      </c>
      <c r="N151" s="728" t="s">
        <v>3853</v>
      </c>
      <c r="O151" s="717"/>
      <c r="P151" s="718"/>
      <c r="Q151" s="718"/>
      <c r="R151" s="718"/>
      <c r="S151" s="718"/>
      <c r="T151" s="718"/>
      <c r="U151" s="718"/>
      <c r="V151" s="718"/>
      <c r="W151" s="718"/>
      <c r="X151" s="718"/>
      <c r="Y151" s="718"/>
      <c r="Z151" s="718"/>
      <c r="AA151" s="718"/>
      <c r="AB151" s="718"/>
      <c r="AC151" s="718"/>
      <c r="AD151" s="718"/>
      <c r="AE151" s="718"/>
      <c r="AF151" s="718"/>
      <c r="AG151" s="718"/>
      <c r="AH151" s="718"/>
      <c r="AI151" s="718"/>
      <c r="AJ151" s="718"/>
      <c r="AK151" s="718"/>
      <c r="AL151" s="718"/>
      <c r="AM151" s="718"/>
      <c r="AN151" s="718"/>
      <c r="AO151" s="718"/>
      <c r="AP151" s="718"/>
      <c r="AQ151" s="718"/>
      <c r="AR151" s="718"/>
      <c r="AS151" s="718"/>
      <c r="AT151" s="718"/>
      <c r="AU151" s="718"/>
      <c r="AV151" s="718"/>
      <c r="AW151" s="718"/>
      <c r="AX151" s="718"/>
      <c r="AY151" s="718"/>
      <c r="AZ151" s="718"/>
      <c r="BA151" s="718"/>
      <c r="BB151" s="718"/>
      <c r="BC151" s="718"/>
      <c r="BD151" s="718"/>
      <c r="BE151" s="718"/>
      <c r="BF151" s="718"/>
      <c r="BG151" s="718"/>
      <c r="BH151" s="718"/>
      <c r="BI151" s="733"/>
      <c r="BJ151" s="733"/>
      <c r="BK151" s="718"/>
      <c r="BL151" s="718"/>
      <c r="BM151" s="718"/>
      <c r="BN151" s="718"/>
      <c r="BO151" s="718"/>
      <c r="BP151" s="718"/>
      <c r="BQ151" s="718"/>
      <c r="BR151" s="718"/>
      <c r="BS151" s="718"/>
      <c r="BT151" s="718"/>
      <c r="BU151" s="718"/>
      <c r="BV151" s="719"/>
    </row>
    <row r="152" customFormat="false" ht="15" hidden="false" customHeight="true" outlineLevel="0" collapsed="false">
      <c r="A152" s="720" t="n">
        <v>13.5</v>
      </c>
      <c r="B152" s="721" t="s">
        <v>4069</v>
      </c>
      <c r="C152" s="721" t="s">
        <v>3853</v>
      </c>
      <c r="D152" s="722" t="n">
        <v>25</v>
      </c>
      <c r="E152" s="723" t="n">
        <f aca="false">F151</f>
        <v>47108</v>
      </c>
      <c r="F152" s="723" t="n">
        <f aca="false">E152+D152</f>
        <v>47133</v>
      </c>
      <c r="G152" s="723" t="n">
        <v>47133</v>
      </c>
      <c r="H152" s="724" t="n">
        <f aca="false">IF($G152="","",$F152-$G152)</f>
        <v>0</v>
      </c>
      <c r="I152" s="720" t="n">
        <v>13.4</v>
      </c>
      <c r="J152" s="725" t="n">
        <f aca="false">MIN(E156)-F152</f>
        <v>0</v>
      </c>
      <c r="K152" s="726" t="str">
        <f aca="false">IF($D152="","",IF($J152&lt;=0,"● CRITICAL",""))</f>
        <v>● CRITICAL</v>
      </c>
      <c r="L152" s="727" t="n">
        <f aca="false">IF($B$4&gt;=F152,1,IF($B$4&lt;=E152,0,($B$4-E152)/(F152-E152)))</f>
        <v>0</v>
      </c>
      <c r="M152" s="721" t="str">
        <f aca="false">IF(L152&gt;=1,"Complete",IF(L152&gt;0,"In Progress","Not Started"))</f>
        <v>Not Started</v>
      </c>
      <c r="N152" s="728" t="s">
        <v>3853</v>
      </c>
      <c r="O152" s="717"/>
      <c r="P152" s="718"/>
      <c r="Q152" s="718"/>
      <c r="R152" s="718"/>
      <c r="S152" s="718"/>
      <c r="T152" s="718"/>
      <c r="U152" s="718"/>
      <c r="V152" s="718"/>
      <c r="W152" s="718"/>
      <c r="X152" s="718"/>
      <c r="Y152" s="718"/>
      <c r="Z152" s="718"/>
      <c r="AA152" s="718"/>
      <c r="AB152" s="718"/>
      <c r="AC152" s="718"/>
      <c r="AD152" s="718"/>
      <c r="AE152" s="718"/>
      <c r="AF152" s="718"/>
      <c r="AG152" s="718"/>
      <c r="AH152" s="718"/>
      <c r="AI152" s="718"/>
      <c r="AJ152" s="718"/>
      <c r="AK152" s="718"/>
      <c r="AL152" s="718"/>
      <c r="AM152" s="718"/>
      <c r="AN152" s="718"/>
      <c r="AO152" s="718"/>
      <c r="AP152" s="718"/>
      <c r="AQ152" s="718"/>
      <c r="AR152" s="718"/>
      <c r="AS152" s="718"/>
      <c r="AT152" s="718"/>
      <c r="AU152" s="718"/>
      <c r="AV152" s="718"/>
      <c r="AW152" s="718"/>
      <c r="AX152" s="718"/>
      <c r="AY152" s="718"/>
      <c r="AZ152" s="718"/>
      <c r="BA152" s="718"/>
      <c r="BB152" s="718"/>
      <c r="BC152" s="718"/>
      <c r="BD152" s="718"/>
      <c r="BE152" s="718"/>
      <c r="BF152" s="718"/>
      <c r="BG152" s="718"/>
      <c r="BH152" s="718"/>
      <c r="BI152" s="718"/>
      <c r="BJ152" s="733"/>
      <c r="BK152" s="733"/>
      <c r="BL152" s="718"/>
      <c r="BM152" s="718"/>
      <c r="BN152" s="718"/>
      <c r="BO152" s="718"/>
      <c r="BP152" s="718"/>
      <c r="BQ152" s="718"/>
      <c r="BR152" s="718"/>
      <c r="BS152" s="718"/>
      <c r="BT152" s="718"/>
      <c r="BU152" s="718"/>
      <c r="BV152" s="719"/>
    </row>
    <row r="153" customFormat="false" ht="15" hidden="false" customHeight="true" outlineLevel="0" collapsed="false">
      <c r="A153" s="720" t="n">
        <v>13.7</v>
      </c>
      <c r="B153" s="721" t="s">
        <v>4070</v>
      </c>
      <c r="C153" s="721" t="s">
        <v>3853</v>
      </c>
      <c r="D153" s="722" t="n">
        <v>20</v>
      </c>
      <c r="E153" s="723" t="n">
        <f aca="false">F150</f>
        <v>47078</v>
      </c>
      <c r="F153" s="723" t="n">
        <f aca="false">E153+D153</f>
        <v>47098</v>
      </c>
      <c r="G153" s="723" t="n">
        <v>47098</v>
      </c>
      <c r="H153" s="724" t="n">
        <f aca="false">IF($G153="","",$F153-$G153)</f>
        <v>0</v>
      </c>
      <c r="I153" s="720" t="n">
        <v>13.3</v>
      </c>
      <c r="J153" s="725" t="n">
        <f aca="false">$F$166-F153</f>
        <v>75</v>
      </c>
      <c r="K153" s="726" t="str">
        <f aca="false">IF($D153="","",IF($J153&lt;=0,"● CRITICAL",""))</f>
        <v/>
      </c>
      <c r="L153" s="727" t="n">
        <f aca="false">IF($B$4&gt;=F153,1,IF($B$4&lt;=E153,0,($B$4-E153)/(F153-E153)))</f>
        <v>0</v>
      </c>
      <c r="M153" s="721" t="str">
        <f aca="false">IF(L153&gt;=1,"Complete",IF(L153&gt;0,"In Progress","Not Started"))</f>
        <v>Not Started</v>
      </c>
      <c r="N153" s="728" t="s">
        <v>3853</v>
      </c>
      <c r="O153" s="717"/>
      <c r="P153" s="718"/>
      <c r="Q153" s="718"/>
      <c r="R153" s="718"/>
      <c r="S153" s="718"/>
      <c r="T153" s="718"/>
      <c r="U153" s="718"/>
      <c r="V153" s="718"/>
      <c r="W153" s="718"/>
      <c r="X153" s="718"/>
      <c r="Y153" s="718"/>
      <c r="Z153" s="718"/>
      <c r="AA153" s="718"/>
      <c r="AB153" s="718"/>
      <c r="AC153" s="718"/>
      <c r="AD153" s="718"/>
      <c r="AE153" s="718"/>
      <c r="AF153" s="718"/>
      <c r="AG153" s="718"/>
      <c r="AH153" s="718"/>
      <c r="AI153" s="718"/>
      <c r="AJ153" s="718"/>
      <c r="AK153" s="718"/>
      <c r="AL153" s="718"/>
      <c r="AM153" s="718"/>
      <c r="AN153" s="718"/>
      <c r="AO153" s="718"/>
      <c r="AP153" s="718"/>
      <c r="AQ153" s="718"/>
      <c r="AR153" s="718"/>
      <c r="AS153" s="718"/>
      <c r="AT153" s="718"/>
      <c r="AU153" s="718"/>
      <c r="AV153" s="718"/>
      <c r="AW153" s="718"/>
      <c r="AX153" s="718"/>
      <c r="AY153" s="718"/>
      <c r="AZ153" s="718"/>
      <c r="BA153" s="718"/>
      <c r="BB153" s="718"/>
      <c r="BC153" s="718"/>
      <c r="BD153" s="718"/>
      <c r="BE153" s="718"/>
      <c r="BF153" s="718"/>
      <c r="BG153" s="718"/>
      <c r="BH153" s="718"/>
      <c r="BI153" s="730"/>
      <c r="BJ153" s="730"/>
      <c r="BK153" s="718"/>
      <c r="BL153" s="718"/>
      <c r="BM153" s="718"/>
      <c r="BN153" s="718"/>
      <c r="BO153" s="718"/>
      <c r="BP153" s="718"/>
      <c r="BQ153" s="718"/>
      <c r="BR153" s="718"/>
      <c r="BS153" s="718"/>
      <c r="BT153" s="718"/>
      <c r="BU153" s="718"/>
      <c r="BV153" s="719"/>
    </row>
    <row r="154" customFormat="false" ht="15" hidden="false" customHeight="true" outlineLevel="0" collapsed="false">
      <c r="A154" s="720" t="n">
        <v>13.8</v>
      </c>
      <c r="B154" s="721" t="s">
        <v>4071</v>
      </c>
      <c r="C154" s="721" t="s">
        <v>3853</v>
      </c>
      <c r="D154" s="722" t="n">
        <v>15</v>
      </c>
      <c r="E154" s="723" t="n">
        <f aca="false">F151</f>
        <v>47108</v>
      </c>
      <c r="F154" s="723" t="n">
        <f aca="false">E154+D154</f>
        <v>47123</v>
      </c>
      <c r="G154" s="723" t="n">
        <v>47123</v>
      </c>
      <c r="H154" s="724" t="n">
        <f aca="false">IF($G154="","",$F154-$G154)</f>
        <v>0</v>
      </c>
      <c r="I154" s="720" t="n">
        <v>13.4</v>
      </c>
      <c r="J154" s="725" t="n">
        <f aca="false">$F$166-F154</f>
        <v>50</v>
      </c>
      <c r="K154" s="726" t="str">
        <f aca="false">IF($D154="","",IF($J154&lt;=0,"● CRITICAL",""))</f>
        <v/>
      </c>
      <c r="L154" s="727" t="n">
        <f aca="false">IF($B$4&gt;=F154,1,IF($B$4&lt;=E154,0,($B$4-E154)/(F154-E154)))</f>
        <v>0</v>
      </c>
      <c r="M154" s="721" t="str">
        <f aca="false">IF(L154&gt;=1,"Complete",IF(L154&gt;0,"In Progress","Not Started"))</f>
        <v>Not Started</v>
      </c>
      <c r="N154" s="728" t="s">
        <v>4072</v>
      </c>
      <c r="O154" s="717"/>
      <c r="P154" s="718"/>
      <c r="Q154" s="718"/>
      <c r="R154" s="718"/>
      <c r="S154" s="718"/>
      <c r="T154" s="718"/>
      <c r="U154" s="718"/>
      <c r="V154" s="718"/>
      <c r="W154" s="718"/>
      <c r="X154" s="718"/>
      <c r="Y154" s="718"/>
      <c r="Z154" s="718"/>
      <c r="AA154" s="718"/>
      <c r="AB154" s="718"/>
      <c r="AC154" s="718"/>
      <c r="AD154" s="718"/>
      <c r="AE154" s="718"/>
      <c r="AF154" s="718"/>
      <c r="AG154" s="718"/>
      <c r="AH154" s="718"/>
      <c r="AI154" s="718"/>
      <c r="AJ154" s="718"/>
      <c r="AK154" s="718"/>
      <c r="AL154" s="718"/>
      <c r="AM154" s="718"/>
      <c r="AN154" s="718"/>
      <c r="AO154" s="718"/>
      <c r="AP154" s="718"/>
      <c r="AQ154" s="718"/>
      <c r="AR154" s="718"/>
      <c r="AS154" s="718"/>
      <c r="AT154" s="718"/>
      <c r="AU154" s="718"/>
      <c r="AV154" s="718"/>
      <c r="AW154" s="718"/>
      <c r="AX154" s="718"/>
      <c r="AY154" s="718"/>
      <c r="AZ154" s="718"/>
      <c r="BA154" s="718"/>
      <c r="BB154" s="718"/>
      <c r="BC154" s="718"/>
      <c r="BD154" s="718"/>
      <c r="BE154" s="718"/>
      <c r="BF154" s="718"/>
      <c r="BG154" s="718"/>
      <c r="BH154" s="718"/>
      <c r="BI154" s="718"/>
      <c r="BJ154" s="730"/>
      <c r="BK154" s="730"/>
      <c r="BL154" s="718"/>
      <c r="BM154" s="718"/>
      <c r="BN154" s="718"/>
      <c r="BO154" s="718"/>
      <c r="BP154" s="718"/>
      <c r="BQ154" s="718"/>
      <c r="BR154" s="718"/>
      <c r="BS154" s="718"/>
      <c r="BT154" s="718"/>
      <c r="BU154" s="718"/>
      <c r="BV154" s="719"/>
    </row>
    <row r="155" customFormat="false" ht="15" hidden="false" customHeight="true" outlineLevel="0" collapsed="false">
      <c r="A155" s="720" t="n">
        <v>13.9</v>
      </c>
      <c r="B155" s="721" t="s">
        <v>4073</v>
      </c>
      <c r="C155" s="721" t="s">
        <v>3853</v>
      </c>
      <c r="D155" s="722" t="n">
        <v>20</v>
      </c>
      <c r="E155" s="723" t="n">
        <f aca="false">F151</f>
        <v>47108</v>
      </c>
      <c r="F155" s="723" t="n">
        <f aca="false">E155+D155</f>
        <v>47128</v>
      </c>
      <c r="G155" s="723" t="n">
        <v>47128</v>
      </c>
      <c r="H155" s="724" t="n">
        <f aca="false">IF($G155="","",$F155-$G155)</f>
        <v>0</v>
      </c>
      <c r="I155" s="720" t="n">
        <v>13.4</v>
      </c>
      <c r="J155" s="725" t="n">
        <f aca="false">$F$166-F155</f>
        <v>45</v>
      </c>
      <c r="K155" s="726" t="str">
        <f aca="false">IF($D155="","",IF($J155&lt;=0,"● CRITICAL",""))</f>
        <v/>
      </c>
      <c r="L155" s="727" t="n">
        <f aca="false">IF($B$4&gt;=F155,1,IF($B$4&lt;=E155,0,($B$4-E155)/(F155-E155)))</f>
        <v>0</v>
      </c>
      <c r="M155" s="721" t="str">
        <f aca="false">IF(L155&gt;=1,"Complete",IF(L155&gt;0,"In Progress","Not Started"))</f>
        <v>Not Started</v>
      </c>
      <c r="N155" s="728" t="s">
        <v>3853</v>
      </c>
      <c r="O155" s="717"/>
      <c r="P155" s="718"/>
      <c r="Q155" s="718"/>
      <c r="R155" s="718"/>
      <c r="S155" s="718"/>
      <c r="T155" s="718"/>
      <c r="U155" s="718"/>
      <c r="V155" s="718"/>
      <c r="W155" s="718"/>
      <c r="X155" s="718"/>
      <c r="Y155" s="718"/>
      <c r="Z155" s="718"/>
      <c r="AA155" s="718"/>
      <c r="AB155" s="718"/>
      <c r="AC155" s="718"/>
      <c r="AD155" s="718"/>
      <c r="AE155" s="718"/>
      <c r="AF155" s="718"/>
      <c r="AG155" s="718"/>
      <c r="AH155" s="718"/>
      <c r="AI155" s="718"/>
      <c r="AJ155" s="718"/>
      <c r="AK155" s="718"/>
      <c r="AL155" s="718"/>
      <c r="AM155" s="718"/>
      <c r="AN155" s="718"/>
      <c r="AO155" s="718"/>
      <c r="AP155" s="718"/>
      <c r="AQ155" s="718"/>
      <c r="AR155" s="718"/>
      <c r="AS155" s="718"/>
      <c r="AT155" s="718"/>
      <c r="AU155" s="718"/>
      <c r="AV155" s="718"/>
      <c r="AW155" s="718"/>
      <c r="AX155" s="718"/>
      <c r="AY155" s="718"/>
      <c r="AZ155" s="718"/>
      <c r="BA155" s="718"/>
      <c r="BB155" s="718"/>
      <c r="BC155" s="718"/>
      <c r="BD155" s="718"/>
      <c r="BE155" s="718"/>
      <c r="BF155" s="718"/>
      <c r="BG155" s="718"/>
      <c r="BH155" s="718"/>
      <c r="BI155" s="718"/>
      <c r="BJ155" s="730"/>
      <c r="BK155" s="730"/>
      <c r="BL155" s="718"/>
      <c r="BM155" s="718"/>
      <c r="BN155" s="718"/>
      <c r="BO155" s="718"/>
      <c r="BP155" s="718"/>
      <c r="BQ155" s="718"/>
      <c r="BR155" s="718"/>
      <c r="BS155" s="718"/>
      <c r="BT155" s="718"/>
      <c r="BU155" s="718"/>
      <c r="BV155" s="719"/>
    </row>
    <row r="156" customFormat="false" ht="15" hidden="false" customHeight="true" outlineLevel="0" collapsed="false">
      <c r="A156" s="720" t="n">
        <v>13.6</v>
      </c>
      <c r="B156" s="731" t="s">
        <v>4074</v>
      </c>
      <c r="C156" s="721" t="s">
        <v>85</v>
      </c>
      <c r="D156" s="722" t="n">
        <v>0</v>
      </c>
      <c r="E156" s="723" t="n">
        <f aca="false">F152</f>
        <v>47133</v>
      </c>
      <c r="F156" s="723" t="n">
        <f aca="false">E156+D156</f>
        <v>47133</v>
      </c>
      <c r="G156" s="723" t="n">
        <v>47133</v>
      </c>
      <c r="H156" s="724" t="n">
        <f aca="false">IF($G156="","",$F156-$G156)</f>
        <v>0</v>
      </c>
      <c r="I156" s="720" t="n">
        <v>13.5</v>
      </c>
      <c r="J156" s="725" t="n">
        <f aca="false">MIN(E160,E161)-F156</f>
        <v>0</v>
      </c>
      <c r="K156" s="726" t="str">
        <f aca="false">IF($D156="","",IF($J156&lt;=0,"● CRITICAL",""))</f>
        <v>● CRITICAL</v>
      </c>
      <c r="L156" s="727" t="n">
        <f aca="false">IF($B$4&gt;=F156,1,IF($B$4&lt;=E156,0,($B$4-E156)/(F156-E156)))</f>
        <v>0</v>
      </c>
      <c r="M156" s="721" t="str">
        <f aca="false">IF(L156&gt;=1,"Complete",IF(L156&gt;0,"In Progress","Not Started"))</f>
        <v>Not Started</v>
      </c>
      <c r="N156" s="728" t="s">
        <v>4072</v>
      </c>
      <c r="O156" s="717"/>
      <c r="P156" s="718"/>
      <c r="Q156" s="718"/>
      <c r="R156" s="718"/>
      <c r="S156" s="718"/>
      <c r="T156" s="718"/>
      <c r="U156" s="718"/>
      <c r="V156" s="718"/>
      <c r="W156" s="718"/>
      <c r="X156" s="718"/>
      <c r="Y156" s="718"/>
      <c r="Z156" s="718"/>
      <c r="AA156" s="718"/>
      <c r="AB156" s="718"/>
      <c r="AC156" s="718"/>
      <c r="AD156" s="718"/>
      <c r="AE156" s="718"/>
      <c r="AF156" s="718"/>
      <c r="AG156" s="718"/>
      <c r="AH156" s="718"/>
      <c r="AI156" s="718"/>
      <c r="AJ156" s="718"/>
      <c r="AK156" s="718"/>
      <c r="AL156" s="718"/>
      <c r="AM156" s="718"/>
      <c r="AN156" s="718"/>
      <c r="AO156" s="718"/>
      <c r="AP156" s="718"/>
      <c r="AQ156" s="718"/>
      <c r="AR156" s="718"/>
      <c r="AS156" s="718"/>
      <c r="AT156" s="718"/>
      <c r="AU156" s="718"/>
      <c r="AV156" s="718"/>
      <c r="AW156" s="718"/>
      <c r="AX156" s="718"/>
      <c r="AY156" s="718"/>
      <c r="AZ156" s="718"/>
      <c r="BA156" s="718"/>
      <c r="BB156" s="718"/>
      <c r="BC156" s="718"/>
      <c r="BD156" s="718"/>
      <c r="BE156" s="718"/>
      <c r="BF156" s="718"/>
      <c r="BG156" s="718"/>
      <c r="BH156" s="718"/>
      <c r="BI156" s="718"/>
      <c r="BJ156" s="718"/>
      <c r="BK156" s="718"/>
      <c r="BL156" s="718"/>
      <c r="BM156" s="718"/>
      <c r="BN156" s="718"/>
      <c r="BO156" s="718"/>
      <c r="BP156" s="718"/>
      <c r="BQ156" s="718"/>
      <c r="BR156" s="718"/>
      <c r="BS156" s="718"/>
      <c r="BT156" s="718"/>
      <c r="BU156" s="718"/>
      <c r="BV156" s="719"/>
    </row>
    <row r="157" customFormat="false" ht="15" hidden="false" customHeight="true" outlineLevel="0" collapsed="false">
      <c r="A157" s="709" t="n">
        <v>14</v>
      </c>
      <c r="B157" s="710" t="s">
        <v>4075</v>
      </c>
      <c r="C157" s="710"/>
      <c r="D157" s="711" t="n">
        <f aca="false">F157-E157</f>
        <v>65</v>
      </c>
      <c r="E157" s="712" t="n">
        <f aca="false">MIN(E158:E166)</f>
        <v>47108</v>
      </c>
      <c r="F157" s="712" t="n">
        <f aca="false">MAX(F158:F166)</f>
        <v>47173</v>
      </c>
      <c r="G157" s="712" t="n">
        <v>47173</v>
      </c>
      <c r="H157" s="713" t="n">
        <f aca="false">IF($G157="","",$F157-$G157)</f>
        <v>0</v>
      </c>
      <c r="I157" s="709"/>
      <c r="J157" s="714"/>
      <c r="K157" s="710"/>
      <c r="L157" s="715" t="n">
        <f aca="false">IFERROR(SUMPRODUCT($D158:$D166,$L158:$L166)/SUM($D158:$D166),0)</f>
        <v>0</v>
      </c>
      <c r="M157" s="710" t="str">
        <f aca="false">IF(L157&gt;=1,"Complete",IF(L157&gt;0,"In Progress","Not Started"))</f>
        <v>Not Started</v>
      </c>
      <c r="N157" s="716" t="s">
        <v>4076</v>
      </c>
      <c r="O157" s="717"/>
      <c r="P157" s="718"/>
      <c r="Q157" s="718"/>
      <c r="R157" s="718"/>
      <c r="S157" s="718"/>
      <c r="T157" s="718"/>
      <c r="U157" s="718"/>
      <c r="V157" s="718"/>
      <c r="W157" s="718"/>
      <c r="X157" s="718"/>
      <c r="Y157" s="718"/>
      <c r="Z157" s="718"/>
      <c r="AA157" s="718"/>
      <c r="AB157" s="718"/>
      <c r="AC157" s="718"/>
      <c r="AD157" s="718"/>
      <c r="AE157" s="718"/>
      <c r="AF157" s="718"/>
      <c r="AG157" s="718"/>
      <c r="AH157" s="718"/>
      <c r="AI157" s="718"/>
      <c r="AJ157" s="718"/>
      <c r="AK157" s="718"/>
      <c r="AL157" s="718"/>
      <c r="AM157" s="718"/>
      <c r="AN157" s="718"/>
      <c r="AO157" s="718"/>
      <c r="AP157" s="718"/>
      <c r="AQ157" s="718"/>
      <c r="AR157" s="718"/>
      <c r="AS157" s="718"/>
      <c r="AT157" s="718"/>
      <c r="AU157" s="718"/>
      <c r="AV157" s="718"/>
      <c r="AW157" s="718"/>
      <c r="AX157" s="718"/>
      <c r="AY157" s="718"/>
      <c r="AZ157" s="718"/>
      <c r="BA157" s="718"/>
      <c r="BB157" s="718"/>
      <c r="BC157" s="718"/>
      <c r="BD157" s="718"/>
      <c r="BE157" s="718"/>
      <c r="BF157" s="718"/>
      <c r="BG157" s="718"/>
      <c r="BH157" s="718"/>
      <c r="BI157" s="718"/>
      <c r="BJ157" s="732"/>
      <c r="BK157" s="732"/>
      <c r="BL157" s="732"/>
      <c r="BM157" s="718"/>
      <c r="BN157" s="718"/>
      <c r="BO157" s="718"/>
      <c r="BP157" s="718"/>
      <c r="BQ157" s="718"/>
      <c r="BR157" s="718"/>
      <c r="BS157" s="718"/>
      <c r="BT157" s="718"/>
      <c r="BU157" s="718"/>
      <c r="BV157" s="719"/>
    </row>
    <row r="158" customFormat="false" ht="15" hidden="false" customHeight="true" outlineLevel="0" collapsed="false">
      <c r="A158" s="720" t="n">
        <v>14.1</v>
      </c>
      <c r="B158" s="721" t="s">
        <v>4077</v>
      </c>
      <c r="C158" s="721" t="s">
        <v>319</v>
      </c>
      <c r="D158" s="722" t="n">
        <v>30</v>
      </c>
      <c r="E158" s="723" t="n">
        <f aca="false">F151</f>
        <v>47108</v>
      </c>
      <c r="F158" s="723" t="n">
        <f aca="false">E158+D158</f>
        <v>47138</v>
      </c>
      <c r="G158" s="723" t="n">
        <v>47138</v>
      </c>
      <c r="H158" s="724" t="n">
        <f aca="false">IF($G158="","",$F158-$G158)</f>
        <v>0</v>
      </c>
      <c r="I158" s="720" t="n">
        <v>13.4</v>
      </c>
      <c r="J158" s="725" t="n">
        <f aca="false">MIN(E159)-F158</f>
        <v>0</v>
      </c>
      <c r="K158" s="726" t="str">
        <f aca="false">IF($D158="","",IF($J158&lt;=0,"● CRITICAL",""))</f>
        <v>● CRITICAL</v>
      </c>
      <c r="L158" s="727" t="n">
        <f aca="false">IF($B$4&gt;=F158,1,IF($B$4&lt;=E158,0,($B$4-E158)/(F158-E158)))</f>
        <v>0</v>
      </c>
      <c r="M158" s="721" t="str">
        <f aca="false">IF(L158&gt;=1,"Complete",IF(L158&gt;0,"In Progress","Not Started"))</f>
        <v>Not Started</v>
      </c>
      <c r="N158" s="728" t="s">
        <v>319</v>
      </c>
      <c r="O158" s="717"/>
      <c r="P158" s="718"/>
      <c r="Q158" s="718"/>
      <c r="R158" s="718"/>
      <c r="S158" s="718"/>
      <c r="T158" s="718"/>
      <c r="U158" s="718"/>
      <c r="V158" s="718"/>
      <c r="W158" s="718"/>
      <c r="X158" s="718"/>
      <c r="Y158" s="718"/>
      <c r="Z158" s="718"/>
      <c r="AA158" s="718"/>
      <c r="AB158" s="718"/>
      <c r="AC158" s="718"/>
      <c r="AD158" s="718"/>
      <c r="AE158" s="718"/>
      <c r="AF158" s="718"/>
      <c r="AG158" s="718"/>
      <c r="AH158" s="718"/>
      <c r="AI158" s="718"/>
      <c r="AJ158" s="718"/>
      <c r="AK158" s="718"/>
      <c r="AL158" s="718"/>
      <c r="AM158" s="718"/>
      <c r="AN158" s="718"/>
      <c r="AO158" s="718"/>
      <c r="AP158" s="718"/>
      <c r="AQ158" s="718"/>
      <c r="AR158" s="718"/>
      <c r="AS158" s="718"/>
      <c r="AT158" s="718"/>
      <c r="AU158" s="718"/>
      <c r="AV158" s="718"/>
      <c r="AW158" s="718"/>
      <c r="AX158" s="718"/>
      <c r="AY158" s="718"/>
      <c r="AZ158" s="718"/>
      <c r="BA158" s="718"/>
      <c r="BB158" s="718"/>
      <c r="BC158" s="718"/>
      <c r="BD158" s="718"/>
      <c r="BE158" s="718"/>
      <c r="BF158" s="718"/>
      <c r="BG158" s="718"/>
      <c r="BH158" s="718"/>
      <c r="BI158" s="718"/>
      <c r="BJ158" s="733"/>
      <c r="BK158" s="733"/>
      <c r="BL158" s="718"/>
      <c r="BM158" s="718"/>
      <c r="BN158" s="718"/>
      <c r="BO158" s="718"/>
      <c r="BP158" s="718"/>
      <c r="BQ158" s="718"/>
      <c r="BR158" s="718"/>
      <c r="BS158" s="718"/>
      <c r="BT158" s="718"/>
      <c r="BU158" s="718"/>
      <c r="BV158" s="719"/>
    </row>
    <row r="159" customFormat="false" ht="15" hidden="false" customHeight="true" outlineLevel="0" collapsed="false">
      <c r="A159" s="720" t="n">
        <v>14.2</v>
      </c>
      <c r="B159" s="721" t="s">
        <v>4078</v>
      </c>
      <c r="C159" s="721" t="s">
        <v>3835</v>
      </c>
      <c r="D159" s="722" t="n">
        <v>20</v>
      </c>
      <c r="E159" s="723" t="n">
        <f aca="false">F158</f>
        <v>47138</v>
      </c>
      <c r="F159" s="723" t="n">
        <f aca="false">E159+D159</f>
        <v>47158</v>
      </c>
      <c r="G159" s="723" t="n">
        <v>47158</v>
      </c>
      <c r="H159" s="724" t="n">
        <f aca="false">IF($G159="","",$F159-$G159)</f>
        <v>0</v>
      </c>
      <c r="I159" s="720" t="n">
        <v>14.1</v>
      </c>
      <c r="J159" s="725" t="n">
        <f aca="false">MIN(E162)-F159</f>
        <v>0</v>
      </c>
      <c r="K159" s="726" t="str">
        <f aca="false">IF($D159="","",IF($J159&lt;=0,"● CRITICAL",""))</f>
        <v>● CRITICAL</v>
      </c>
      <c r="L159" s="727" t="n">
        <f aca="false">IF($B$4&gt;=F159,1,IF($B$4&lt;=E159,0,($B$4-E159)/(F159-E159)))</f>
        <v>0</v>
      </c>
      <c r="M159" s="721" t="str">
        <f aca="false">IF(L159&gt;=1,"Complete",IF(L159&gt;0,"In Progress","Not Started"))</f>
        <v>Not Started</v>
      </c>
      <c r="N159" s="728" t="s">
        <v>4079</v>
      </c>
      <c r="O159" s="717"/>
      <c r="P159" s="718"/>
      <c r="Q159" s="718"/>
      <c r="R159" s="718"/>
      <c r="S159" s="718"/>
      <c r="T159" s="718"/>
      <c r="U159" s="718"/>
      <c r="V159" s="718"/>
      <c r="W159" s="718"/>
      <c r="X159" s="718"/>
      <c r="Y159" s="718"/>
      <c r="Z159" s="718"/>
      <c r="AA159" s="718"/>
      <c r="AB159" s="718"/>
      <c r="AC159" s="718"/>
      <c r="AD159" s="718"/>
      <c r="AE159" s="718"/>
      <c r="AF159" s="718"/>
      <c r="AG159" s="718"/>
      <c r="AH159" s="718"/>
      <c r="AI159" s="718"/>
      <c r="AJ159" s="718"/>
      <c r="AK159" s="718"/>
      <c r="AL159" s="718"/>
      <c r="AM159" s="718"/>
      <c r="AN159" s="718"/>
      <c r="AO159" s="718"/>
      <c r="AP159" s="718"/>
      <c r="AQ159" s="718"/>
      <c r="AR159" s="718"/>
      <c r="AS159" s="718"/>
      <c r="AT159" s="718"/>
      <c r="AU159" s="718"/>
      <c r="AV159" s="718"/>
      <c r="AW159" s="718"/>
      <c r="AX159" s="718"/>
      <c r="AY159" s="718"/>
      <c r="AZ159" s="718"/>
      <c r="BA159" s="718"/>
      <c r="BB159" s="718"/>
      <c r="BC159" s="718"/>
      <c r="BD159" s="718"/>
      <c r="BE159" s="718"/>
      <c r="BF159" s="718"/>
      <c r="BG159" s="718"/>
      <c r="BH159" s="718"/>
      <c r="BI159" s="718"/>
      <c r="BJ159" s="718"/>
      <c r="BK159" s="733"/>
      <c r="BL159" s="733"/>
      <c r="BM159" s="718"/>
      <c r="BN159" s="718"/>
      <c r="BO159" s="718"/>
      <c r="BP159" s="718"/>
      <c r="BQ159" s="718"/>
      <c r="BR159" s="718"/>
      <c r="BS159" s="718"/>
      <c r="BT159" s="718"/>
      <c r="BU159" s="718"/>
      <c r="BV159" s="719"/>
    </row>
    <row r="160" customFormat="false" ht="15" hidden="false" customHeight="true" outlineLevel="0" collapsed="false">
      <c r="A160" s="720" t="n">
        <v>14.3</v>
      </c>
      <c r="B160" s="721" t="s">
        <v>4080</v>
      </c>
      <c r="C160" s="721" t="s">
        <v>319</v>
      </c>
      <c r="D160" s="722" t="n">
        <v>25</v>
      </c>
      <c r="E160" s="723" t="n">
        <f aca="false">F156</f>
        <v>47133</v>
      </c>
      <c r="F160" s="723" t="n">
        <f aca="false">E160+D160</f>
        <v>47158</v>
      </c>
      <c r="G160" s="723" t="n">
        <v>47158</v>
      </c>
      <c r="H160" s="724" t="n">
        <f aca="false">IF($G160="","",$F160-$G160)</f>
        <v>0</v>
      </c>
      <c r="I160" s="720" t="n">
        <v>13.6</v>
      </c>
      <c r="J160" s="725" t="n">
        <f aca="false">$F$166-F160</f>
        <v>15</v>
      </c>
      <c r="K160" s="726" t="str">
        <f aca="false">IF($D160="","",IF($J160&lt;=0,"● CRITICAL",""))</f>
        <v/>
      </c>
      <c r="L160" s="727" t="n">
        <f aca="false">IF($B$4&gt;=F160,1,IF($B$4&lt;=E160,0,($B$4-E160)/(F160-E160)))</f>
        <v>0</v>
      </c>
      <c r="M160" s="721" t="str">
        <f aca="false">IF(L160&gt;=1,"Complete",IF(L160&gt;0,"In Progress","Not Started"))</f>
        <v>Not Started</v>
      </c>
      <c r="N160" s="728" t="s">
        <v>4076</v>
      </c>
      <c r="O160" s="717"/>
      <c r="P160" s="718"/>
      <c r="Q160" s="718"/>
      <c r="R160" s="718"/>
      <c r="S160" s="718"/>
      <c r="T160" s="718"/>
      <c r="U160" s="718"/>
      <c r="V160" s="718"/>
      <c r="W160" s="718"/>
      <c r="X160" s="718"/>
      <c r="Y160" s="718"/>
      <c r="Z160" s="718"/>
      <c r="AA160" s="718"/>
      <c r="AB160" s="718"/>
      <c r="AC160" s="718"/>
      <c r="AD160" s="718"/>
      <c r="AE160" s="718"/>
      <c r="AF160" s="718"/>
      <c r="AG160" s="718"/>
      <c r="AH160" s="718"/>
      <c r="AI160" s="718"/>
      <c r="AJ160" s="718"/>
      <c r="AK160" s="718"/>
      <c r="AL160" s="718"/>
      <c r="AM160" s="718"/>
      <c r="AN160" s="718"/>
      <c r="AO160" s="718"/>
      <c r="AP160" s="718"/>
      <c r="AQ160" s="718"/>
      <c r="AR160" s="718"/>
      <c r="AS160" s="718"/>
      <c r="AT160" s="718"/>
      <c r="AU160" s="718"/>
      <c r="AV160" s="718"/>
      <c r="AW160" s="718"/>
      <c r="AX160" s="718"/>
      <c r="AY160" s="718"/>
      <c r="AZ160" s="718"/>
      <c r="BA160" s="718"/>
      <c r="BB160" s="718"/>
      <c r="BC160" s="718"/>
      <c r="BD160" s="718"/>
      <c r="BE160" s="718"/>
      <c r="BF160" s="718"/>
      <c r="BG160" s="718"/>
      <c r="BH160" s="718"/>
      <c r="BI160" s="718"/>
      <c r="BJ160" s="718"/>
      <c r="BK160" s="718"/>
      <c r="BL160" s="718"/>
      <c r="BM160" s="718"/>
      <c r="BN160" s="718"/>
      <c r="BO160" s="718"/>
      <c r="BP160" s="718"/>
      <c r="BQ160" s="718"/>
      <c r="BR160" s="718"/>
      <c r="BS160" s="718"/>
      <c r="BT160" s="718"/>
      <c r="BU160" s="718"/>
      <c r="BV160" s="719"/>
    </row>
    <row r="161" customFormat="false" ht="15" hidden="false" customHeight="true" outlineLevel="0" collapsed="false">
      <c r="A161" s="720" t="n">
        <v>14.4</v>
      </c>
      <c r="B161" s="721" t="s">
        <v>4081</v>
      </c>
      <c r="C161" s="721" t="s">
        <v>4082</v>
      </c>
      <c r="D161" s="722" t="n">
        <v>20</v>
      </c>
      <c r="E161" s="723" t="n">
        <f aca="false">F156</f>
        <v>47133</v>
      </c>
      <c r="F161" s="723" t="n">
        <f aca="false">E161+D161</f>
        <v>47153</v>
      </c>
      <c r="G161" s="723" t="n">
        <v>47153</v>
      </c>
      <c r="H161" s="724" t="n">
        <f aca="false">IF($G161="","",$F161-$G161)</f>
        <v>0</v>
      </c>
      <c r="I161" s="720" t="n">
        <v>13.6</v>
      </c>
      <c r="J161" s="725" t="n">
        <f aca="false">$F$166-F161</f>
        <v>20</v>
      </c>
      <c r="K161" s="726" t="str">
        <f aca="false">IF($D161="","",IF($J161&lt;=0,"● CRITICAL",""))</f>
        <v/>
      </c>
      <c r="L161" s="727" t="n">
        <f aca="false">IF($B$4&gt;=F161,1,IF($B$4&lt;=E161,0,($B$4-E161)/(F161-E161)))</f>
        <v>0</v>
      </c>
      <c r="M161" s="721" t="str">
        <f aca="false">IF(L161&gt;=1,"Complete",IF(L161&gt;0,"In Progress","Not Started"))</f>
        <v>Not Started</v>
      </c>
      <c r="N161" s="728" t="s">
        <v>4076</v>
      </c>
      <c r="O161" s="717"/>
      <c r="P161" s="718"/>
      <c r="Q161" s="718"/>
      <c r="R161" s="718"/>
      <c r="S161" s="718"/>
      <c r="T161" s="718"/>
      <c r="U161" s="718"/>
      <c r="V161" s="718"/>
      <c r="W161" s="718"/>
      <c r="X161" s="718"/>
      <c r="Y161" s="718"/>
      <c r="Z161" s="718"/>
      <c r="AA161" s="718"/>
      <c r="AB161" s="718"/>
      <c r="AC161" s="718"/>
      <c r="AD161" s="718"/>
      <c r="AE161" s="718"/>
      <c r="AF161" s="718"/>
      <c r="AG161" s="718"/>
      <c r="AH161" s="718"/>
      <c r="AI161" s="718"/>
      <c r="AJ161" s="718"/>
      <c r="AK161" s="718"/>
      <c r="AL161" s="718"/>
      <c r="AM161" s="718"/>
      <c r="AN161" s="718"/>
      <c r="AO161" s="718"/>
      <c r="AP161" s="718"/>
      <c r="AQ161" s="718"/>
      <c r="AR161" s="718"/>
      <c r="AS161" s="718"/>
      <c r="AT161" s="718"/>
      <c r="AU161" s="718"/>
      <c r="AV161" s="718"/>
      <c r="AW161" s="718"/>
      <c r="AX161" s="718"/>
      <c r="AY161" s="718"/>
      <c r="AZ161" s="718"/>
      <c r="BA161" s="718"/>
      <c r="BB161" s="718"/>
      <c r="BC161" s="718"/>
      <c r="BD161" s="718"/>
      <c r="BE161" s="718"/>
      <c r="BF161" s="718"/>
      <c r="BG161" s="718"/>
      <c r="BH161" s="718"/>
      <c r="BI161" s="718"/>
      <c r="BJ161" s="718"/>
      <c r="BK161" s="718"/>
      <c r="BL161" s="718"/>
      <c r="BM161" s="718"/>
      <c r="BN161" s="718"/>
      <c r="BO161" s="718"/>
      <c r="BP161" s="718"/>
      <c r="BQ161" s="718"/>
      <c r="BR161" s="718"/>
      <c r="BS161" s="718"/>
      <c r="BT161" s="718"/>
      <c r="BU161" s="718"/>
      <c r="BV161" s="719"/>
    </row>
    <row r="162" customFormat="false" ht="15" hidden="false" customHeight="true" outlineLevel="0" collapsed="false">
      <c r="A162" s="720" t="n">
        <v>14.5</v>
      </c>
      <c r="B162" s="721" t="s">
        <v>4083</v>
      </c>
      <c r="C162" s="721" t="s">
        <v>319</v>
      </c>
      <c r="D162" s="722" t="n">
        <v>15</v>
      </c>
      <c r="E162" s="723" t="n">
        <f aca="false">F159</f>
        <v>47158</v>
      </c>
      <c r="F162" s="723" t="n">
        <f aca="false">E162+D162</f>
        <v>47173</v>
      </c>
      <c r="G162" s="723" t="n">
        <v>47173</v>
      </c>
      <c r="H162" s="724" t="n">
        <f aca="false">IF($G162="","",$F162-$G162)</f>
        <v>0</v>
      </c>
      <c r="I162" s="720" t="n">
        <v>14.2</v>
      </c>
      <c r="J162" s="725" t="n">
        <f aca="false">MIN(E166)-F162</f>
        <v>0</v>
      </c>
      <c r="K162" s="726" t="str">
        <f aca="false">IF($D162="","",IF($J162&lt;=0,"● CRITICAL",""))</f>
        <v>● CRITICAL</v>
      </c>
      <c r="L162" s="727" t="n">
        <f aca="false">IF($B$4&gt;=F162,1,IF($B$4&lt;=E162,0,($B$4-E162)/(F162-E162)))</f>
        <v>0</v>
      </c>
      <c r="M162" s="721" t="str">
        <f aca="false">IF(L162&gt;=1,"Complete",IF(L162&gt;0,"In Progress","Not Started"))</f>
        <v>Not Started</v>
      </c>
      <c r="N162" s="728" t="s">
        <v>319</v>
      </c>
      <c r="O162" s="717"/>
      <c r="P162" s="718"/>
      <c r="Q162" s="718"/>
      <c r="R162" s="718"/>
      <c r="S162" s="718"/>
      <c r="T162" s="718"/>
      <c r="U162" s="718"/>
      <c r="V162" s="718"/>
      <c r="W162" s="718"/>
      <c r="X162" s="718"/>
      <c r="Y162" s="718"/>
      <c r="Z162" s="718"/>
      <c r="AA162" s="718"/>
      <c r="AB162" s="718"/>
      <c r="AC162" s="718"/>
      <c r="AD162" s="718"/>
      <c r="AE162" s="718"/>
      <c r="AF162" s="718"/>
      <c r="AG162" s="718"/>
      <c r="AH162" s="718"/>
      <c r="AI162" s="718"/>
      <c r="AJ162" s="718"/>
      <c r="AK162" s="718"/>
      <c r="AL162" s="718"/>
      <c r="AM162" s="718"/>
      <c r="AN162" s="718"/>
      <c r="AO162" s="718"/>
      <c r="AP162" s="718"/>
      <c r="AQ162" s="718"/>
      <c r="AR162" s="718"/>
      <c r="AS162" s="718"/>
      <c r="AT162" s="718"/>
      <c r="AU162" s="718"/>
      <c r="AV162" s="718"/>
      <c r="AW162" s="718"/>
      <c r="AX162" s="718"/>
      <c r="AY162" s="718"/>
      <c r="AZ162" s="718"/>
      <c r="BA162" s="718"/>
      <c r="BB162" s="718"/>
      <c r="BC162" s="718"/>
      <c r="BD162" s="718"/>
      <c r="BE162" s="718"/>
      <c r="BF162" s="718"/>
      <c r="BG162" s="718"/>
      <c r="BH162" s="718"/>
      <c r="BI162" s="718"/>
      <c r="BJ162" s="718"/>
      <c r="BK162" s="718"/>
      <c r="BL162" s="718"/>
      <c r="BM162" s="718"/>
      <c r="BN162" s="718"/>
      <c r="BO162" s="718"/>
      <c r="BP162" s="718"/>
      <c r="BQ162" s="718"/>
      <c r="BR162" s="718"/>
      <c r="BS162" s="718"/>
      <c r="BT162" s="718"/>
      <c r="BU162" s="718"/>
      <c r="BV162" s="719"/>
    </row>
    <row r="163" customFormat="false" ht="15" hidden="false" customHeight="true" outlineLevel="0" collapsed="false">
      <c r="A163" s="720" t="n">
        <v>14.7</v>
      </c>
      <c r="B163" s="721" t="s">
        <v>4084</v>
      </c>
      <c r="C163" s="721" t="s">
        <v>319</v>
      </c>
      <c r="D163" s="722" t="n">
        <v>10</v>
      </c>
      <c r="E163" s="723" t="n">
        <f aca="false">F160</f>
        <v>47158</v>
      </c>
      <c r="F163" s="723" t="n">
        <f aca="false">E163+D163</f>
        <v>47168</v>
      </c>
      <c r="G163" s="723" t="n">
        <v>47168</v>
      </c>
      <c r="H163" s="724" t="n">
        <f aca="false">IF($G163="","",$F163-$G163)</f>
        <v>0</v>
      </c>
      <c r="I163" s="720" t="n">
        <v>14.3</v>
      </c>
      <c r="J163" s="725" t="n">
        <f aca="false">$F$166-F163</f>
        <v>5</v>
      </c>
      <c r="K163" s="726" t="str">
        <f aca="false">IF($D163="","",IF($J163&lt;=0,"● CRITICAL",""))</f>
        <v/>
      </c>
      <c r="L163" s="727" t="n">
        <f aca="false">IF($B$4&gt;=F163,1,IF($B$4&lt;=E163,0,($B$4-E163)/(F163-E163)))</f>
        <v>0</v>
      </c>
      <c r="M163" s="721" t="str">
        <f aca="false">IF(L163&gt;=1,"Complete",IF(L163&gt;0,"In Progress","Not Started"))</f>
        <v>Not Started</v>
      </c>
      <c r="N163" s="728" t="s">
        <v>4076</v>
      </c>
      <c r="O163" s="717"/>
      <c r="P163" s="718"/>
      <c r="Q163" s="718"/>
      <c r="R163" s="718"/>
      <c r="S163" s="718"/>
      <c r="T163" s="718"/>
      <c r="U163" s="718"/>
      <c r="V163" s="718"/>
      <c r="W163" s="718"/>
      <c r="X163" s="718"/>
      <c r="Y163" s="718"/>
      <c r="Z163" s="718"/>
      <c r="AA163" s="718"/>
      <c r="AB163" s="718"/>
      <c r="AC163" s="718"/>
      <c r="AD163" s="718"/>
      <c r="AE163" s="718"/>
      <c r="AF163" s="718"/>
      <c r="AG163" s="718"/>
      <c r="AH163" s="718"/>
      <c r="AI163" s="718"/>
      <c r="AJ163" s="718"/>
      <c r="AK163" s="718"/>
      <c r="AL163" s="718"/>
      <c r="AM163" s="718"/>
      <c r="AN163" s="718"/>
      <c r="AO163" s="718"/>
      <c r="AP163" s="718"/>
      <c r="AQ163" s="718"/>
      <c r="AR163" s="718"/>
      <c r="AS163" s="718"/>
      <c r="AT163" s="718"/>
      <c r="AU163" s="718"/>
      <c r="AV163" s="718"/>
      <c r="AW163" s="718"/>
      <c r="AX163" s="718"/>
      <c r="AY163" s="718"/>
      <c r="AZ163" s="718"/>
      <c r="BA163" s="718"/>
      <c r="BB163" s="718"/>
      <c r="BC163" s="718"/>
      <c r="BD163" s="718"/>
      <c r="BE163" s="718"/>
      <c r="BF163" s="718"/>
      <c r="BG163" s="718"/>
      <c r="BH163" s="718"/>
      <c r="BI163" s="718"/>
      <c r="BJ163" s="718"/>
      <c r="BK163" s="718"/>
      <c r="BL163" s="730"/>
      <c r="BM163" s="718"/>
      <c r="BN163" s="718"/>
      <c r="BO163" s="718"/>
      <c r="BP163" s="718"/>
      <c r="BQ163" s="718"/>
      <c r="BR163" s="718"/>
      <c r="BS163" s="718"/>
      <c r="BT163" s="718"/>
      <c r="BU163" s="718"/>
      <c r="BV163" s="719"/>
    </row>
    <row r="164" customFormat="false" ht="15" hidden="false" customHeight="true" outlineLevel="0" collapsed="false">
      <c r="A164" s="720" t="n">
        <v>14.8</v>
      </c>
      <c r="B164" s="721" t="s">
        <v>4085</v>
      </c>
      <c r="C164" s="721" t="s">
        <v>2944</v>
      </c>
      <c r="D164" s="722" t="n">
        <v>15</v>
      </c>
      <c r="E164" s="723" t="n">
        <f aca="false">F161</f>
        <v>47153</v>
      </c>
      <c r="F164" s="723" t="n">
        <f aca="false">E164+D164</f>
        <v>47168</v>
      </c>
      <c r="G164" s="723" t="n">
        <v>47168</v>
      </c>
      <c r="H164" s="724" t="n">
        <f aca="false">IF($G164="","",$F164-$G164)</f>
        <v>0</v>
      </c>
      <c r="I164" s="720" t="n">
        <v>14.4</v>
      </c>
      <c r="J164" s="725" t="n">
        <f aca="false">$F$166-F164</f>
        <v>5</v>
      </c>
      <c r="K164" s="726" t="str">
        <f aca="false">IF($D164="","",IF($J164&lt;=0,"● CRITICAL",""))</f>
        <v/>
      </c>
      <c r="L164" s="727" t="n">
        <f aca="false">IF($B$4&gt;=F164,1,IF($B$4&lt;=E164,0,($B$4-E164)/(F164-E164)))</f>
        <v>0</v>
      </c>
      <c r="M164" s="721" t="str">
        <f aca="false">IF(L164&gt;=1,"Complete",IF(L164&gt;0,"In Progress","Not Started"))</f>
        <v>Not Started</v>
      </c>
      <c r="N164" s="728" t="s">
        <v>2944</v>
      </c>
      <c r="O164" s="717"/>
      <c r="P164" s="718"/>
      <c r="Q164" s="718"/>
      <c r="R164" s="718"/>
      <c r="S164" s="718"/>
      <c r="T164" s="718"/>
      <c r="U164" s="718"/>
      <c r="V164" s="718"/>
      <c r="W164" s="718"/>
      <c r="X164" s="718"/>
      <c r="Y164" s="718"/>
      <c r="Z164" s="718"/>
      <c r="AA164" s="718"/>
      <c r="AB164" s="718"/>
      <c r="AC164" s="718"/>
      <c r="AD164" s="718"/>
      <c r="AE164" s="718"/>
      <c r="AF164" s="718"/>
      <c r="AG164" s="718"/>
      <c r="AH164" s="718"/>
      <c r="AI164" s="718"/>
      <c r="AJ164" s="718"/>
      <c r="AK164" s="718"/>
      <c r="AL164" s="718"/>
      <c r="AM164" s="718"/>
      <c r="AN164" s="718"/>
      <c r="AO164" s="718"/>
      <c r="AP164" s="718"/>
      <c r="AQ164" s="718"/>
      <c r="AR164" s="718"/>
      <c r="AS164" s="718"/>
      <c r="AT164" s="718"/>
      <c r="AU164" s="718"/>
      <c r="AV164" s="718"/>
      <c r="AW164" s="718"/>
      <c r="AX164" s="718"/>
      <c r="AY164" s="718"/>
      <c r="AZ164" s="718"/>
      <c r="BA164" s="718"/>
      <c r="BB164" s="718"/>
      <c r="BC164" s="718"/>
      <c r="BD164" s="718"/>
      <c r="BE164" s="718"/>
      <c r="BF164" s="718"/>
      <c r="BG164" s="718"/>
      <c r="BH164" s="718"/>
      <c r="BI164" s="718"/>
      <c r="BJ164" s="718"/>
      <c r="BK164" s="718"/>
      <c r="BL164" s="730"/>
      <c r="BM164" s="718"/>
      <c r="BN164" s="718"/>
      <c r="BO164" s="718"/>
      <c r="BP164" s="718"/>
      <c r="BQ164" s="718"/>
      <c r="BR164" s="718"/>
      <c r="BS164" s="718"/>
      <c r="BT164" s="718"/>
      <c r="BU164" s="718"/>
      <c r="BV164" s="719"/>
    </row>
    <row r="165" customFormat="false" ht="15" hidden="false" customHeight="true" outlineLevel="0" collapsed="false">
      <c r="A165" s="720" t="n">
        <v>14.9</v>
      </c>
      <c r="B165" s="721" t="s">
        <v>4086</v>
      </c>
      <c r="C165" s="721" t="s">
        <v>319</v>
      </c>
      <c r="D165" s="722" t="n">
        <v>10</v>
      </c>
      <c r="E165" s="723" t="n">
        <f aca="false">F159</f>
        <v>47158</v>
      </c>
      <c r="F165" s="723" t="n">
        <f aca="false">E165+D165</f>
        <v>47168</v>
      </c>
      <c r="G165" s="723" t="n">
        <v>47168</v>
      </c>
      <c r="H165" s="724" t="n">
        <f aca="false">IF($G165="","",$F165-$G165)</f>
        <v>0</v>
      </c>
      <c r="I165" s="720" t="n">
        <v>14.2</v>
      </c>
      <c r="J165" s="725" t="n">
        <f aca="false">$F$166-F165</f>
        <v>5</v>
      </c>
      <c r="K165" s="726" t="str">
        <f aca="false">IF($D165="","",IF($J165&lt;=0,"● CRITICAL",""))</f>
        <v/>
      </c>
      <c r="L165" s="727" t="n">
        <f aca="false">IF($B$4&gt;=F165,1,IF($B$4&lt;=E165,0,($B$4-E165)/(F165-E165)))</f>
        <v>0</v>
      </c>
      <c r="M165" s="721" t="str">
        <f aca="false">IF(L165&gt;=1,"Complete",IF(L165&gt;0,"In Progress","Not Started"))</f>
        <v>Not Started</v>
      </c>
      <c r="N165" s="728" t="s">
        <v>4076</v>
      </c>
      <c r="O165" s="717"/>
      <c r="P165" s="718"/>
      <c r="Q165" s="718"/>
      <c r="R165" s="718"/>
      <c r="S165" s="718"/>
      <c r="T165" s="718"/>
      <c r="U165" s="718"/>
      <c r="V165" s="718"/>
      <c r="W165" s="718"/>
      <c r="X165" s="718"/>
      <c r="Y165" s="718"/>
      <c r="Z165" s="718"/>
      <c r="AA165" s="718"/>
      <c r="AB165" s="718"/>
      <c r="AC165" s="718"/>
      <c r="AD165" s="718"/>
      <c r="AE165" s="718"/>
      <c r="AF165" s="718"/>
      <c r="AG165" s="718"/>
      <c r="AH165" s="718"/>
      <c r="AI165" s="718"/>
      <c r="AJ165" s="718"/>
      <c r="AK165" s="718"/>
      <c r="AL165" s="718"/>
      <c r="AM165" s="718"/>
      <c r="AN165" s="718"/>
      <c r="AO165" s="718"/>
      <c r="AP165" s="718"/>
      <c r="AQ165" s="718"/>
      <c r="AR165" s="718"/>
      <c r="AS165" s="718"/>
      <c r="AT165" s="718"/>
      <c r="AU165" s="718"/>
      <c r="AV165" s="718"/>
      <c r="AW165" s="718"/>
      <c r="AX165" s="718"/>
      <c r="AY165" s="718"/>
      <c r="AZ165" s="718"/>
      <c r="BA165" s="718"/>
      <c r="BB165" s="718"/>
      <c r="BC165" s="718"/>
      <c r="BD165" s="718"/>
      <c r="BE165" s="718"/>
      <c r="BF165" s="718"/>
      <c r="BG165" s="718"/>
      <c r="BH165" s="718"/>
      <c r="BI165" s="718"/>
      <c r="BJ165" s="718"/>
      <c r="BK165" s="718"/>
      <c r="BL165" s="730"/>
      <c r="BM165" s="718"/>
      <c r="BN165" s="718"/>
      <c r="BO165" s="718"/>
      <c r="BP165" s="718"/>
      <c r="BQ165" s="718"/>
      <c r="BR165" s="718"/>
      <c r="BS165" s="718"/>
      <c r="BT165" s="718"/>
      <c r="BU165" s="718"/>
      <c r="BV165" s="719"/>
    </row>
    <row r="166" customFormat="false" ht="15" hidden="false" customHeight="true" outlineLevel="0" collapsed="false">
      <c r="A166" s="720" t="n">
        <v>14.6</v>
      </c>
      <c r="B166" s="731" t="s">
        <v>4087</v>
      </c>
      <c r="C166" s="721" t="s">
        <v>85</v>
      </c>
      <c r="D166" s="722" t="n">
        <v>0</v>
      </c>
      <c r="E166" s="723" t="n">
        <f aca="false">F162</f>
        <v>47173</v>
      </c>
      <c r="F166" s="723" t="n">
        <f aca="false">E166+D166</f>
        <v>47173</v>
      </c>
      <c r="G166" s="723" t="n">
        <v>47173</v>
      </c>
      <c r="H166" s="724" t="n">
        <f aca="false">IF($G166="","",$F166-$G166)</f>
        <v>0</v>
      </c>
      <c r="I166" s="720" t="n">
        <v>14.5</v>
      </c>
      <c r="J166" s="725" t="n">
        <f aca="false">$F$166-F166</f>
        <v>0</v>
      </c>
      <c r="K166" s="726" t="str">
        <f aca="false">IF($D166="","",IF($J166&lt;=0,"● CRITICAL",""))</f>
        <v>● CRITICAL</v>
      </c>
      <c r="L166" s="727" t="n">
        <f aca="false">IF($B$4&gt;=F166,1,IF($B$4&lt;=E166,0,($B$4-E166)/(F166-E166)))</f>
        <v>0</v>
      </c>
      <c r="M166" s="721" t="str">
        <f aca="false">IF(L166&gt;=1,"Complete",IF(L166&gt;0,"In Progress","Not Started"))</f>
        <v>Not Started</v>
      </c>
      <c r="N166" s="728" t="s">
        <v>2944</v>
      </c>
      <c r="O166" s="717"/>
      <c r="P166" s="718"/>
      <c r="Q166" s="718"/>
      <c r="R166" s="718"/>
      <c r="S166" s="718"/>
      <c r="T166" s="718"/>
      <c r="U166" s="718"/>
      <c r="V166" s="718"/>
      <c r="W166" s="718"/>
      <c r="X166" s="718"/>
      <c r="Y166" s="718"/>
      <c r="Z166" s="718"/>
      <c r="AA166" s="718"/>
      <c r="AB166" s="718"/>
      <c r="AC166" s="718"/>
      <c r="AD166" s="718"/>
      <c r="AE166" s="718"/>
      <c r="AF166" s="718"/>
      <c r="AG166" s="718"/>
      <c r="AH166" s="718"/>
      <c r="AI166" s="718"/>
      <c r="AJ166" s="718"/>
      <c r="AK166" s="718"/>
      <c r="AL166" s="718"/>
      <c r="AM166" s="718"/>
      <c r="AN166" s="718"/>
      <c r="AO166" s="718"/>
      <c r="AP166" s="718"/>
      <c r="AQ166" s="718"/>
      <c r="AR166" s="718"/>
      <c r="AS166" s="718"/>
      <c r="AT166" s="718"/>
      <c r="AU166" s="718"/>
      <c r="AV166" s="718"/>
      <c r="AW166" s="718"/>
      <c r="AX166" s="718"/>
      <c r="AY166" s="718"/>
      <c r="AZ166" s="718"/>
      <c r="BA166" s="718"/>
      <c r="BB166" s="718"/>
      <c r="BC166" s="718"/>
      <c r="BD166" s="718"/>
      <c r="BE166" s="718"/>
      <c r="BF166" s="718"/>
      <c r="BG166" s="718"/>
      <c r="BH166" s="718"/>
      <c r="BI166" s="718"/>
      <c r="BJ166" s="718"/>
      <c r="BK166" s="718"/>
      <c r="BL166" s="718"/>
      <c r="BM166" s="718"/>
      <c r="BN166" s="718"/>
      <c r="BO166" s="718"/>
      <c r="BP166" s="718"/>
      <c r="BQ166" s="718"/>
      <c r="BR166" s="718"/>
      <c r="BS166" s="718"/>
      <c r="BT166" s="718"/>
      <c r="BU166" s="718"/>
      <c r="BV166" s="719"/>
    </row>
  </sheetData>
  <conditionalFormatting sqref="O7:BV166">
    <cfRule type="expression" priority="2" aboveAverage="0" equalAverage="0" bottom="0" percent="0" rank="0" text="" dxfId="19">
      <formula>AND(O$6&lt;=$B$4,EOMONTH(O$6,0)&gt;=$B$4)</formula>
    </cfRule>
    <cfRule type="expression" priority="3" aboveAverage="0" equalAverage="0" bottom="0" percent="0" rank="0" text="" dxfId="20">
      <formula>AND(ISNUMBER(SEARCH("deliver",$B7)),EOMONTH(O$6,0)&gt;=$E7,O$6&lt;=$F7)</formula>
    </cfRule>
    <cfRule type="expression" priority="4" aboveAverage="0" equalAverage="0" bottom="0" percent="0" rank="0" text="" dxfId="21">
      <formula>AND($D7=0,$A7&lt;&gt;"",EOMONTH(O$6,0)&gt;=$E7,O$6&lt;=$F7)</formula>
    </cfRule>
    <cfRule type="expression" priority="5" aboveAverage="0" equalAverage="0" bottom="0" percent="0" rank="0" text="" dxfId="22">
      <formula>AND(ISERROR(SEARCH(".",$A7&amp;"")),$A7&lt;&gt;"",EOMONTH(O$6,0)&gt;=$E7,O$6&lt;=$F7)</formula>
    </cfRule>
    <cfRule type="expression" priority="6" aboveAverage="0" equalAverage="0" bottom="0" percent="0" rank="0" text="" dxfId="23">
      <formula>AND(ISNUMBER(SEARCH(".",$A7&amp;"")),$D7&gt;0,$J7&lt;=0,EOMONTH(O$6,0)&gt;=$E7,O$6&lt;=$F7)</formula>
    </cfRule>
    <cfRule type="expression" priority="7" aboveAverage="0" equalAverage="0" bottom="0" percent="0" rank="0" text="" dxfId="24">
      <formula>AND(ISNUMBER(SEARCH(".",$A7&amp;"")),$D7&gt;0,$J7&gt;0,EOMONTH(O$6,0)&gt;=$E7,O$6&lt;=$F7)</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J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5" activeCellId="0" sqref="D25"/>
    </sheetView>
  </sheetViews>
  <sheetFormatPr defaultColWidth="8.5390625" defaultRowHeight="15" zeroHeight="false" outlineLevelRow="0" outlineLevelCol="0"/>
  <cols>
    <col collapsed="false" customWidth="true" hidden="false" outlineLevel="0" max="1" min="1" style="1" width="5"/>
    <col collapsed="false" customWidth="true" hidden="false" outlineLevel="0" max="2" min="2" style="1" width="43.86"/>
    <col collapsed="false" customWidth="true" hidden="false" outlineLevel="0" max="3" min="3" style="1" width="47.57"/>
    <col collapsed="false" customWidth="true" hidden="false" outlineLevel="0" max="4" min="4" style="1" width="16.43"/>
    <col collapsed="false" customWidth="true" hidden="false" outlineLevel="0" max="5" min="5" style="1" width="10.29"/>
    <col collapsed="false" customWidth="true" hidden="false" outlineLevel="0" max="6" min="6" style="1" width="11"/>
    <col collapsed="false" customWidth="true" hidden="false" outlineLevel="0" max="7" min="7" style="1" width="15.29"/>
    <col collapsed="false" customWidth="true" hidden="false" outlineLevel="0" max="8" min="8" style="1" width="16"/>
    <col collapsed="false" customWidth="true" hidden="false" outlineLevel="0" max="9" min="9" style="1" width="13.72"/>
    <col collapsed="false" customWidth="true" hidden="false" outlineLevel="0" max="10" min="10" style="1" width="7.29"/>
  </cols>
  <sheetData>
    <row r="1" customFormat="false" ht="19.5" hidden="false" customHeight="true" outlineLevel="0" collapsed="false">
      <c r="A1" s="734" t="s">
        <v>4088</v>
      </c>
      <c r="B1" s="197"/>
      <c r="C1" s="197"/>
      <c r="D1" s="197"/>
      <c r="E1" s="197"/>
      <c r="F1" s="197"/>
      <c r="G1" s="197"/>
      <c r="H1" s="197"/>
      <c r="I1" s="197"/>
      <c r="J1" s="197"/>
    </row>
    <row r="2" customFormat="false" ht="15" hidden="false" customHeight="true" outlineLevel="0" collapsed="false">
      <c r="A2" s="477" t="s">
        <v>4089</v>
      </c>
    </row>
    <row r="4" customFormat="false" ht="15" hidden="false" customHeight="true" outlineLevel="0" collapsed="false">
      <c r="A4" s="735" t="s">
        <v>4090</v>
      </c>
      <c r="B4" s="736"/>
      <c r="C4" s="736"/>
      <c r="D4" s="737" t="n">
        <f aca="false">'Construction Schedule'!F166</f>
        <v>47173</v>
      </c>
    </row>
    <row r="5" customFormat="false" ht="15" hidden="false" customHeight="true" outlineLevel="0" collapsed="false">
      <c r="A5" s="738" t="s">
        <v>4091</v>
      </c>
      <c r="D5" s="739" t="n">
        <f aca="false">DATE(2028,9,30)</f>
        <v>47026</v>
      </c>
    </row>
    <row r="6" customFormat="false" ht="15" hidden="false" customHeight="true" outlineLevel="0" collapsed="false">
      <c r="A6" s="738" t="s">
        <v>4092</v>
      </c>
      <c r="D6" s="740" t="n">
        <f aca="false">D4-D5</f>
        <v>147</v>
      </c>
    </row>
    <row r="7" customFormat="false" ht="15" hidden="false" customHeight="true" outlineLevel="0" collapsed="false">
      <c r="A7" s="738" t="s">
        <v>4093</v>
      </c>
      <c r="D7" s="741" t="n">
        <f aca="false">SUM(F14:F20)</f>
        <v>147</v>
      </c>
    </row>
    <row r="8" customFormat="false" ht="15" hidden="false" customHeight="true" outlineLevel="0" collapsed="false">
      <c r="A8" s="738" t="s">
        <v>4094</v>
      </c>
      <c r="D8" s="742" t="n">
        <f aca="false">D4-D7</f>
        <v>47026</v>
      </c>
    </row>
    <row r="9" customFormat="false" ht="15" hidden="false" customHeight="true" outlineLevel="0" collapsed="false">
      <c r="A9" s="738" t="s">
        <v>4095</v>
      </c>
      <c r="D9" s="741" t="n">
        <f aca="false">D8-D5</f>
        <v>0</v>
      </c>
    </row>
    <row r="10" customFormat="false" ht="15" hidden="false" customHeight="true" outlineLevel="0" collapsed="false">
      <c r="A10" s="738" t="s">
        <v>4096</v>
      </c>
      <c r="D10" s="743" t="n">
        <f aca="false">SUM(H14:H20)</f>
        <v>17750000</v>
      </c>
    </row>
    <row r="11" customFormat="false" ht="15" hidden="false" customHeight="true" outlineLevel="0" collapsed="false">
      <c r="A11" s="738" t="s">
        <v>4097</v>
      </c>
      <c r="D11" s="743" t="n">
        <f aca="false">IFERROR(D10/D7,0)</f>
        <v>120748.299319728</v>
      </c>
    </row>
    <row r="12" customFormat="false" ht="15" hidden="false" customHeight="true" outlineLevel="0" collapsed="false">
      <c r="A12" s="744" t="s">
        <v>4098</v>
      </c>
      <c r="B12" s="745"/>
      <c r="C12" s="745"/>
      <c r="D12" s="746" t="str">
        <f aca="false">IF(D9&lt;=0,"✓ YES — meets Q3 2028","⚠ NO — "&amp;TEXT(D9,"0")&amp;"d short")</f>
        <v>✓ YES — meets Q3 2028</v>
      </c>
    </row>
    <row r="13" customFormat="false" ht="15" hidden="false" customHeight="true" outlineLevel="0" collapsed="false">
      <c r="A13" s="747" t="s">
        <v>266</v>
      </c>
      <c r="B13" s="748" t="s">
        <v>4099</v>
      </c>
      <c r="C13" s="748" t="s">
        <v>4100</v>
      </c>
      <c r="D13" s="747" t="s">
        <v>4101</v>
      </c>
      <c r="E13" s="664" t="s">
        <v>4102</v>
      </c>
      <c r="F13" s="664" t="s">
        <v>4103</v>
      </c>
      <c r="G13" s="664" t="s">
        <v>4104</v>
      </c>
      <c r="H13" s="664" t="s">
        <v>4105</v>
      </c>
      <c r="I13" s="664" t="s">
        <v>4106</v>
      </c>
      <c r="J13" s="664" t="s">
        <v>4107</v>
      </c>
    </row>
    <row r="14" customFormat="false" ht="24" hidden="false" customHeight="true" outlineLevel="0" collapsed="false">
      <c r="A14" s="749" t="n">
        <v>1</v>
      </c>
      <c r="B14" s="750" t="s">
        <v>4108</v>
      </c>
      <c r="C14" s="750" t="s">
        <v>4109</v>
      </c>
      <c r="D14" s="751" t="n">
        <v>45</v>
      </c>
      <c r="E14" s="752" t="s">
        <v>4110</v>
      </c>
      <c r="F14" s="753" t="n">
        <f aca="false">IF(E14="Y",D14,0)</f>
        <v>45</v>
      </c>
      <c r="G14" s="754" t="n">
        <v>3000000</v>
      </c>
      <c r="H14" s="755" t="n">
        <f aca="false">IF(E14="Y",G14,0)</f>
        <v>3000000</v>
      </c>
      <c r="I14" s="749" t="s">
        <v>3173</v>
      </c>
      <c r="J14" s="749" t="s">
        <v>4111</v>
      </c>
    </row>
    <row r="15" customFormat="false" ht="24" hidden="false" customHeight="true" outlineLevel="0" collapsed="false">
      <c r="A15" s="749" t="n">
        <v>2</v>
      </c>
      <c r="B15" s="750" t="s">
        <v>4112</v>
      </c>
      <c r="C15" s="750" t="s">
        <v>4113</v>
      </c>
      <c r="D15" s="751" t="n">
        <v>30</v>
      </c>
      <c r="E15" s="752" t="s">
        <v>4110</v>
      </c>
      <c r="F15" s="753" t="n">
        <f aca="false">IF(E15="Y",D15,0)</f>
        <v>30</v>
      </c>
      <c r="G15" s="754" t="n">
        <v>1500000</v>
      </c>
      <c r="H15" s="755" t="n">
        <f aca="false">IF(E15="Y",G15,0)</f>
        <v>1500000</v>
      </c>
      <c r="I15" s="749" t="s">
        <v>151</v>
      </c>
      <c r="J15" s="749" t="s">
        <v>4111</v>
      </c>
    </row>
    <row r="16" customFormat="false" ht="24" hidden="false" customHeight="true" outlineLevel="0" collapsed="false">
      <c r="A16" s="749" t="n">
        <v>3</v>
      </c>
      <c r="B16" s="750" t="s">
        <v>4114</v>
      </c>
      <c r="C16" s="750" t="s">
        <v>4115</v>
      </c>
      <c r="D16" s="751" t="n">
        <v>25</v>
      </c>
      <c r="E16" s="752" t="s">
        <v>4110</v>
      </c>
      <c r="F16" s="753" t="n">
        <f aca="false">IF(E16="Y",D16,0)</f>
        <v>25</v>
      </c>
      <c r="G16" s="754" t="n">
        <v>7000000</v>
      </c>
      <c r="H16" s="755" t="n">
        <f aca="false">IF(E16="Y",G16,0)</f>
        <v>7000000</v>
      </c>
      <c r="I16" s="749" t="s">
        <v>3173</v>
      </c>
      <c r="J16" s="749" t="s">
        <v>4111</v>
      </c>
    </row>
    <row r="17" customFormat="false" ht="15" hidden="false" customHeight="true" outlineLevel="0" collapsed="false">
      <c r="A17" s="749" t="n">
        <v>4</v>
      </c>
      <c r="B17" s="750" t="s">
        <v>4116</v>
      </c>
      <c r="C17" s="750" t="s">
        <v>4117</v>
      </c>
      <c r="D17" s="751" t="n">
        <v>20</v>
      </c>
      <c r="E17" s="752" t="s">
        <v>4110</v>
      </c>
      <c r="F17" s="753" t="n">
        <f aca="false">IF(E17="Y",D17,0)</f>
        <v>20</v>
      </c>
      <c r="G17" s="754" t="n">
        <v>3500000</v>
      </c>
      <c r="H17" s="755" t="n">
        <f aca="false">IF(E17="Y",G17,0)</f>
        <v>3500000</v>
      </c>
      <c r="I17" s="749" t="s">
        <v>4118</v>
      </c>
      <c r="J17" s="749" t="s">
        <v>4111</v>
      </c>
    </row>
    <row r="18" customFormat="false" ht="15" hidden="false" customHeight="true" outlineLevel="0" collapsed="false">
      <c r="A18" s="749" t="n">
        <v>5</v>
      </c>
      <c r="B18" s="750" t="s">
        <v>4119</v>
      </c>
      <c r="C18" s="750" t="s">
        <v>4120</v>
      </c>
      <c r="D18" s="751" t="n">
        <v>15</v>
      </c>
      <c r="E18" s="752" t="s">
        <v>4110</v>
      </c>
      <c r="F18" s="753" t="n">
        <f aca="false">IF(E18="Y",D18,0)</f>
        <v>15</v>
      </c>
      <c r="G18" s="754" t="n">
        <v>750000</v>
      </c>
      <c r="H18" s="755" t="n">
        <f aca="false">IF(E18="Y",G18,0)</f>
        <v>750000</v>
      </c>
      <c r="I18" s="749" t="s">
        <v>151</v>
      </c>
      <c r="J18" s="749" t="s">
        <v>4111</v>
      </c>
    </row>
    <row r="19" customFormat="false" ht="15" hidden="false" customHeight="true" outlineLevel="0" collapsed="false">
      <c r="A19" s="749" t="n">
        <v>6</v>
      </c>
      <c r="B19" s="750" t="s">
        <v>4121</v>
      </c>
      <c r="C19" s="750" t="s">
        <v>4122</v>
      </c>
      <c r="D19" s="751" t="n">
        <v>15</v>
      </c>
      <c r="E19" s="752" t="s">
        <v>194</v>
      </c>
      <c r="F19" s="753" t="n">
        <f aca="false">IF(E19="Y",D19,0)</f>
        <v>0</v>
      </c>
      <c r="G19" s="754" t="n">
        <v>2500000</v>
      </c>
      <c r="H19" s="755" t="n">
        <f aca="false">IF(E19="Y",G19,0)</f>
        <v>0</v>
      </c>
      <c r="I19" s="749" t="s">
        <v>3173</v>
      </c>
      <c r="J19" s="749" t="s">
        <v>85</v>
      </c>
    </row>
    <row r="20" customFormat="false" ht="15" hidden="false" customHeight="true" outlineLevel="0" collapsed="false">
      <c r="A20" s="749" t="n">
        <v>7</v>
      </c>
      <c r="B20" s="750" t="s">
        <v>4123</v>
      </c>
      <c r="C20" s="750" t="s">
        <v>4124</v>
      </c>
      <c r="D20" s="751" t="n">
        <v>12</v>
      </c>
      <c r="E20" s="752" t="s">
        <v>4110</v>
      </c>
      <c r="F20" s="753" t="n">
        <f aca="false">IF(E20="Y",D20,0)</f>
        <v>12</v>
      </c>
      <c r="G20" s="754" t="n">
        <v>2000000</v>
      </c>
      <c r="H20" s="755" t="n">
        <f aca="false">IF(E20="Y",G20,0)</f>
        <v>2000000</v>
      </c>
      <c r="I20" s="749" t="s">
        <v>151</v>
      </c>
      <c r="J20" s="749" t="s">
        <v>4111</v>
      </c>
    </row>
    <row r="21" customFormat="false" ht="15" hidden="false" customHeight="true" outlineLevel="0" collapsed="false">
      <c r="A21" s="756" t="s">
        <v>4125</v>
      </c>
      <c r="B21" s="756"/>
      <c r="C21" s="756"/>
      <c r="D21" s="756"/>
      <c r="E21" s="756"/>
      <c r="F21" s="757" t="n">
        <f aca="false">SUM(F14:F20)</f>
        <v>147</v>
      </c>
      <c r="G21" s="758"/>
      <c r="H21" s="758" t="n">
        <f aca="false">SUM(H14:H20)</f>
        <v>17750000</v>
      </c>
      <c r="I21" s="756"/>
      <c r="J21" s="756"/>
    </row>
    <row r="23" customFormat="false" ht="15.75" hidden="false" customHeight="true" outlineLevel="0" collapsed="false">
      <c r="A23" s="364" t="s">
        <v>3540</v>
      </c>
      <c r="B23" s="149"/>
      <c r="C23" s="149"/>
      <c r="D23" s="149"/>
      <c r="E23" s="149"/>
      <c r="F23" s="149"/>
      <c r="G23" s="149"/>
      <c r="H23" s="149"/>
      <c r="I23" s="149"/>
      <c r="J23" s="149"/>
    </row>
    <row r="24" customFormat="false" ht="15" hidden="false" customHeight="true" outlineLevel="0" collapsed="false">
      <c r="A24" s="759" t="s">
        <v>4126</v>
      </c>
    </row>
    <row r="25" customFormat="false" ht="15" hidden="false" customHeight="true" outlineLevel="0" collapsed="false">
      <c r="A25" s="759" t="s">
        <v>4127</v>
      </c>
    </row>
    <row r="26" customFormat="false" ht="15" hidden="false" customHeight="true" outlineLevel="0" collapsed="false">
      <c r="A26" s="759" t="s">
        <v>4128</v>
      </c>
    </row>
    <row r="27" customFormat="false" ht="15" hidden="false" customHeight="true" outlineLevel="0" collapsed="false">
      <c r="A27" s="759" t="s">
        <v>4129</v>
      </c>
    </row>
    <row r="28" customFormat="false" ht="15" hidden="false" customHeight="true" outlineLevel="0" collapsed="false">
      <c r="A28" s="759" t="s">
        <v>4130</v>
      </c>
    </row>
    <row r="29" customFormat="false" ht="15" hidden="false" customHeight="true" outlineLevel="0" collapsed="false">
      <c r="A29" s="759" t="s">
        <v>4131</v>
      </c>
    </row>
  </sheetData>
  <conditionalFormatting sqref="I14:I20">
    <cfRule type="containsText" priority="2" operator="containsText" aboveAverage="0" equalAverage="0" bottom="0" percent="0" rank="0" text="High" dxfId="6">
      <formula>NOT(ISERROR(SEARCH("High",I14)))</formula>
    </cfRule>
    <cfRule type="containsText" priority="3" operator="containsText" aboveAverage="0" equalAverage="0" bottom="0" percent="0" rank="0" text="Med" dxfId="25">
      <formula>NOT(ISERROR(SEARCH("Med",I14)))</formula>
    </cfRule>
    <cfRule type="containsText" priority="4" operator="containsText" aboveAverage="0" equalAverage="0" bottom="0" percent="0" rank="0" text="Low" dxfId="3">
      <formula>NOT(ISERROR(SEARCH("Low",I14)))</formula>
    </cfRule>
  </conditionalFormatting>
  <conditionalFormatting sqref="D12">
    <cfRule type="containsText" priority="5" operator="containsText" aboveAverage="0" equalAverage="0" bottom="0" percent="0" rank="0" text="YES" dxfId="3">
      <formula>NOT(ISERROR(SEARCH("YES",D12)))</formula>
    </cfRule>
    <cfRule type="containsText" priority="6" operator="containsText" aboveAverage="0" equalAverage="0" bottom="0" percent="0" rank="0" text="NO" dxfId="6">
      <formula>NOT(ISERROR(SEARCH("NO",D12)))</formula>
    </cfRule>
  </conditionalFormatting>
  <dataValidations count="1">
    <dataValidation allowBlank="true" errorStyle="stop" operator="between" showDropDown="false" showErrorMessage="true" showInputMessage="true" sqref="E14:E20" type="list">
      <formula1>"Y,N"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H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C4" activeCellId="0" sqref="C4"/>
    </sheetView>
  </sheetViews>
  <sheetFormatPr defaultColWidth="8.57421875" defaultRowHeight="15" zeroHeight="false" outlineLevelRow="0" outlineLevelCol="0"/>
  <cols>
    <col collapsed="false" customWidth="true" hidden="false" outlineLevel="0" max="1" min="1" style="1" width="6.71"/>
    <col collapsed="false" customWidth="true" hidden="false" outlineLevel="0" max="2" min="2" style="1" width="34.29"/>
    <col collapsed="false" customWidth="true" hidden="false" outlineLevel="0" max="5" min="3" style="1" width="19"/>
    <col collapsed="false" customWidth="true" hidden="false" outlineLevel="0" max="6" min="6" style="1" width="15.29"/>
    <col collapsed="false" customWidth="true" hidden="false" outlineLevel="0" max="7" min="7" style="1" width="12.43"/>
    <col collapsed="false" customWidth="true" hidden="false" outlineLevel="0" max="8" min="8" style="1" width="26.71"/>
  </cols>
  <sheetData>
    <row r="1" customFormat="false" ht="30" hidden="false" customHeight="true" outlineLevel="0" collapsed="false">
      <c r="A1" s="297" t="s">
        <v>4132</v>
      </c>
      <c r="B1" s="297"/>
      <c r="C1" s="297"/>
      <c r="D1" s="297"/>
      <c r="E1" s="297"/>
      <c r="F1" s="297"/>
      <c r="G1" s="297"/>
      <c r="H1" s="297"/>
    </row>
    <row r="2" customFormat="false" ht="6" hidden="false" customHeight="true" outlineLevel="0" collapsed="false">
      <c r="A2" s="333" t="s">
        <v>4133</v>
      </c>
    </row>
    <row r="3" customFormat="false" ht="15" hidden="false" customHeight="true" outlineLevel="0" collapsed="false">
      <c r="A3" s="175" t="s">
        <v>266</v>
      </c>
      <c r="B3" s="175" t="s">
        <v>2937</v>
      </c>
      <c r="C3" s="175" t="s">
        <v>4134</v>
      </c>
      <c r="D3" s="175" t="s">
        <v>4135</v>
      </c>
      <c r="E3" s="175" t="s">
        <v>4136</v>
      </c>
      <c r="F3" s="175" t="s">
        <v>4137</v>
      </c>
      <c r="G3" s="175" t="s">
        <v>2572</v>
      </c>
      <c r="H3" s="175" t="s">
        <v>1921</v>
      </c>
    </row>
    <row r="4" customFormat="false" ht="15" hidden="false" customHeight="true" outlineLevel="0" collapsed="false">
      <c r="A4" s="176" t="n">
        <v>31</v>
      </c>
      <c r="B4" s="1" t="s">
        <v>3126</v>
      </c>
      <c r="C4" s="180" t="n">
        <f aca="false">'Construction Budget'!H772</f>
        <v>25614732</v>
      </c>
      <c r="D4" s="178"/>
      <c r="E4" s="180" t="n">
        <f aca="false">C4-D4</f>
        <v>25614732</v>
      </c>
      <c r="F4" s="760" t="n">
        <f aca="false">IF(C4=0,0,E4/C4)</f>
        <v>1</v>
      </c>
      <c r="G4" s="176" t="str">
        <f aca="false">IF(C4=0,"—",IF(D4=0,"Awaiting bids",IF(ABS(F4)&lt;=0.05,"On Target",IF(F4&gt;0,"Under (Bid Low)","Over (Bid High)"))))</f>
        <v>Awaiting bids</v>
      </c>
    </row>
    <row r="5" customFormat="false" ht="15" hidden="false" customHeight="true" outlineLevel="0" collapsed="false">
      <c r="A5" s="233" t="n">
        <v>32</v>
      </c>
      <c r="B5" s="260" t="s">
        <v>3127</v>
      </c>
      <c r="C5" s="237" t="n">
        <f aca="false">'Construction Budget'!H792</f>
        <v>9371809.46422509</v>
      </c>
      <c r="D5" s="761"/>
      <c r="E5" s="237" t="n">
        <f aca="false">C5-D5</f>
        <v>9371809.46422509</v>
      </c>
      <c r="F5" s="356" t="n">
        <f aca="false">IF(C5=0,0,E5/C5)</f>
        <v>1</v>
      </c>
      <c r="G5" s="176" t="str">
        <f aca="false">IF(C5=0,"—",IF(D5=0,"Awaiting bids",IF(ABS(F5)&lt;=0.05,"On Target",IF(F5&gt;0,"Under (Bid Low)","Over (Bid High)"))))</f>
        <v>Awaiting bids</v>
      </c>
      <c r="H5" s="260"/>
    </row>
    <row r="6" customFormat="false" ht="15" hidden="false" customHeight="true" outlineLevel="0" collapsed="false">
      <c r="A6" s="176" t="n">
        <v>33</v>
      </c>
      <c r="B6" s="1" t="s">
        <v>3128</v>
      </c>
      <c r="C6" s="180" t="n">
        <f aca="false">'Construction Budget'!H835</f>
        <v>63598602.375</v>
      </c>
      <c r="D6" s="178"/>
      <c r="E6" s="180" t="n">
        <f aca="false">C6-D6</f>
        <v>63598602.375</v>
      </c>
      <c r="F6" s="760" t="n">
        <f aca="false">IF(C6=0,0,E6/C6)</f>
        <v>1</v>
      </c>
      <c r="G6" s="176" t="str">
        <f aca="false">IF(C6=0,"—",IF(D6=0,"Awaiting bids",IF(ABS(F6)&lt;=0.05,"On Target",IF(F6&gt;0,"Under (Bid Low)","Over (Bid High)"))))</f>
        <v>Awaiting bids</v>
      </c>
    </row>
    <row r="7" customFormat="false" ht="15" hidden="false" customHeight="true" outlineLevel="0" collapsed="false">
      <c r="A7" s="233" t="n">
        <v>3</v>
      </c>
      <c r="B7" s="260" t="s">
        <v>2661</v>
      </c>
      <c r="C7" s="237" t="n">
        <f aca="false">'Construction Budget'!H112</f>
        <v>33466040.3875851</v>
      </c>
      <c r="D7" s="761"/>
      <c r="E7" s="237" t="n">
        <f aca="false">C7-D7</f>
        <v>33466040.3875851</v>
      </c>
      <c r="F7" s="356" t="n">
        <f aca="false">IF(C7=0,0,E7/C7)</f>
        <v>1</v>
      </c>
      <c r="G7" s="176" t="str">
        <f aca="false">IF(C7=0,"—",IF(D7=0,"Awaiting bids",IF(ABS(F7)&lt;=0.05,"On Target",IF(F7&gt;0,"Under (Bid Low)","Over (Bid High)"))))</f>
        <v>Awaiting bids</v>
      </c>
      <c r="H7" s="260"/>
    </row>
    <row r="8" customFormat="false" ht="15" hidden="false" customHeight="true" outlineLevel="0" collapsed="false">
      <c r="A8" s="176" t="n">
        <v>5</v>
      </c>
      <c r="B8" s="1" t="s">
        <v>4138</v>
      </c>
      <c r="C8" s="180" t="n">
        <f aca="false">'Construction Budget'!H164</f>
        <v>40836399.7619533</v>
      </c>
      <c r="D8" s="178"/>
      <c r="E8" s="180" t="n">
        <f aca="false">C8-D8</f>
        <v>40836399.7619533</v>
      </c>
      <c r="F8" s="760" t="n">
        <f aca="false">IF(C8=0,0,E8/C8)</f>
        <v>1</v>
      </c>
      <c r="G8" s="176" t="str">
        <f aca="false">IF(C8=0,"—",IF(D8=0,"Awaiting bids",IF(ABS(F8)&lt;=0.05,"On Target",IF(F8&gt;0,"Under (Bid Low)","Over (Bid High)"))))</f>
        <v>Awaiting bids</v>
      </c>
    </row>
    <row r="9" customFormat="false" ht="15" hidden="false" customHeight="true" outlineLevel="0" collapsed="false">
      <c r="A9" s="233" t="n">
        <v>7</v>
      </c>
      <c r="B9" s="260" t="s">
        <v>4139</v>
      </c>
      <c r="C9" s="237" t="n">
        <f aca="false">'Construction Budget'!H212</f>
        <v>38165650.875</v>
      </c>
      <c r="D9" s="761"/>
      <c r="E9" s="237" t="n">
        <f aca="false">C9-D9</f>
        <v>38165650.875</v>
      </c>
      <c r="F9" s="356" t="n">
        <f aca="false">IF(C9=0,0,E9/C9)</f>
        <v>1</v>
      </c>
      <c r="G9" s="176" t="str">
        <f aca="false">IF(C9=0,"—",IF(D9=0,"Awaiting bids",IF(ABS(F9)&lt;=0.05,"On Target",IF(F9&gt;0,"Under (Bid Low)","Over (Bid High)"))))</f>
        <v>Awaiting bids</v>
      </c>
      <c r="H9" s="260"/>
    </row>
    <row r="10" customFormat="false" ht="15" hidden="false" customHeight="true" outlineLevel="0" collapsed="false">
      <c r="A10" s="176" t="n">
        <v>21</v>
      </c>
      <c r="B10" s="1" t="s">
        <v>2669</v>
      </c>
      <c r="C10" s="180" t="n">
        <f aca="false">'Construction Budget'!H359</f>
        <v>22577593.5</v>
      </c>
      <c r="D10" s="178"/>
      <c r="E10" s="180" t="n">
        <f aca="false">C10-D10</f>
        <v>22577593.5</v>
      </c>
      <c r="F10" s="760" t="n">
        <f aca="false">IF(C10=0,0,E10/C10)</f>
        <v>1</v>
      </c>
      <c r="G10" s="176" t="str">
        <f aca="false">IF(C10=0,"—",IF(D10=0,"Awaiting bids",IF(ABS(F10)&lt;=0.05,"On Target",IF(F10&gt;0,"Under (Bid Low)","Over (Bid High)"))))</f>
        <v>Awaiting bids</v>
      </c>
    </row>
    <row r="11" customFormat="false" ht="15" hidden="false" customHeight="true" outlineLevel="0" collapsed="false">
      <c r="A11" s="233" t="n">
        <v>23</v>
      </c>
      <c r="B11" s="260" t="s">
        <v>2671</v>
      </c>
      <c r="C11" s="237" t="n">
        <f aca="false">'Construction Budget'!H495</f>
        <v>226484248.001927</v>
      </c>
      <c r="D11" s="761"/>
      <c r="E11" s="237" t="n">
        <f aca="false">C11-D11</f>
        <v>226484248.001927</v>
      </c>
      <c r="F11" s="356" t="n">
        <f aca="false">IF(C11=0,0,E11/C11)</f>
        <v>1</v>
      </c>
      <c r="G11" s="176" t="str">
        <f aca="false">IF(C11=0,"—",IF(D11=0,"Awaiting bids",IF(ABS(F11)&lt;=0.05,"On Target",IF(F11&gt;0,"Under (Bid Low)","Over (Bid High)"))))</f>
        <v>Awaiting bids</v>
      </c>
      <c r="H11" s="260"/>
    </row>
    <row r="12" customFormat="false" ht="15" hidden="false" customHeight="true" outlineLevel="0" collapsed="false">
      <c r="A12" s="176" t="n">
        <v>26</v>
      </c>
      <c r="B12" s="1" t="s">
        <v>2673</v>
      </c>
      <c r="C12" s="180" t="n">
        <f aca="false">'Construction Budget'!H665</f>
        <v>248147784.950389</v>
      </c>
      <c r="D12" s="178"/>
      <c r="E12" s="180" t="n">
        <f aca="false">C12-D12</f>
        <v>248147784.950389</v>
      </c>
      <c r="F12" s="760" t="n">
        <f aca="false">IF(C12=0,0,E12/C12)</f>
        <v>1</v>
      </c>
      <c r="G12" s="176" t="str">
        <f aca="false">IF(C12=0,"—",IF(D12=0,"Awaiting bids",IF(ABS(F12)&lt;=0.05,"On Target",IF(F12&gt;0,"Under (Bid Low)","Over (Bid High)"))))</f>
        <v>Awaiting bids</v>
      </c>
    </row>
    <row r="13" customFormat="false" ht="15" hidden="false" customHeight="true" outlineLevel="0" collapsed="false">
      <c r="A13" s="233" t="n">
        <v>8</v>
      </c>
      <c r="B13" s="260" t="s">
        <v>2683</v>
      </c>
      <c r="C13" s="237" t="n">
        <f aca="false">'Construction Budget'!H239</f>
        <v>13742209.9773727</v>
      </c>
      <c r="D13" s="761"/>
      <c r="E13" s="237" t="n">
        <f aca="false">C13-D13</f>
        <v>13742209.9773727</v>
      </c>
      <c r="F13" s="356" t="n">
        <f aca="false">IF(C13=0,0,E13/C13)</f>
        <v>1</v>
      </c>
      <c r="G13" s="176" t="str">
        <f aca="false">IF(C13=0,"—",IF(D13=0,"Awaiting bids",IF(ABS(F13)&lt;=0.05,"On Target",IF(F13&gt;0,"Under (Bid Low)","Over (Bid High)"))))</f>
        <v>Awaiting bids</v>
      </c>
      <c r="H13" s="260"/>
    </row>
    <row r="14" customFormat="false" ht="15" hidden="false" customHeight="true" outlineLevel="0" collapsed="false">
      <c r="A14" s="176" t="n">
        <v>9</v>
      </c>
      <c r="B14" s="1" t="s">
        <v>2685</v>
      </c>
      <c r="C14" s="180" t="n">
        <f aca="false">'Construction Budget'!H272</f>
        <v>33189552</v>
      </c>
      <c r="D14" s="178"/>
      <c r="E14" s="180" t="n">
        <f aca="false">C14-D14</f>
        <v>33189552</v>
      </c>
      <c r="F14" s="760" t="n">
        <f aca="false">IF(C14=0,0,E14/C14)</f>
        <v>1</v>
      </c>
      <c r="G14" s="176" t="str">
        <f aca="false">IF(C14=0,"—",IF(D14=0,"Awaiting bids",IF(ABS(F14)&lt;=0.05,"On Target",IF(F14&gt;0,"Under (Bid Low)","Over (Bid High)"))))</f>
        <v>Awaiting bids</v>
      </c>
    </row>
    <row r="15" customFormat="false" ht="15" hidden="false" customHeight="true" outlineLevel="0" collapsed="false">
      <c r="A15" s="233" t="n">
        <v>10</v>
      </c>
      <c r="B15" s="260" t="s">
        <v>2687</v>
      </c>
      <c r="C15" s="237" t="n">
        <f aca="false">'Construction Budget'!H292</f>
        <v>4010233.425</v>
      </c>
      <c r="D15" s="761"/>
      <c r="E15" s="237" t="n">
        <f aca="false">C15-D15</f>
        <v>4010233.425</v>
      </c>
      <c r="F15" s="356" t="n">
        <f aca="false">IF(C15=0,0,E15/C15)</f>
        <v>1</v>
      </c>
      <c r="G15" s="176" t="str">
        <f aca="false">IF(C15=0,"—",IF(D15=0,"Awaiting bids",IF(ABS(F15)&lt;=0.05,"On Target",IF(F15&gt;0,"Under (Bid Low)","Over (Bid High)"))))</f>
        <v>Awaiting bids</v>
      </c>
      <c r="H15" s="260"/>
    </row>
    <row r="16" customFormat="false" ht="15" hidden="false" customHeight="true" outlineLevel="0" collapsed="false">
      <c r="A16" s="176" t="n">
        <v>27</v>
      </c>
      <c r="B16" s="1" t="s">
        <v>2675</v>
      </c>
      <c r="C16" s="180" t="n">
        <f aca="false">'Construction Budget'!H714</f>
        <v>60417387.7013327</v>
      </c>
      <c r="D16" s="178"/>
      <c r="E16" s="180" t="n">
        <f aca="false">C16-D16</f>
        <v>60417387.7013327</v>
      </c>
      <c r="F16" s="760" t="n">
        <f aca="false">IF(C16=0,0,E16/C16)</f>
        <v>1</v>
      </c>
      <c r="G16" s="176" t="str">
        <f aca="false">IF(C16=0,"—",IF(D16=0,"Awaiting bids",IF(ABS(F16)&lt;=0.05,"On Target",IF(F16&gt;0,"Under (Bid Low)","Over (Bid High)"))))</f>
        <v>Awaiting bids</v>
      </c>
    </row>
    <row r="17" customFormat="false" ht="15" hidden="false" customHeight="true" outlineLevel="0" collapsed="false">
      <c r="A17" s="233" t="n">
        <v>28</v>
      </c>
      <c r="B17" s="260" t="s">
        <v>2679</v>
      </c>
      <c r="C17" s="237" t="n">
        <f aca="false">'Construction Budget'!H742</f>
        <v>15750753.4249814</v>
      </c>
      <c r="D17" s="761"/>
      <c r="E17" s="237" t="n">
        <f aca="false">C17-D17</f>
        <v>15750753.4249814</v>
      </c>
      <c r="F17" s="356" t="n">
        <f aca="false">IF(C17=0,0,E17/C17)</f>
        <v>1</v>
      </c>
      <c r="G17" s="176" t="str">
        <f aca="false">IF(C17=0,"—",IF(D17=0,"Awaiting bids",IF(ABS(F17)&lt;=0.05,"On Target",IF(F17&gt;0,"Under (Bid Low)","Over (Bid High)"))))</f>
        <v>Awaiting bids</v>
      </c>
      <c r="H17" s="260"/>
    </row>
    <row r="18" customFormat="false" ht="15" hidden="false" customHeight="true" outlineLevel="0" collapsed="false">
      <c r="A18" s="176" t="s">
        <v>4140</v>
      </c>
      <c r="B18" s="1" t="s">
        <v>2681</v>
      </c>
      <c r="C18" s="180" t="n">
        <f aca="false">'Construction Budget'!H75</f>
        <v>47367292.5</v>
      </c>
      <c r="D18" s="178"/>
      <c r="E18" s="180" t="n">
        <f aca="false">C18-D18</f>
        <v>47367292.5</v>
      </c>
      <c r="F18" s="760" t="n">
        <f aca="false">IF(C18=0,0,E18/C18)</f>
        <v>1</v>
      </c>
      <c r="G18" s="176" t="str">
        <f aca="false">IF(C18=0,"—",IF(D18=0,"Awaiting bids",IF(ABS(F18)&lt;=0.05,"On Target",IF(F18&gt;0,"Under (Bid Low)","Over (Bid High)"))))</f>
        <v>Awaiting bids</v>
      </c>
    </row>
    <row r="19" customFormat="false" ht="15" hidden="false" customHeight="true" outlineLevel="0" collapsed="false">
      <c r="A19" s="233" t="n">
        <v>1</v>
      </c>
      <c r="B19" s="260" t="s">
        <v>2689</v>
      </c>
      <c r="C19" s="237" t="n">
        <f aca="false">'Construction Budget'!H58</f>
        <v>42983030.6038756</v>
      </c>
      <c r="D19" s="761"/>
      <c r="E19" s="237" t="n">
        <f aca="false">C19-D19</f>
        <v>42983030.6038756</v>
      </c>
      <c r="F19" s="356" t="n">
        <f aca="false">IF(C19=0,0,E19/C19)</f>
        <v>1</v>
      </c>
      <c r="G19" s="176" t="str">
        <f aca="false">IF(C19=0,"—",IF(D19=0,"Awaiting bids",IF(ABS(F19)&lt;=0.05,"On Target",IF(F19&gt;0,"Under (Bid Low)","Over (Bid High)"))))</f>
        <v>Awaiting bids</v>
      </c>
      <c r="H19" s="260"/>
    </row>
    <row r="20" customFormat="false" ht="15" hidden="false" customHeight="true" outlineLevel="0" collapsed="false">
      <c r="A20" s="233" t="n">
        <v>22</v>
      </c>
      <c r="B20" s="260" t="s">
        <v>2667</v>
      </c>
      <c r="C20" s="469" t="n">
        <f aca="false">'Construction Budget'!H387</f>
        <v>22312498.51875</v>
      </c>
      <c r="D20" s="481"/>
      <c r="E20" s="469" t="n">
        <f aca="false">C20-D20</f>
        <v>22312498.51875</v>
      </c>
      <c r="F20" s="762" t="n">
        <f aca="false">IF(C20=0,0,E20/C20)</f>
        <v>1</v>
      </c>
      <c r="G20" s="176" t="str">
        <f aca="false">IF(C20=0,"—",IF(D20=0,"Awaiting bids",IF(ABS(F20)&lt;=0.05,"On Target",IF(F20&gt;0,"Under (Bid Low)","Over (Bid High)"))))</f>
        <v>Awaiting bids</v>
      </c>
      <c r="H20" s="260"/>
    </row>
    <row r="21" customFormat="false" ht="15" hidden="false" customHeight="true" outlineLevel="0" collapsed="false">
      <c r="A21" s="233" t="s">
        <v>2859</v>
      </c>
      <c r="B21" s="260" t="s">
        <v>4141</v>
      </c>
      <c r="C21" s="469" t="n">
        <f aca="false">'Construction Budget'!H37</f>
        <v>113098590</v>
      </c>
      <c r="D21" s="481"/>
      <c r="E21" s="469" t="n">
        <f aca="false">C21-D21</f>
        <v>113098590</v>
      </c>
      <c r="F21" s="762" t="n">
        <f aca="false">IF(C21=0,0,E21/C21)</f>
        <v>1</v>
      </c>
      <c r="G21" s="176" t="str">
        <f aca="false">IF(C21=0,"—",IF(D21=0,"Awaiting bids",IF(ABS(F21)&lt;=0.05,"On Target",IF(F21&gt;0,"Under (Bid Low)","Over (Bid High)"))))</f>
        <v>Awaiting bids</v>
      </c>
      <c r="H21" s="260"/>
    </row>
    <row r="22" customFormat="false" ht="15" hidden="false" customHeight="true" outlineLevel="0" collapsed="false">
      <c r="A22" s="176" t="n">
        <v>4</v>
      </c>
      <c r="B22" s="1" t="s">
        <v>3114</v>
      </c>
      <c r="C22" s="180" t="n">
        <f aca="false">'Construction Budget'!H126</f>
        <v>5656068</v>
      </c>
      <c r="D22" s="178"/>
      <c r="E22" s="180" t="n">
        <f aca="false">C22-D22</f>
        <v>5656068</v>
      </c>
      <c r="F22" s="760" t="n">
        <f aca="false">IF(C22=0,0,E22/C22)</f>
        <v>1</v>
      </c>
      <c r="G22" s="176" t="str">
        <f aca="false">IF(C22=0,"—",IF(D22=0,"Awaiting bids",IF(ABS(F22)&lt;=0.05,"On Target",IF(F22&gt;0,"Under (Bid Low)","Over (Bid High)"))))</f>
        <v>Awaiting bids</v>
      </c>
      <c r="H22" s="260"/>
    </row>
    <row r="23" customFormat="false" ht="15" hidden="false" customHeight="true" outlineLevel="0" collapsed="false">
      <c r="A23" s="176" t="n">
        <v>6</v>
      </c>
      <c r="B23" s="1" t="s">
        <v>3116</v>
      </c>
      <c r="C23" s="180" t="n">
        <f aca="false">'Construction Budget'!H174</f>
        <v>1233678.6</v>
      </c>
      <c r="D23" s="178"/>
      <c r="E23" s="180" t="n">
        <f aca="false">C23-D23</f>
        <v>1233678.6</v>
      </c>
      <c r="F23" s="760" t="n">
        <f aca="false">IF(C23=0,0,E23/C23)</f>
        <v>1</v>
      </c>
      <c r="G23" s="176" t="str">
        <f aca="false">IF(C23=0,"—",IF(D23=0,"Awaiting bids",IF(ABS(F23)&lt;=0.05,"On Target",IF(F23&gt;0,"Under (Bid Low)","Over (Bid High)"))))</f>
        <v>Awaiting bids</v>
      </c>
      <c r="H23" s="260"/>
    </row>
    <row r="24" customFormat="false" ht="15" hidden="false" customHeight="true" outlineLevel="0" collapsed="false">
      <c r="A24" s="176" t="n">
        <v>11</v>
      </c>
      <c r="B24" s="1" t="s">
        <v>3119</v>
      </c>
      <c r="C24" s="180" t="n">
        <f aca="false">'Construction Budget'!H305</f>
        <v>1525590</v>
      </c>
      <c r="D24" s="178"/>
      <c r="E24" s="180" t="n">
        <f aca="false">C24-D24</f>
        <v>1525590</v>
      </c>
      <c r="F24" s="760" t="n">
        <f aca="false">IF(C24=0,0,E24/C24)</f>
        <v>1</v>
      </c>
      <c r="G24" s="176" t="str">
        <f aca="false">IF(C24=0,"—",IF(D24=0,"Awaiting bids",IF(ABS(F24)&lt;=0.05,"On Target",IF(F24&gt;0,"Under (Bid Low)","Over (Bid High)"))))</f>
        <v>Awaiting bids</v>
      </c>
      <c r="H24" s="260"/>
    </row>
    <row r="25" customFormat="false" ht="15" hidden="false" customHeight="true" outlineLevel="0" collapsed="false">
      <c r="A25" s="176" t="n">
        <v>12</v>
      </c>
      <c r="B25" s="1" t="s">
        <v>3120</v>
      </c>
      <c r="C25" s="180" t="n">
        <f aca="false">'Construction Budget'!H315</f>
        <v>1217056.5</v>
      </c>
      <c r="D25" s="178"/>
      <c r="E25" s="180" t="n">
        <f aca="false">C25-D25</f>
        <v>1217056.5</v>
      </c>
      <c r="F25" s="760" t="n">
        <f aca="false">IF(C25=0,0,E25/C25)</f>
        <v>1</v>
      </c>
      <c r="G25" s="176" t="str">
        <f aca="false">IF(C25=0,"—",IF(D25=0,"Awaiting bids",IF(ABS(F25)&lt;=0.05,"On Target",IF(F25&gt;0,"Under (Bid Low)","Over (Bid High)"))))</f>
        <v>Awaiting bids</v>
      </c>
      <c r="H25" s="260"/>
    </row>
    <row r="26" customFormat="false" ht="15" hidden="false" customHeight="true" outlineLevel="0" collapsed="false">
      <c r="A26" s="176" t="n">
        <v>14</v>
      </c>
      <c r="B26" s="1" t="s">
        <v>4142</v>
      </c>
      <c r="C26" s="180" t="n">
        <f aca="false">'Construction Budget'!H324</f>
        <v>4104292.5</v>
      </c>
      <c r="D26" s="178"/>
      <c r="E26" s="180" t="n">
        <f aca="false">C26-D26</f>
        <v>4104292.5</v>
      </c>
      <c r="F26" s="760" t="n">
        <f aca="false">IF(C26=0,0,E26/C26)</f>
        <v>1</v>
      </c>
      <c r="G26" s="176" t="str">
        <f aca="false">IF(C26=0,"—",IF(D26=0,"Awaiting bids",IF(ABS(F26)&lt;=0.05,"On Target",IF(F26&gt;0,"Under (Bid Low)","Over (Bid High)"))))</f>
        <v>Awaiting bids</v>
      </c>
      <c r="H26" s="260"/>
    </row>
    <row r="27" customFormat="false" ht="15" hidden="false" customHeight="true" outlineLevel="0" collapsed="false">
      <c r="A27" s="176" t="n">
        <v>25</v>
      </c>
      <c r="B27" s="1" t="s">
        <v>4143</v>
      </c>
      <c r="C27" s="180" t="n">
        <f aca="false">'Construction Budget'!H517</f>
        <v>13470732</v>
      </c>
      <c r="D27" s="178"/>
      <c r="E27" s="180" t="n">
        <f aca="false">C27-D27</f>
        <v>13470732</v>
      </c>
      <c r="F27" s="760" t="n">
        <f aca="false">IF(C27=0,0,E27/C27)</f>
        <v>1</v>
      </c>
      <c r="G27" s="176" t="str">
        <f aca="false">IF(C27=0,"—",IF(D27=0,"Awaiting bids",IF(ABS(F27)&lt;=0.05,"On Target",IF(F27&gt;0,"Under (Bid Low)","Over (Bid High)"))))</f>
        <v>Awaiting bids</v>
      </c>
      <c r="H27" s="260"/>
    </row>
    <row r="28" customFormat="false" ht="3.75" hidden="false" customHeight="true" outlineLevel="0" collapsed="false">
      <c r="A28" s="197"/>
      <c r="B28" s="763" t="s">
        <v>4125</v>
      </c>
      <c r="C28" s="764" t="n">
        <f aca="false">SUM(C4:C27)</f>
        <v>1088341827.06739</v>
      </c>
      <c r="D28" s="764" t="n">
        <f aca="false">SUM(D4:D27)</f>
        <v>0</v>
      </c>
      <c r="E28" s="764" t="n">
        <f aca="false">C28-D28</f>
        <v>1088341827.06739</v>
      </c>
      <c r="F28" s="765" t="n">
        <f aca="false">IF(C28=0,0,E28/C28)</f>
        <v>1</v>
      </c>
      <c r="G28" s="763" t="str">
        <f aca="false">IF(D28=0,"Awaiting bids",IF(ABS(F28)&lt;=0.05,"On Target",IF(F28&gt;0,"Under (Bid Low)","Over (Bid High)")))</f>
        <v>Awaiting bids</v>
      </c>
      <c r="H28" s="197"/>
    </row>
  </sheetData>
  <mergeCells count="1">
    <mergeCell ref="A1:H1"/>
  </mergeCells>
  <conditionalFormatting sqref="G4:G27">
    <cfRule type="containsText" priority="2" operator="containsText" aboveAverage="0" equalAverage="0" bottom="0" percent="0" rank="0" text="Under" dxfId="3">
      <formula>NOT(ISERROR(SEARCH("Under",G4)))</formula>
    </cfRule>
    <cfRule type="containsText" priority="3" operator="containsText" aboveAverage="0" equalAverage="0" bottom="0" percent="0" rank="0" text="Over" dxfId="6">
      <formula>NOT(ISERROR(SEARCH("Over",G4)))</formula>
    </cfRule>
  </conditionalFormatting>
  <conditionalFormatting sqref="G4:G28">
    <cfRule type="cellIs" priority="4" operator="equal" aboveAverage="0" equalAverage="0" bottom="0" percent="0" rank="0" text="" dxfId="10">
      <formula>"Over (Bid High)"</formula>
    </cfRule>
    <cfRule type="cellIs" priority="5" operator="equal" aboveAverage="0" equalAverage="0" bottom="0" percent="0" rank="0" text="" dxfId="12">
      <formula>"Under (Bid Low)"</formula>
    </cfRule>
    <cfRule type="cellIs" priority="6" operator="equal" aboveAverage="0" equalAverage="0" bottom="0" percent="0" rank="0" text="" dxfId="11">
      <formula>"On Target"</formula>
    </cfRule>
  </conditionalFormatting>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20" activeCellId="0" sqref="B20"/>
    </sheetView>
  </sheetViews>
  <sheetFormatPr defaultColWidth="8.57421875" defaultRowHeight="15" zeroHeight="false" outlineLevelRow="0" outlineLevelCol="0"/>
  <cols>
    <col collapsed="false" customWidth="true" hidden="false" outlineLevel="0" max="1" min="1" style="1" width="41.86"/>
    <col collapsed="false" customWidth="true" hidden="false" outlineLevel="0" max="2" min="2" style="1" width="13.86"/>
    <col collapsed="false" customWidth="true" hidden="false" outlineLevel="0" max="3" min="3" style="1" width="19"/>
    <col collapsed="false" customWidth="true" hidden="false" outlineLevel="0" max="4" min="4" style="1" width="17.14"/>
    <col collapsed="false" customWidth="true" hidden="false" outlineLevel="0" max="8" min="5" style="1" width="24.71"/>
    <col collapsed="false" customWidth="true" hidden="false" outlineLevel="0" max="9" min="9" style="1" width="28.57"/>
    <col collapsed="false" customWidth="true" hidden="false" outlineLevel="0" max="10" min="10" style="1" width="13.29"/>
    <col collapsed="false" customWidth="true" hidden="false" outlineLevel="0" max="12" min="11" style="1" width="47.57"/>
  </cols>
  <sheetData>
    <row r="1" customFormat="false" ht="24" hidden="false" customHeight="true" outlineLevel="0" collapsed="false">
      <c r="A1" s="222" t="s">
        <v>4144</v>
      </c>
      <c r="B1" s="222"/>
      <c r="C1" s="222"/>
      <c r="D1" s="222"/>
      <c r="E1" s="222"/>
      <c r="F1" s="222"/>
      <c r="G1" s="222"/>
      <c r="H1" s="222"/>
      <c r="I1" s="222"/>
      <c r="J1" s="222"/>
      <c r="K1" s="222"/>
      <c r="L1" s="222"/>
    </row>
    <row r="3" customFormat="false" ht="15" hidden="false" customHeight="true" outlineLevel="0" collapsed="false">
      <c r="A3" s="257" t="s">
        <v>4145</v>
      </c>
    </row>
    <row r="5" customFormat="false" ht="15" hidden="false" customHeight="true" outlineLevel="0" collapsed="false">
      <c r="A5" s="230" t="s">
        <v>4146</v>
      </c>
      <c r="B5" s="229" t="s">
        <v>4147</v>
      </c>
      <c r="C5" s="229" t="s">
        <v>4148</v>
      </c>
      <c r="D5" s="229" t="s">
        <v>3215</v>
      </c>
      <c r="E5" s="766" t="s">
        <v>4149</v>
      </c>
      <c r="F5" s="766" t="s">
        <v>4150</v>
      </c>
      <c r="G5" s="766" t="s">
        <v>4151</v>
      </c>
      <c r="H5" s="766" t="s">
        <v>120</v>
      </c>
      <c r="I5" s="766" t="s">
        <v>4152</v>
      </c>
      <c r="J5" s="229" t="s">
        <v>3274</v>
      </c>
      <c r="K5" s="766" t="s">
        <v>1848</v>
      </c>
      <c r="L5" s="766" t="s">
        <v>4153</v>
      </c>
    </row>
    <row r="6" customFormat="false" ht="15" hidden="false" customHeight="true" outlineLevel="0" collapsed="false">
      <c r="A6" s="163" t="s">
        <v>4154</v>
      </c>
      <c r="B6" s="176" t="s">
        <v>4155</v>
      </c>
      <c r="C6" s="176" t="s">
        <v>4156</v>
      </c>
      <c r="D6" s="767" t="n">
        <v>45627</v>
      </c>
      <c r="E6" s="178" t="n">
        <f aca="false">E9*0.9016</f>
        <v>248599895.344908</v>
      </c>
      <c r="F6" s="178" t="n">
        <f aca="false">F9*0.9016</f>
        <v>549219555.884598</v>
      </c>
      <c r="G6" s="178" t="n">
        <f aca="false">G9*0.9016</f>
        <v>183429540.054454</v>
      </c>
      <c r="H6" s="322" t="n">
        <f aca="false">E6+F6+G6</f>
        <v>981248991.28396</v>
      </c>
      <c r="I6" s="264" t="s">
        <v>85</v>
      </c>
      <c r="J6" s="176" t="s">
        <v>85</v>
      </c>
      <c r="K6" s="180" t="n">
        <f aca="false">IF(OR(H6=0,'Campus Rollup'!$D$16=0),"—",H6/'Campus Rollup'!$D$16)</f>
        <v>10902766.5698218</v>
      </c>
      <c r="L6" s="347" t="s">
        <v>4157</v>
      </c>
    </row>
    <row r="7" customFormat="false" ht="15" hidden="false" customHeight="true" outlineLevel="0" collapsed="false">
      <c r="A7" s="163" t="s">
        <v>4158</v>
      </c>
      <c r="B7" s="176" t="s">
        <v>4159</v>
      </c>
      <c r="C7" s="176" t="s">
        <v>4160</v>
      </c>
      <c r="D7" s="767" t="n">
        <v>45810</v>
      </c>
      <c r="E7" s="178" t="n">
        <f aca="false">E9*0.942</f>
        <v>259739464.7459</v>
      </c>
      <c r="F7" s="178" t="n">
        <f aca="false">F9*0.942</f>
        <v>573829660.207732</v>
      </c>
      <c r="G7" s="178" t="n">
        <f aca="false">G9*0.942</f>
        <v>191648876.143851</v>
      </c>
      <c r="H7" s="322" t="n">
        <f aca="false">E7+F7+G7</f>
        <v>1025218001.09748</v>
      </c>
      <c r="I7" s="768" t="n">
        <f aca="false">IF(OR(H7=0,H6=0),"—",H7-H6)</f>
        <v>43969009.8135225</v>
      </c>
      <c r="J7" s="769" t="n">
        <f aca="false">IF(OR(H7=0,H6=0),"—",H7/H6-1)</f>
        <v>0.0448092280390415</v>
      </c>
      <c r="K7" s="180" t="n">
        <f aca="false">IF(OR(H7=0,'Campus Rollup'!$D$16=0),"—",H7/'Campus Rollup'!$D$16)</f>
        <v>11391311.1233054</v>
      </c>
      <c r="L7" s="347" t="s">
        <v>4161</v>
      </c>
    </row>
    <row r="8" customFormat="false" ht="15" hidden="false" customHeight="true" outlineLevel="0" collapsed="false">
      <c r="A8" s="163" t="s">
        <v>4162</v>
      </c>
      <c r="B8" s="176" t="s">
        <v>4163</v>
      </c>
      <c r="C8" s="176" t="s">
        <v>4164</v>
      </c>
      <c r="D8" s="767" t="n">
        <v>45991</v>
      </c>
      <c r="E8" s="178" t="n">
        <f aca="false">E9*0.976</f>
        <v>269114349.885349</v>
      </c>
      <c r="F8" s="178" t="n">
        <f aca="false">F9*0.976</f>
        <v>594541134.143043</v>
      </c>
      <c r="G8" s="178" t="n">
        <f aca="false">G9*0.976</f>
        <v>198566139.189383</v>
      </c>
      <c r="H8" s="322" t="n">
        <f aca="false">E8+F8+G8</f>
        <v>1062221623.21777</v>
      </c>
      <c r="I8" s="768" t="n">
        <f aca="false">IF(OR(H8=0,H7=0),"—",H8-H7)</f>
        <v>37003622.1202915</v>
      </c>
      <c r="J8" s="769" t="n">
        <f aca="false">IF(OR(H8=0,H7=0),"—",H8/H7-1)</f>
        <v>0.0360934182590236</v>
      </c>
      <c r="K8" s="180" t="n">
        <f aca="false">IF(OR(H8=0,'Campus Rollup'!$D$16=0),"—",H8/'Campus Rollup'!$D$16)</f>
        <v>11802462.4801975</v>
      </c>
      <c r="L8" s="347" t="s">
        <v>4165</v>
      </c>
    </row>
    <row r="9" customFormat="false" ht="15" hidden="false" customHeight="true" outlineLevel="0" collapsed="false">
      <c r="A9" s="163" t="s">
        <v>4166</v>
      </c>
      <c r="B9" s="176" t="s">
        <v>4167</v>
      </c>
      <c r="C9" s="176" t="s">
        <v>4168</v>
      </c>
      <c r="D9" s="770" t="n">
        <f aca="false">'Construction Budget'!F3</f>
        <v>46143</v>
      </c>
      <c r="E9" s="250" t="n">
        <f aca="false">'Campus Rollup'!E16</f>
        <v>275731915.866136</v>
      </c>
      <c r="F9" s="250" t="n">
        <f aca="false">'Campus Rollup'!F16</f>
        <v>609160998.09738</v>
      </c>
      <c r="G9" s="250" t="n">
        <f aca="false">'Campus Rollup'!G16</f>
        <v>203448913.103876</v>
      </c>
      <c r="H9" s="322" t="n">
        <f aca="false">E9+F9+G9</f>
        <v>1088341827.06739</v>
      </c>
      <c r="I9" s="768" t="n">
        <f aca="false">IF(OR(H9=0,H8=0),"—",H9-H8)</f>
        <v>26120203.8496175</v>
      </c>
      <c r="J9" s="769" t="n">
        <f aca="false">IF(OR(H9=0,H8=0),"—",H9/H8-1)</f>
        <v>0.0245901639344264</v>
      </c>
      <c r="K9" s="180" t="n">
        <f aca="false">IF(OR(H9=0,'Campus Rollup'!$D$16=0),"—",H9/'Campus Rollup'!$D$16)</f>
        <v>12092686.9674155</v>
      </c>
      <c r="L9" s="347" t="s">
        <v>4169</v>
      </c>
    </row>
    <row r="10" customFormat="false" ht="15" hidden="false" customHeight="true" outlineLevel="0" collapsed="false">
      <c r="A10" s="163" t="s">
        <v>4170</v>
      </c>
      <c r="B10" s="176" t="s">
        <v>4171</v>
      </c>
      <c r="C10" s="176" t="s">
        <v>4172</v>
      </c>
      <c r="D10" s="767" t="n">
        <v>46295</v>
      </c>
      <c r="E10" s="178" t="n">
        <f aca="false">E9*1.02</f>
        <v>281246554.183459</v>
      </c>
      <c r="F10" s="178" t="n">
        <f aca="false">F9*1.02</f>
        <v>621344218.059327</v>
      </c>
      <c r="G10" s="178" t="n">
        <f aca="false">G9*1.02</f>
        <v>207517891.365953</v>
      </c>
      <c r="H10" s="322" t="n">
        <f aca="false">E10+F10+G10</f>
        <v>1110108663.60874</v>
      </c>
      <c r="I10" s="768" t="n">
        <f aca="false">IF(OR(H10=0,H9=0),"—",H10-H9)</f>
        <v>21766836.5413477</v>
      </c>
      <c r="J10" s="769" t="n">
        <f aca="false">IF(OR(H10=0,H9=0),"—",H10/H9-1)</f>
        <v>0.02</v>
      </c>
      <c r="K10" s="180" t="n">
        <f aca="false">IF(OR(H10=0,'Campus Rollup'!$D$16=0),"—",H10/'Campus Rollup'!$D$16)</f>
        <v>12334540.7067638</v>
      </c>
      <c r="L10" s="347" t="s">
        <v>4173</v>
      </c>
    </row>
    <row r="11" customFormat="false" ht="15" hidden="false" customHeight="true" outlineLevel="0" collapsed="false">
      <c r="A11" s="163" t="s">
        <v>4174</v>
      </c>
      <c r="B11" s="176" t="s">
        <v>4175</v>
      </c>
      <c r="C11" s="176" t="s">
        <v>4176</v>
      </c>
      <c r="D11" s="767"/>
      <c r="E11" s="178" t="n">
        <v>0</v>
      </c>
      <c r="F11" s="178" t="n">
        <v>0</v>
      </c>
      <c r="G11" s="178" t="n">
        <v>0</v>
      </c>
      <c r="H11" s="322" t="n">
        <f aca="false">E11+F11+G11</f>
        <v>0</v>
      </c>
      <c r="I11" s="768" t="str">
        <f aca="false">IF(OR(H11=0,H10=0),"—",H11-H10)</f>
        <v>—</v>
      </c>
      <c r="J11" s="769" t="str">
        <f aca="false">IF(OR(H11=0,H10=0),"—",H11/H10-1)</f>
        <v>—</v>
      </c>
      <c r="K11" s="180" t="str">
        <f aca="false">IF(OR(H11=0,'Campus Rollup'!$D$16=0),"—",H11/'Campus Rollup'!$D$16)</f>
        <v>—</v>
      </c>
      <c r="L11" s="347" t="s">
        <v>4177</v>
      </c>
    </row>
    <row r="14" customFormat="false" ht="15.75" hidden="false" customHeight="true" outlineLevel="0" collapsed="false">
      <c r="A14" s="364" t="s">
        <v>4178</v>
      </c>
      <c r="B14" s="364"/>
      <c r="C14" s="364"/>
      <c r="D14" s="364"/>
      <c r="E14" s="364"/>
      <c r="F14" s="364"/>
      <c r="G14" s="364"/>
      <c r="H14" s="364"/>
      <c r="I14" s="364"/>
      <c r="J14" s="364"/>
      <c r="K14" s="364"/>
      <c r="L14" s="364"/>
    </row>
    <row r="16" customFormat="false" ht="15" hidden="false" customHeight="true" outlineLevel="0" collapsed="false">
      <c r="A16" s="163" t="s">
        <v>4179</v>
      </c>
      <c r="E16" s="180" t="n">
        <f aca="false">IF(OR(MAX(H6:H11)=0,H6=0),"—",MAX(H6:H11)-H6)</f>
        <v>128859672.324779</v>
      </c>
    </row>
    <row r="17" customFormat="false" ht="15" hidden="false" customHeight="true" outlineLevel="0" collapsed="false">
      <c r="A17" s="163" t="s">
        <v>4180</v>
      </c>
      <c r="E17" s="771" t="n">
        <f aca="false">IF(OR(MAX(H6:H11)=0,H6=0),"—",MAX(H6:H11)/H6-1)</f>
        <v>0.131322094055013</v>
      </c>
    </row>
    <row r="19" customFormat="false" ht="15" hidden="false" customHeight="true" outlineLevel="0" collapsed="false">
      <c r="A19" s="541" t="s">
        <v>4181</v>
      </c>
      <c r="B19" s="772" t="s">
        <v>4182</v>
      </c>
    </row>
    <row r="20" customFormat="false" ht="15" hidden="false" customHeight="true" outlineLevel="0" collapsed="false">
      <c r="A20" s="773" t="s">
        <v>4183</v>
      </c>
      <c r="B20" s="774" t="n">
        <f aca="false">H9</f>
        <v>1088341827.06739</v>
      </c>
    </row>
    <row r="21" customFormat="false" ht="15" hidden="false" customHeight="true" outlineLevel="0" collapsed="false">
      <c r="A21" s="773" t="s">
        <v>4184</v>
      </c>
    </row>
    <row r="22" customFormat="false" ht="15" hidden="false" customHeight="true" outlineLevel="0" collapsed="false">
      <c r="A22" s="773" t="s">
        <v>4185</v>
      </c>
    </row>
    <row r="24" customFormat="false" ht="18.75" hidden="false" customHeight="true" outlineLevel="0" collapsed="false">
      <c r="A24" s="775" t="s">
        <v>4186</v>
      </c>
    </row>
    <row r="25" customFormat="false" ht="15" hidden="false" customHeight="true" outlineLevel="0" collapsed="false">
      <c r="A25" s="549" t="s">
        <v>4187</v>
      </c>
      <c r="I25" s="776" t="s">
        <v>3609</v>
      </c>
      <c r="J25" s="777" t="n">
        <f aca="false">'Construction Schedule'!B4</f>
        <v>46204</v>
      </c>
    </row>
    <row r="26" customFormat="false" ht="15" hidden="false" customHeight="true" outlineLevel="0" collapsed="false">
      <c r="A26" s="778" t="s">
        <v>4188</v>
      </c>
      <c r="B26" s="779" t="s">
        <v>3764</v>
      </c>
      <c r="C26" s="779" t="s">
        <v>4189</v>
      </c>
      <c r="D26" s="779" t="s">
        <v>4190</v>
      </c>
      <c r="E26" s="779" t="s">
        <v>4191</v>
      </c>
      <c r="F26" s="779" t="s">
        <v>4192</v>
      </c>
      <c r="G26" s="779" t="s">
        <v>4193</v>
      </c>
      <c r="H26" s="779" t="s">
        <v>4194</v>
      </c>
      <c r="I26" s="779" t="s">
        <v>2572</v>
      </c>
      <c r="J26" s="779" t="s">
        <v>3784</v>
      </c>
      <c r="K26" s="779" t="s">
        <v>4195</v>
      </c>
    </row>
    <row r="27" customFormat="false" ht="15" hidden="false" customHeight="true" outlineLevel="0" collapsed="false">
      <c r="A27" s="780" t="s">
        <v>4196</v>
      </c>
      <c r="B27" s="781" t="s">
        <v>4197</v>
      </c>
      <c r="C27" s="781" t="s">
        <v>2944</v>
      </c>
      <c r="D27" s="782" t="n">
        <f aca="false">'Construction Schedule'!G15</f>
        <v>45813</v>
      </c>
      <c r="E27" s="782" t="n">
        <f aca="false">'Construction Schedule'!F15</f>
        <v>45813</v>
      </c>
      <c r="F27" s="783"/>
      <c r="G27" s="784" t="n">
        <f aca="false">IF($F27&lt;&gt;"",$F27-$D27,$E27-$D27)</f>
        <v>0</v>
      </c>
      <c r="H27" s="785" t="n">
        <f aca="false">'Construction Schedule'!J15</f>
        <v>0</v>
      </c>
      <c r="I27" s="781" t="str">
        <f aca="false">IF($F27&lt;&gt;"","✓ Complete",IF($E27&lt;='Construction Schedule'!$B$4,"◑ Reached — log actual",IF($H27&lt;=0,"▲ On Critical Path",IF($E27-'Construction Schedule'!$B$4&lt;=90,"◐ Upcoming ≤90d","On Track"))))</f>
        <v>◑ Reached — log actual</v>
      </c>
      <c r="J27" s="786" t="str">
        <f aca="false">'Construction Schedule'!K15</f>
        <v>● CRITICAL</v>
      </c>
      <c r="K27" s="787" t="s">
        <v>4198</v>
      </c>
    </row>
    <row r="28" customFormat="false" ht="15" hidden="false" customHeight="true" outlineLevel="0" collapsed="false">
      <c r="A28" s="780" t="s">
        <v>4199</v>
      </c>
      <c r="B28" s="781" t="s">
        <v>4200</v>
      </c>
      <c r="C28" s="781" t="s">
        <v>2944</v>
      </c>
      <c r="D28" s="782" t="n">
        <f aca="false">'Construction Schedule'!G18</f>
        <v>45858</v>
      </c>
      <c r="E28" s="782" t="n">
        <f aca="false">'Construction Schedule'!F18</f>
        <v>45858</v>
      </c>
      <c r="F28" s="783"/>
      <c r="G28" s="784" t="n">
        <f aca="false">IF($F28&lt;&gt;"",$F28-$D28,$E28-$D28)</f>
        <v>0</v>
      </c>
      <c r="H28" s="785" t="n">
        <f aca="false">'Construction Schedule'!J18</f>
        <v>0</v>
      </c>
      <c r="I28" s="781" t="str">
        <f aca="false">IF($F28&lt;&gt;"","✓ Complete",IF($E28&lt;='Construction Schedule'!$B$4,"◑ Reached — log actual",IF($H28&lt;=0,"▲ On Critical Path",IF($E28-'Construction Schedule'!$B$4&lt;=90,"◐ Upcoming ≤90d","On Track"))))</f>
        <v>◑ Reached — log actual</v>
      </c>
      <c r="J28" s="786" t="str">
        <f aca="false">'Construction Schedule'!K18</f>
        <v>● CRITICAL</v>
      </c>
      <c r="K28" s="787" t="s">
        <v>4201</v>
      </c>
    </row>
    <row r="29" customFormat="false" ht="15" hidden="false" customHeight="true" outlineLevel="0" collapsed="false">
      <c r="A29" s="780" t="s">
        <v>4202</v>
      </c>
      <c r="B29" s="781" t="s">
        <v>4203</v>
      </c>
      <c r="C29" s="781" t="s">
        <v>4204</v>
      </c>
      <c r="D29" s="782" t="n">
        <f aca="false">'Construction Schedule'!G27</f>
        <v>46143</v>
      </c>
      <c r="E29" s="782" t="n">
        <f aca="false">'Construction Schedule'!F27</f>
        <v>46143</v>
      </c>
      <c r="F29" s="783"/>
      <c r="G29" s="784" t="n">
        <f aca="false">IF($F29&lt;&gt;"",$F29-$D29,$E29-$D29)</f>
        <v>0</v>
      </c>
      <c r="H29" s="785" t="n">
        <f aca="false">'Construction Schedule'!J27</f>
        <v>0</v>
      </c>
      <c r="I29" s="781" t="str">
        <f aca="false">IF($F29&lt;&gt;"","✓ Complete",IF($E29&lt;='Construction Schedule'!$B$4,"◑ Reached — log actual",IF($H29&lt;=0,"▲ On Critical Path",IF($E29-'Construction Schedule'!$B$4&lt;=90,"◐ Upcoming ≤90d","On Track"))))</f>
        <v>◑ Reached — log actual</v>
      </c>
      <c r="J29" s="786" t="str">
        <f aca="false">'Construction Schedule'!K27</f>
        <v>● CRITICAL</v>
      </c>
      <c r="K29" s="787" t="s">
        <v>4205</v>
      </c>
    </row>
    <row r="30" customFormat="false" ht="15" hidden="false" customHeight="true" outlineLevel="0" collapsed="false">
      <c r="A30" s="780" t="s">
        <v>4206</v>
      </c>
      <c r="B30" s="781" t="s">
        <v>4207</v>
      </c>
      <c r="C30" s="781" t="s">
        <v>3841</v>
      </c>
      <c r="D30" s="782" t="n">
        <f aca="false">'Construction Schedule'!G37</f>
        <v>46173</v>
      </c>
      <c r="E30" s="782" t="n">
        <f aca="false">'Construction Schedule'!F37</f>
        <v>46173</v>
      </c>
      <c r="F30" s="783"/>
      <c r="G30" s="784" t="n">
        <f aca="false">IF($F30&lt;&gt;"",$F30-$D30,$E30-$D30)</f>
        <v>0</v>
      </c>
      <c r="H30" s="785" t="n">
        <f aca="false">'Construction Schedule'!J37</f>
        <v>0</v>
      </c>
      <c r="I30" s="781" t="str">
        <f aca="false">IF($F30&lt;&gt;"","✓ Complete",IF($E30&lt;='Construction Schedule'!$B$4,"◑ Reached — log actual",IF($H30&lt;=0,"▲ On Critical Path",IF($E30-'Construction Schedule'!$B$4&lt;=90,"◐ Upcoming ≤90d","On Track"))))</f>
        <v>◑ Reached — log actual</v>
      </c>
      <c r="J30" s="786" t="str">
        <f aca="false">'Construction Schedule'!K37</f>
        <v>● CRITICAL</v>
      </c>
      <c r="K30" s="787" t="s">
        <v>4208</v>
      </c>
    </row>
    <row r="31" customFormat="false" ht="15" hidden="false" customHeight="true" outlineLevel="0" collapsed="false">
      <c r="A31" s="780" t="s">
        <v>4209</v>
      </c>
      <c r="B31" s="781" t="s">
        <v>4210</v>
      </c>
      <c r="C31" s="781" t="s">
        <v>4211</v>
      </c>
      <c r="D31" s="782" t="n">
        <f aca="false">'Construction Schedule'!G41</f>
        <v>46083</v>
      </c>
      <c r="E31" s="782" t="n">
        <f aca="false">'Construction Schedule'!F41</f>
        <v>46083</v>
      </c>
      <c r="F31" s="783"/>
      <c r="G31" s="784" t="n">
        <f aca="false">IF($F31&lt;&gt;"",$F31-$D31,$E31-$D31)</f>
        <v>0</v>
      </c>
      <c r="H31" s="785" t="n">
        <f aca="false">'Construction Schedule'!J41</f>
        <v>0</v>
      </c>
      <c r="I31" s="781" t="str">
        <f aca="false">IF($F31&lt;&gt;"","✓ Complete",IF($E31&lt;='Construction Schedule'!$B$4,"◑ Reached — log actual",IF($H31&lt;=0,"▲ On Critical Path",IF($E31-'Construction Schedule'!$B$4&lt;=90,"◐ Upcoming ≤90d","On Track"))))</f>
        <v>◑ Reached — log actual</v>
      </c>
      <c r="J31" s="786" t="str">
        <f aca="false">'Construction Schedule'!K41</f>
        <v>● CRITICAL</v>
      </c>
      <c r="K31" s="787" t="s">
        <v>4212</v>
      </c>
    </row>
    <row r="32" customFormat="false" ht="15" hidden="false" customHeight="true" outlineLevel="0" collapsed="false">
      <c r="A32" s="780" t="s">
        <v>4213</v>
      </c>
      <c r="B32" s="781" t="s">
        <v>4214</v>
      </c>
      <c r="C32" s="781" t="s">
        <v>4215</v>
      </c>
      <c r="D32" s="782" t="n">
        <f aca="false">'Construction Schedule'!E62</f>
        <v>46143</v>
      </c>
      <c r="E32" s="782" t="n">
        <f aca="false">'Construction Schedule'!E62</f>
        <v>46143</v>
      </c>
      <c r="F32" s="783"/>
      <c r="G32" s="784" t="n">
        <f aca="false">IF($F32&lt;&gt;"",$F32-$D32,$E32-$D32)</f>
        <v>0</v>
      </c>
      <c r="H32" s="785" t="n">
        <f aca="false">'Construction Schedule'!J62</f>
        <v>0</v>
      </c>
      <c r="I32" s="781" t="str">
        <f aca="false">IF($F32&lt;&gt;"","✓ Complete",IF($E32&lt;='Construction Schedule'!$B$4,"◑ Reached — log actual",IF($H32&lt;=0,"▲ On Critical Path",IF($E32-'Construction Schedule'!$B$4&lt;=90,"◐ Upcoming ≤90d","On Track"))))</f>
        <v>◑ Reached — log actual</v>
      </c>
      <c r="J32" s="786" t="str">
        <f aca="false">'Construction Schedule'!K62</f>
        <v>● CRITICAL</v>
      </c>
      <c r="K32" s="787" t="s">
        <v>4216</v>
      </c>
    </row>
    <row r="33" customFormat="false" ht="15" hidden="false" customHeight="true" outlineLevel="0" collapsed="false">
      <c r="A33" s="780" t="s">
        <v>4217</v>
      </c>
      <c r="B33" s="781" t="s">
        <v>4210</v>
      </c>
      <c r="C33" s="781" t="s">
        <v>3857</v>
      </c>
      <c r="D33" s="782" t="n">
        <f aca="false">'Construction Schedule'!G60</f>
        <v>46323</v>
      </c>
      <c r="E33" s="782" t="n">
        <f aca="false">'Construction Schedule'!F60</f>
        <v>46323</v>
      </c>
      <c r="F33" s="783"/>
      <c r="G33" s="784" t="n">
        <f aca="false">IF($F33&lt;&gt;"",$F33-$D33,$E33-$D33)</f>
        <v>0</v>
      </c>
      <c r="H33" s="785" t="n">
        <f aca="false">'Construction Schedule'!J60</f>
        <v>850</v>
      </c>
      <c r="I33" s="781" t="str">
        <f aca="false">IF($F33&lt;&gt;"","✓ Complete",IF($E33&lt;='Construction Schedule'!$B$4,"◑ Reached — log actual",IF($H33&lt;=0,"▲ On Critical Path",IF($E33-'Construction Schedule'!$B$4&lt;=90,"◐ Upcoming ≤90d","On Track"))))</f>
        <v>On Track</v>
      </c>
      <c r="J33" s="786" t="str">
        <f aca="false">'Construction Schedule'!K60</f>
        <v/>
      </c>
      <c r="K33" s="787" t="s">
        <v>4218</v>
      </c>
    </row>
    <row r="34" customFormat="false" ht="15" hidden="false" customHeight="true" outlineLevel="0" collapsed="false">
      <c r="A34" s="780" t="s">
        <v>4219</v>
      </c>
      <c r="B34" s="781" t="s">
        <v>4220</v>
      </c>
      <c r="C34" s="781" t="s">
        <v>3858</v>
      </c>
      <c r="D34" s="782" t="n">
        <f aca="false">'Construction Schedule'!G90</f>
        <v>46628</v>
      </c>
      <c r="E34" s="782" t="n">
        <f aca="false">'Construction Schedule'!F90</f>
        <v>46628</v>
      </c>
      <c r="F34" s="783"/>
      <c r="G34" s="784" t="n">
        <f aca="false">IF($F34&lt;&gt;"",$F34-$D34,$E34-$D34)</f>
        <v>0</v>
      </c>
      <c r="H34" s="785" t="n">
        <f aca="false">'Construction Schedule'!J90</f>
        <v>0</v>
      </c>
      <c r="I34" s="781" t="str">
        <f aca="false">IF($F34&lt;&gt;"","✓ Complete",IF($E34&lt;='Construction Schedule'!$B$4,"◑ Reached — log actual",IF($H34&lt;=0,"▲ On Critical Path",IF($E34-'Construction Schedule'!$B$4&lt;=90,"◐ Upcoming ≤90d","On Track"))))</f>
        <v>▲ On Critical Path</v>
      </c>
      <c r="J34" s="786" t="str">
        <f aca="false">'Construction Schedule'!K90</f>
        <v>● CRITICAL</v>
      </c>
      <c r="K34" s="787" t="s">
        <v>4221</v>
      </c>
    </row>
    <row r="35" customFormat="false" ht="15" hidden="false" customHeight="true" outlineLevel="0" collapsed="false">
      <c r="A35" s="780" t="s">
        <v>4222</v>
      </c>
      <c r="B35" s="781" t="s">
        <v>4223</v>
      </c>
      <c r="C35" s="781" t="s">
        <v>3858</v>
      </c>
      <c r="D35" s="782" t="n">
        <f aca="false">'Construction Schedule'!G99</f>
        <v>46673</v>
      </c>
      <c r="E35" s="782" t="n">
        <f aca="false">'Construction Schedule'!F99</f>
        <v>46673</v>
      </c>
      <c r="F35" s="783"/>
      <c r="G35" s="784" t="n">
        <f aca="false">IF($F35&lt;&gt;"",$F35-$D35,$E35-$D35)</f>
        <v>0</v>
      </c>
      <c r="H35" s="785" t="n">
        <f aca="false">'Construction Schedule'!J99</f>
        <v>0</v>
      </c>
      <c r="I35" s="781" t="str">
        <f aca="false">IF($F35&lt;&gt;"","✓ Complete",IF($E35&lt;='Construction Schedule'!$B$4,"◑ Reached — log actual",IF($H35&lt;=0,"▲ On Critical Path",IF($E35-'Construction Schedule'!$B$4&lt;=90,"◐ Upcoming ≤90d","On Track"))))</f>
        <v>▲ On Critical Path</v>
      </c>
      <c r="J35" s="786" t="str">
        <f aca="false">'Construction Schedule'!K99</f>
        <v>● CRITICAL</v>
      </c>
      <c r="K35" s="787" t="s">
        <v>4224</v>
      </c>
    </row>
    <row r="36" customFormat="false" ht="15" hidden="false" customHeight="true" outlineLevel="0" collapsed="false">
      <c r="A36" s="780" t="s">
        <v>4225</v>
      </c>
      <c r="B36" s="781" t="s">
        <v>4226</v>
      </c>
      <c r="C36" s="781" t="s">
        <v>4227</v>
      </c>
      <c r="D36" s="782" t="n">
        <f aca="false">'Construction Schedule'!G114</f>
        <v>46988</v>
      </c>
      <c r="E36" s="782" t="n">
        <f aca="false">'Construction Schedule'!F114</f>
        <v>46988</v>
      </c>
      <c r="F36" s="783"/>
      <c r="G36" s="784" t="n">
        <f aca="false">IF($F36&lt;&gt;"",$F36-$D36,$E36-$D36)</f>
        <v>0</v>
      </c>
      <c r="H36" s="785" t="n">
        <f aca="false">'Construction Schedule'!J114</f>
        <v>0</v>
      </c>
      <c r="I36" s="781" t="str">
        <f aca="false">IF($F36&lt;&gt;"","✓ Complete",IF($E36&lt;='Construction Schedule'!$B$4,"◑ Reached — log actual",IF($H36&lt;=0,"▲ On Critical Path",IF($E36-'Construction Schedule'!$B$4&lt;=90,"◐ Upcoming ≤90d","On Track"))))</f>
        <v>▲ On Critical Path</v>
      </c>
      <c r="J36" s="786" t="str">
        <f aca="false">'Construction Schedule'!K114</f>
        <v>● CRITICAL</v>
      </c>
      <c r="K36" s="787" t="s">
        <v>4228</v>
      </c>
    </row>
    <row r="37" customFormat="false" ht="15" hidden="false" customHeight="true" outlineLevel="0" collapsed="false">
      <c r="A37" s="780" t="s">
        <v>4229</v>
      </c>
      <c r="B37" s="781" t="s">
        <v>4230</v>
      </c>
      <c r="C37" s="781" t="s">
        <v>3857</v>
      </c>
      <c r="D37" s="782" t="n">
        <f aca="false">'Construction Schedule'!G127</f>
        <v>47018</v>
      </c>
      <c r="E37" s="782" t="n">
        <f aca="false">'Construction Schedule'!F127</f>
        <v>47018</v>
      </c>
      <c r="F37" s="783"/>
      <c r="G37" s="784" t="n">
        <f aca="false">IF($F37&lt;&gt;"",$F37-$D37,$E37-$D37)</f>
        <v>0</v>
      </c>
      <c r="H37" s="785" t="n">
        <f aca="false">'Construction Schedule'!J127</f>
        <v>15</v>
      </c>
      <c r="I37" s="781" t="str">
        <f aca="false">IF($F37&lt;&gt;"","✓ Complete",IF($E37&lt;='Construction Schedule'!$B$4,"◑ Reached — log actual",IF($H37&lt;=0,"▲ On Critical Path",IF($E37-'Construction Schedule'!$B$4&lt;=90,"◐ Upcoming ≤90d","On Track"))))</f>
        <v>On Track</v>
      </c>
      <c r="J37" s="786" t="str">
        <f aca="false">'Construction Schedule'!K127</f>
        <v/>
      </c>
      <c r="K37" s="787" t="s">
        <v>4231</v>
      </c>
    </row>
    <row r="38" customFormat="false" ht="15" hidden="false" customHeight="true" outlineLevel="0" collapsed="false">
      <c r="A38" s="780" t="s">
        <v>4232</v>
      </c>
      <c r="B38" s="781" t="s">
        <v>4233</v>
      </c>
      <c r="C38" s="781" t="s">
        <v>4234</v>
      </c>
      <c r="D38" s="782" t="n">
        <f aca="false">'Construction Schedule'!G156</f>
        <v>47133</v>
      </c>
      <c r="E38" s="782" t="n">
        <f aca="false">'Construction Schedule'!F156</f>
        <v>47133</v>
      </c>
      <c r="F38" s="783"/>
      <c r="G38" s="784" t="n">
        <f aca="false">IF($F38&lt;&gt;"",$F38-$D38,$E38-$D38)</f>
        <v>0</v>
      </c>
      <c r="H38" s="785" t="n">
        <f aca="false">'Construction Schedule'!J156</f>
        <v>0</v>
      </c>
      <c r="I38" s="781" t="str">
        <f aca="false">IF($F38&lt;&gt;"","✓ Complete",IF($E38&lt;='Construction Schedule'!$B$4,"◑ Reached — log actual",IF($H38&lt;=0,"▲ On Critical Path",IF($E38-'Construction Schedule'!$B$4&lt;=90,"◐ Upcoming ≤90d","On Track"))))</f>
        <v>▲ On Critical Path</v>
      </c>
      <c r="J38" s="786" t="str">
        <f aca="false">'Construction Schedule'!K156</f>
        <v>● CRITICAL</v>
      </c>
      <c r="K38" s="787" t="s">
        <v>4235</v>
      </c>
    </row>
    <row r="39" customFormat="false" ht="15" hidden="false" customHeight="true" outlineLevel="0" collapsed="false">
      <c r="A39" s="780" t="s">
        <v>4236</v>
      </c>
      <c r="B39" s="781" t="s">
        <v>4237</v>
      </c>
      <c r="C39" s="781" t="s">
        <v>4211</v>
      </c>
      <c r="D39" s="782" t="n">
        <f aca="false">'Construction Schedule'!G158</f>
        <v>47138</v>
      </c>
      <c r="E39" s="782" t="n">
        <f aca="false">'Construction Schedule'!F158</f>
        <v>47138</v>
      </c>
      <c r="F39" s="783"/>
      <c r="G39" s="784" t="n">
        <f aca="false">IF($F39&lt;&gt;"",$F39-$D39,$E39-$D39)</f>
        <v>0</v>
      </c>
      <c r="H39" s="785" t="n">
        <f aca="false">'Construction Schedule'!J158</f>
        <v>0</v>
      </c>
      <c r="I39" s="781" t="str">
        <f aca="false">IF($F39&lt;&gt;"","✓ Complete",IF($E39&lt;='Construction Schedule'!$B$4,"◑ Reached — log actual",IF($H39&lt;=0,"▲ On Critical Path",IF($E39-'Construction Schedule'!$B$4&lt;=90,"◐ Upcoming ≤90d","On Track"))))</f>
        <v>▲ On Critical Path</v>
      </c>
      <c r="J39" s="786" t="str">
        <f aca="false">'Construction Schedule'!K158</f>
        <v>● CRITICAL</v>
      </c>
      <c r="K39" s="787" t="s">
        <v>4238</v>
      </c>
    </row>
    <row r="40" customFormat="false" ht="15" hidden="false" customHeight="true" outlineLevel="0" collapsed="false">
      <c r="A40" s="780" t="s">
        <v>4239</v>
      </c>
      <c r="B40" s="781" t="s">
        <v>4237</v>
      </c>
      <c r="C40" s="781" t="s">
        <v>3835</v>
      </c>
      <c r="D40" s="782" t="n">
        <f aca="false">'Construction Schedule'!G159</f>
        <v>47158</v>
      </c>
      <c r="E40" s="782" t="n">
        <f aca="false">'Construction Schedule'!F159</f>
        <v>47158</v>
      </c>
      <c r="F40" s="783"/>
      <c r="G40" s="784" t="n">
        <f aca="false">IF($F40&lt;&gt;"",$F40-$D40,$E40-$D40)</f>
        <v>0</v>
      </c>
      <c r="H40" s="785" t="n">
        <f aca="false">'Construction Schedule'!J159</f>
        <v>0</v>
      </c>
      <c r="I40" s="781" t="str">
        <f aca="false">IF($F40&lt;&gt;"","✓ Complete",IF($E40&lt;='Construction Schedule'!$B$4,"◑ Reached — log actual",IF($H40&lt;=0,"▲ On Critical Path",IF($E40-'Construction Schedule'!$B$4&lt;=90,"◐ Upcoming ≤90d","On Track"))))</f>
        <v>▲ On Critical Path</v>
      </c>
      <c r="J40" s="786" t="str">
        <f aca="false">'Construction Schedule'!K159</f>
        <v>● CRITICAL</v>
      </c>
      <c r="K40" s="787" t="s">
        <v>4240</v>
      </c>
    </row>
    <row r="41" customFormat="false" ht="15" hidden="false" customHeight="true" outlineLevel="0" collapsed="false">
      <c r="A41" s="780" t="s">
        <v>4241</v>
      </c>
      <c r="B41" s="781" t="s">
        <v>4237</v>
      </c>
      <c r="C41" s="781" t="s">
        <v>2944</v>
      </c>
      <c r="D41" s="782" t="n">
        <f aca="false">'Construction Schedule'!G166</f>
        <v>47173</v>
      </c>
      <c r="E41" s="782" t="n">
        <f aca="false">'Construction Schedule'!F166</f>
        <v>47173</v>
      </c>
      <c r="F41" s="783"/>
      <c r="G41" s="784" t="n">
        <f aca="false">IF($F41&lt;&gt;"",$F41-$D41,$E41-$D41)</f>
        <v>0</v>
      </c>
      <c r="H41" s="785" t="n">
        <f aca="false">'Construction Schedule'!J166</f>
        <v>0</v>
      </c>
      <c r="I41" s="781" t="str">
        <f aca="false">IF($F41&lt;&gt;"","✓ Complete",IF($E41&lt;='Construction Schedule'!$B$4,"◑ Reached — log actual",IF($H41&lt;=0,"▲ On Critical Path",IF($E41-'Construction Schedule'!$B$4&lt;=90,"◐ Upcoming ≤90d","On Track"))))</f>
        <v>▲ On Critical Path</v>
      </c>
      <c r="J41" s="786" t="str">
        <f aca="false">'Construction Schedule'!K166</f>
        <v>● CRITICAL</v>
      </c>
      <c r="K41" s="787" t="s">
        <v>4242</v>
      </c>
    </row>
    <row r="43" customFormat="false" ht="15.75" hidden="false" customHeight="true" outlineLevel="0" collapsed="false">
      <c r="A43" s="364" t="s">
        <v>4243</v>
      </c>
      <c r="B43" s="149"/>
      <c r="C43" s="149"/>
      <c r="D43" s="149"/>
      <c r="E43" s="149"/>
      <c r="F43" s="149"/>
      <c r="G43" s="149"/>
      <c r="H43" s="149"/>
      <c r="I43" s="149"/>
      <c r="J43" s="149"/>
      <c r="K43" s="149"/>
    </row>
    <row r="44" customFormat="false" ht="15" hidden="false" customHeight="true" outlineLevel="0" collapsed="false">
      <c r="A44" s="541" t="s">
        <v>4244</v>
      </c>
      <c r="C44" s="788" t="n">
        <f aca="false">COUNTA(A27:A41)</f>
        <v>15</v>
      </c>
      <c r="E44" s="541" t="s">
        <v>4245</v>
      </c>
      <c r="G44" s="299" t="n">
        <f aca="false" t="array" ref="G44:G44">SUMPRODUCT(--ISNUMBER(SEARCH("Owner",C27:C41)))</f>
        <v>8</v>
      </c>
    </row>
    <row r="45" customFormat="false" ht="15" hidden="false" customHeight="true" outlineLevel="0" collapsed="false">
      <c r="A45" s="541" t="s">
        <v>4246</v>
      </c>
      <c r="C45" s="788" t="n">
        <f aca="false">COUNTIF(J27:J41,"●*")</f>
        <v>13</v>
      </c>
      <c r="E45" s="541" t="s">
        <v>4247</v>
      </c>
      <c r="G45" s="299" t="n">
        <f aca="false" t="array" ref="G45:G45">SUMPRODUCT(--(ISNUMBER(SEARCH("CM",C27:C41))+ISNUMBER(SEARCH("GC",C27:C41))&gt;0))</f>
        <v>8</v>
      </c>
    </row>
    <row r="46" customFormat="false" ht="15" hidden="false" customHeight="true" outlineLevel="0" collapsed="false">
      <c r="A46" s="541" t="s">
        <v>4248</v>
      </c>
      <c r="C46" s="788" t="n">
        <f aca="false">COUNTIF(I27:I41,"◑*")</f>
        <v>6</v>
      </c>
      <c r="E46" s="541" t="s">
        <v>4249</v>
      </c>
      <c r="G46" s="541" t="str">
        <f aca="false">INDEX(A27:A41,MATCH(_xlfn.MINIFS(E27:E41,E27:E41,"&gt;="&amp;$J$25),E27:E41,0))</f>
        <v>All Major Equipment On Site</v>
      </c>
    </row>
    <row r="47" customFormat="false" ht="15" hidden="false" customHeight="true" outlineLevel="0" collapsed="false">
      <c r="A47" s="541" t="s">
        <v>4250</v>
      </c>
      <c r="C47" s="788" t="n">
        <f aca="false">COUNTIF(I27:I41,"◐*")</f>
        <v>0</v>
      </c>
      <c r="E47" s="541" t="s">
        <v>4251</v>
      </c>
      <c r="G47" s="789" t="n">
        <f aca="false">_xlfn.MINIFS(E27:E41,E27:E41,"&gt;="&amp;$J$25)</f>
        <v>46323</v>
      </c>
    </row>
  </sheetData>
  <mergeCells count="4">
    <mergeCell ref="A1:C1"/>
    <mergeCell ref="D1:F1"/>
    <mergeCell ref="G1:I1"/>
    <mergeCell ref="J1:L1"/>
  </mergeCells>
  <conditionalFormatting sqref="J7:J11">
    <cfRule type="cellIs" priority="2" operator="greaterThan" aboveAverage="0" equalAverage="0" bottom="0" percent="0" rank="0" text="" dxfId="10">
      <formula>0.1</formula>
    </cfRule>
    <cfRule type="cellIs" priority="3" operator="greaterThan" aboveAverage="0" equalAverage="0" bottom="0" percent="0" rank="0" text="" dxfId="11">
      <formula>0.05</formula>
    </cfRule>
  </conditionalFormatting>
  <conditionalFormatting sqref="I27:I41">
    <cfRule type="containsText" priority="4" operator="containsText" aboveAverage="0" equalAverage="0" bottom="0" percent="0" rank="0" text="Complete" dxfId="3">
      <formula>NOT(ISERROR(SEARCH("Complete",I27)))</formula>
    </cfRule>
    <cfRule type="containsText" priority="5" operator="containsText" aboveAverage="0" equalAverage="0" bottom="0" percent="0" rank="0" text="Critical" dxfId="6">
      <formula>NOT(ISERROR(SEARCH("Critical",I27)))</formula>
    </cfRule>
    <cfRule type="containsText" priority="6" operator="containsText" aboveAverage="0" equalAverage="0" bottom="0" percent="0" rank="0" text="Reached" dxfId="26">
      <formula>NOT(ISERROR(SEARCH("Reached",I27)))</formula>
    </cfRule>
    <cfRule type="containsText" priority="7" operator="containsText" aboveAverage="0" equalAverage="0" bottom="0" percent="0" rank="0" text="Upcoming" dxfId="27">
      <formula>NOT(ISERROR(SEARCH("Upcoming",I27)))</formula>
    </cfRule>
  </conditionalFormatting>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L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I44" activeCellId="0" sqref="I44"/>
    </sheetView>
  </sheetViews>
  <sheetFormatPr defaultColWidth="8.57421875" defaultRowHeight="15" zeroHeight="false" outlineLevelRow="0" outlineLevelCol="0"/>
  <cols>
    <col collapsed="false" customWidth="true" hidden="false" outlineLevel="0" max="1" min="1" style="1" width="9"/>
    <col collapsed="false" customWidth="true" hidden="false" outlineLevel="0" max="2" min="2" style="1" width="40"/>
    <col collapsed="false" customWidth="true" hidden="false" outlineLevel="0" max="3" min="3" style="1" width="18"/>
    <col collapsed="false" customWidth="true" hidden="false" outlineLevel="0" max="4" min="4" style="1" width="8"/>
    <col collapsed="false" customWidth="true" hidden="false" outlineLevel="0" max="7" min="5" style="1" width="11"/>
    <col collapsed="false" customWidth="true" hidden="false" outlineLevel="0" max="8" min="8" style="1" width="13.57"/>
    <col collapsed="false" customWidth="true" hidden="false" outlineLevel="0" max="9" min="9" style="1" width="24"/>
    <col collapsed="false" customWidth="true" hidden="false" outlineLevel="0" max="10" min="10" style="1" width="12"/>
    <col collapsed="false" customWidth="true" hidden="false" outlineLevel="0" max="11" min="11" style="1" width="3"/>
    <col collapsed="false" customWidth="true" hidden="false" outlineLevel="0" max="12" min="12" style="1" width="14"/>
  </cols>
  <sheetData>
    <row r="1" customFormat="false" ht="27.75" hidden="false" customHeight="true" outlineLevel="0" collapsed="false">
      <c r="A1" s="105" t="s">
        <v>4252</v>
      </c>
      <c r="B1" s="105"/>
      <c r="C1" s="105"/>
      <c r="D1" s="105"/>
      <c r="E1" s="105"/>
      <c r="F1" s="105"/>
      <c r="G1" s="105"/>
      <c r="H1" s="105"/>
      <c r="I1" s="105"/>
      <c r="J1" s="105"/>
    </row>
    <row r="2" customFormat="false" ht="15" hidden="false" customHeight="true" outlineLevel="0" collapsed="false">
      <c r="A2" s="3" t="s">
        <v>4253</v>
      </c>
      <c r="B2" s="3"/>
      <c r="C2" s="3"/>
      <c r="D2" s="3"/>
      <c r="E2" s="3"/>
      <c r="F2" s="3"/>
      <c r="G2" s="3"/>
      <c r="H2" s="3"/>
      <c r="I2" s="3"/>
      <c r="J2" s="3"/>
    </row>
    <row r="3" customFormat="false" ht="15" hidden="false" customHeight="true" outlineLevel="0" collapsed="false"/>
    <row r="4" customFormat="false" ht="15" hidden="false" customHeight="true" outlineLevel="0" collapsed="false">
      <c r="A4" s="7" t="s">
        <v>4254</v>
      </c>
      <c r="B4" s="7"/>
      <c r="C4" s="7"/>
      <c r="D4" s="7"/>
      <c r="E4" s="7"/>
      <c r="F4" s="7"/>
      <c r="G4" s="7"/>
      <c r="H4" s="7"/>
      <c r="I4" s="7"/>
      <c r="J4" s="7"/>
    </row>
    <row r="5" customFormat="false" ht="15" hidden="false" customHeight="true" outlineLevel="0" collapsed="false">
      <c r="A5" s="503" t="s">
        <v>4255</v>
      </c>
      <c r="B5" s="503" t="s">
        <v>4256</v>
      </c>
      <c r="C5" s="503" t="s">
        <v>2655</v>
      </c>
      <c r="D5" s="503" t="s">
        <v>4257</v>
      </c>
      <c r="E5" s="503" t="s">
        <v>4258</v>
      </c>
      <c r="F5" s="503" t="s">
        <v>4259</v>
      </c>
      <c r="G5" s="503" t="s">
        <v>4260</v>
      </c>
      <c r="H5" s="503" t="s">
        <v>4261</v>
      </c>
      <c r="I5" s="503" t="s">
        <v>4262</v>
      </c>
      <c r="J5" s="503" t="s">
        <v>2572</v>
      </c>
    </row>
    <row r="6" customFormat="false" ht="15" hidden="false" customHeight="true" outlineLevel="0" collapsed="false">
      <c r="A6" s="790" t="s">
        <v>3161</v>
      </c>
      <c r="B6" s="504" t="s">
        <v>4263</v>
      </c>
      <c r="C6" s="504" t="s">
        <v>4264</v>
      </c>
      <c r="D6" s="791" t="n">
        <v>0.65</v>
      </c>
      <c r="E6" s="680" t="n">
        <v>8000000</v>
      </c>
      <c r="F6" s="680" t="n">
        <v>18000000</v>
      </c>
      <c r="G6" s="680" t="n">
        <v>35000000</v>
      </c>
      <c r="H6" s="792" t="n">
        <f aca="false">D6*(E6+F6+G6)/3</f>
        <v>13216666.6666667</v>
      </c>
      <c r="I6" s="15" t="s">
        <v>4265</v>
      </c>
      <c r="J6" s="793" t="s">
        <v>4266</v>
      </c>
      <c r="L6" s="794" t="n">
        <f aca="false">D6*((E6^2+F6^2+G6^2-E6*F6-E6*G6-F6*G6)/18)+D6*(1-D6)*(((E6+F6+G6)/3)^2)</f>
        <v>114244722222222</v>
      </c>
    </row>
    <row r="7" customFormat="false" ht="15" hidden="false" customHeight="true" outlineLevel="0" collapsed="false">
      <c r="A7" s="790" t="s">
        <v>3166</v>
      </c>
      <c r="B7" s="504" t="s">
        <v>4267</v>
      </c>
      <c r="C7" s="504" t="s">
        <v>4264</v>
      </c>
      <c r="D7" s="791" t="n">
        <v>0.45</v>
      </c>
      <c r="E7" s="680" t="n">
        <v>3000000</v>
      </c>
      <c r="F7" s="680" t="n">
        <v>9000000</v>
      </c>
      <c r="G7" s="680" t="n">
        <v>22000000</v>
      </c>
      <c r="H7" s="792" t="n">
        <f aca="false">D7*(E7+F7+G7)/3</f>
        <v>5100000</v>
      </c>
      <c r="I7" s="15" t="s">
        <v>4268</v>
      </c>
      <c r="J7" s="793" t="s">
        <v>4266</v>
      </c>
      <c r="L7" s="794" t="n">
        <f aca="false">D7*((E7^2+F7^2+G7^2-E7*F7-E7*G7-F7*G7)/18)+D7*(1-D7)*(((E7+F7+G7)/3)^2)</f>
        <v>38865000000000</v>
      </c>
    </row>
    <row r="8" customFormat="false" ht="15" hidden="false" customHeight="true" outlineLevel="0" collapsed="false">
      <c r="A8" s="790" t="s">
        <v>3171</v>
      </c>
      <c r="B8" s="504" t="s">
        <v>4269</v>
      </c>
      <c r="C8" s="504" t="s">
        <v>4270</v>
      </c>
      <c r="D8" s="791" t="n">
        <v>0.55</v>
      </c>
      <c r="E8" s="680" t="n">
        <v>6000000</v>
      </c>
      <c r="F8" s="680" t="n">
        <v>15000000</v>
      </c>
      <c r="G8" s="680" t="n">
        <v>30000000</v>
      </c>
      <c r="H8" s="792" t="n">
        <f aca="false">D8*(E8+F8+G8)/3</f>
        <v>9350000</v>
      </c>
      <c r="I8" s="15" t="s">
        <v>4271</v>
      </c>
      <c r="J8" s="793" t="s">
        <v>4272</v>
      </c>
      <c r="L8" s="794" t="n">
        <f aca="false">D8*((E8^2+F8^2+G8^2-E8*F8-E8*G8-F8*G8)/18)+D8*(1-D8)*(((E8+F8+G8)/3)^2)</f>
        <v>85002500000000</v>
      </c>
    </row>
    <row r="9" customFormat="false" ht="15" hidden="false" customHeight="true" outlineLevel="0" collapsed="false">
      <c r="A9" s="790" t="s">
        <v>3177</v>
      </c>
      <c r="B9" s="504" t="s">
        <v>4273</v>
      </c>
      <c r="C9" s="504" t="s">
        <v>3818</v>
      </c>
      <c r="D9" s="791" t="n">
        <v>0.4</v>
      </c>
      <c r="E9" s="680" t="n">
        <v>4000000</v>
      </c>
      <c r="F9" s="680" t="n">
        <v>12000000</v>
      </c>
      <c r="G9" s="680" t="n">
        <v>28000000</v>
      </c>
      <c r="H9" s="792" t="n">
        <f aca="false">D9*(E9+F9+G9)/3</f>
        <v>5866666.66666667</v>
      </c>
      <c r="I9" s="15" t="s">
        <v>4274</v>
      </c>
      <c r="J9" s="793" t="s">
        <v>4272</v>
      </c>
      <c r="L9" s="794" t="n">
        <f aca="false">D9*((E9^2+F9^2+G9^2-E9*F9-E9*G9-F9*G9)/18)+D9*(1-D9)*(((E9+F9+G9)/3)^2)</f>
        <v>61582222222222.2</v>
      </c>
    </row>
    <row r="10" customFormat="false" ht="15" hidden="false" customHeight="true" outlineLevel="0" collapsed="false">
      <c r="A10" s="790" t="s">
        <v>3182</v>
      </c>
      <c r="B10" s="504" t="s">
        <v>4275</v>
      </c>
      <c r="C10" s="504" t="s">
        <v>4276</v>
      </c>
      <c r="D10" s="791" t="n">
        <v>0.35</v>
      </c>
      <c r="E10" s="680" t="n">
        <v>2000000</v>
      </c>
      <c r="F10" s="680" t="n">
        <v>6000000</v>
      </c>
      <c r="G10" s="680" t="n">
        <v>15000000</v>
      </c>
      <c r="H10" s="792" t="n">
        <f aca="false">D10*(E10+F10+G10)/3</f>
        <v>2683333.33333333</v>
      </c>
      <c r="I10" s="15" t="s">
        <v>4277</v>
      </c>
      <c r="J10" s="793" t="s">
        <v>4266</v>
      </c>
      <c r="L10" s="794" t="n">
        <f aca="false">D10*((E10^2+F10^2+G10^2-E10*F10-E10*G10-F10*G10)/18)+D10*(1-D10)*(((E10+F10+G10)/3)^2)</f>
        <v>15958055555555.6</v>
      </c>
    </row>
    <row r="11" customFormat="false" ht="15" hidden="false" customHeight="true" outlineLevel="0" collapsed="false">
      <c r="A11" s="790" t="s">
        <v>3187</v>
      </c>
      <c r="B11" s="504" t="s">
        <v>4278</v>
      </c>
      <c r="C11" s="504" t="s">
        <v>4279</v>
      </c>
      <c r="D11" s="791" t="n">
        <v>0.3</v>
      </c>
      <c r="E11" s="680" t="n">
        <v>3000000</v>
      </c>
      <c r="F11" s="680" t="n">
        <v>8000000</v>
      </c>
      <c r="G11" s="680" t="n">
        <v>20000000</v>
      </c>
      <c r="H11" s="792" t="n">
        <f aca="false">D11*(E11+F11+G11)/3</f>
        <v>3100000</v>
      </c>
      <c r="I11" s="15" t="s">
        <v>4280</v>
      </c>
      <c r="J11" s="793" t="s">
        <v>4266</v>
      </c>
      <c r="L11" s="794" t="n">
        <f aca="false">D11*((E11^2+F11^2+G11^2-E11*F11-E11*G11-F11*G11)/18)+D11*(1-D11)*(((E11+F11+G11)/3)^2)</f>
        <v>26240000000000</v>
      </c>
    </row>
    <row r="12" customFormat="false" ht="15" hidden="false" customHeight="true" outlineLevel="0" collapsed="false">
      <c r="A12" s="790" t="s">
        <v>3192</v>
      </c>
      <c r="B12" s="504" t="s">
        <v>4281</v>
      </c>
      <c r="C12" s="504" t="s">
        <v>4282</v>
      </c>
      <c r="D12" s="791" t="n">
        <v>0.6</v>
      </c>
      <c r="E12" s="680" t="n">
        <v>10000000</v>
      </c>
      <c r="F12" s="680" t="n">
        <v>25000000</v>
      </c>
      <c r="G12" s="680" t="n">
        <v>50000000</v>
      </c>
      <c r="H12" s="792" t="n">
        <f aca="false">D12*(E12+F12+G12)/3</f>
        <v>17000000</v>
      </c>
      <c r="I12" s="15" t="s">
        <v>4283</v>
      </c>
      <c r="J12" s="793" t="s">
        <v>4272</v>
      </c>
      <c r="L12" s="794" t="n">
        <f aca="false">D12*((E12^2+F12^2+G12^2-E12*F12-E12*G12-F12*G12)/18)+D12*(1-D12)*(((E12+F12+G12)/3)^2)</f>
        <v>233500000000000</v>
      </c>
    </row>
    <row r="13" customFormat="false" ht="15" hidden="false" customHeight="true" outlineLevel="0" collapsed="false">
      <c r="A13" s="790" t="s">
        <v>3197</v>
      </c>
      <c r="B13" s="504" t="s">
        <v>4284</v>
      </c>
      <c r="C13" s="504" t="s">
        <v>275</v>
      </c>
      <c r="D13" s="791" t="n">
        <v>0.25</v>
      </c>
      <c r="E13" s="680" t="n">
        <v>8000000</v>
      </c>
      <c r="F13" s="680" t="n">
        <v>20000000</v>
      </c>
      <c r="G13" s="680" t="n">
        <v>45000000</v>
      </c>
      <c r="H13" s="792" t="n">
        <f aca="false">D13*(E13+F13+G13)/3</f>
        <v>6083333.33333333</v>
      </c>
      <c r="I13" s="15" t="s">
        <v>4285</v>
      </c>
      <c r="J13" s="793" t="s">
        <v>4272</v>
      </c>
      <c r="L13" s="794" t="n">
        <f aca="false">D13*((E13^2+F13^2+G13^2-E13*F13-E13*G13-F13*G13)/18)+D13*(1-D13)*(((E13+F13+G13)/3)^2)</f>
        <v>125868055555556</v>
      </c>
    </row>
    <row r="14" customFormat="false" ht="15" hidden="false" customHeight="true" outlineLevel="0" collapsed="false">
      <c r="A14" s="790" t="s">
        <v>3201</v>
      </c>
      <c r="B14" s="504" t="s">
        <v>4286</v>
      </c>
      <c r="C14" s="504" t="s">
        <v>2681</v>
      </c>
      <c r="D14" s="791" t="n">
        <v>0.4</v>
      </c>
      <c r="E14" s="680" t="n">
        <v>3000000</v>
      </c>
      <c r="F14" s="680" t="n">
        <v>9000000</v>
      </c>
      <c r="G14" s="680" t="n">
        <v>18000000</v>
      </c>
      <c r="H14" s="792" t="n">
        <f aca="false">D14*(E14+F14+G14)/3</f>
        <v>4000000</v>
      </c>
      <c r="I14" s="15" t="s">
        <v>4287</v>
      </c>
      <c r="J14" s="793" t="s">
        <v>4266</v>
      </c>
      <c r="L14" s="794" t="n">
        <f aca="false">D14*((E14^2+F14^2+G14^2-E14*F14-E14*G14-F14*G14)/18)+D14*(1-D14)*(((E14+F14+G14)/3)^2)</f>
        <v>27800000000000</v>
      </c>
    </row>
    <row r="15" customFormat="false" ht="15" hidden="false" customHeight="true" outlineLevel="0" collapsed="false">
      <c r="A15" s="790" t="s">
        <v>3206</v>
      </c>
      <c r="B15" s="504" t="s">
        <v>4288</v>
      </c>
      <c r="C15" s="504" t="s">
        <v>4289</v>
      </c>
      <c r="D15" s="791" t="n">
        <v>0.35</v>
      </c>
      <c r="E15" s="680" t="n">
        <v>2000000</v>
      </c>
      <c r="F15" s="680" t="n">
        <v>7000000</v>
      </c>
      <c r="G15" s="680" t="n">
        <v>20000000</v>
      </c>
      <c r="H15" s="792" t="n">
        <f aca="false">D15*(E15+F15+G15)/3</f>
        <v>3383333.33333333</v>
      </c>
      <c r="I15" s="15" t="s">
        <v>4290</v>
      </c>
      <c r="J15" s="793" t="s">
        <v>2949</v>
      </c>
      <c r="L15" s="794" t="n">
        <f aca="false">D15*((E15^2+F15^2+G15^2-E15*F15-E15*G15-F15*G15)/18)+D15*(1-D15)*(((E15+F15+G15)/3)^2)</f>
        <v>26294722222222.2</v>
      </c>
    </row>
    <row r="16" customFormat="false" ht="15" hidden="false" customHeight="true" outlineLevel="0" collapsed="false">
      <c r="A16" s="790" t="s">
        <v>4291</v>
      </c>
      <c r="B16" s="504" t="s">
        <v>4292</v>
      </c>
      <c r="C16" s="504" t="s">
        <v>275</v>
      </c>
      <c r="D16" s="791" t="n">
        <v>0.5</v>
      </c>
      <c r="E16" s="680" t="n">
        <v>4000000</v>
      </c>
      <c r="F16" s="680" t="n">
        <v>11000000</v>
      </c>
      <c r="G16" s="680" t="n">
        <v>24000000</v>
      </c>
      <c r="H16" s="792" t="n">
        <f aca="false">D16*(E16+F16+G16)/3</f>
        <v>6500000</v>
      </c>
      <c r="I16" s="15" t="s">
        <v>4293</v>
      </c>
      <c r="J16" s="793" t="s">
        <v>4266</v>
      </c>
      <c r="L16" s="794" t="n">
        <f aca="false">D16*((E16^2+F16^2+G16^2-E16*F16-E16*G16-F16*G16)/18)+D16*(1-D16)*(((E16+F16+G16)/3)^2)</f>
        <v>50833333333333.3</v>
      </c>
    </row>
    <row r="17" customFormat="false" ht="15" hidden="false" customHeight="true" outlineLevel="0" collapsed="false">
      <c r="A17" s="790" t="s">
        <v>4294</v>
      </c>
      <c r="B17" s="504" t="s">
        <v>4295</v>
      </c>
      <c r="C17" s="504" t="s">
        <v>2694</v>
      </c>
      <c r="D17" s="791" t="n">
        <v>0.55</v>
      </c>
      <c r="E17" s="680" t="n">
        <v>5000000</v>
      </c>
      <c r="F17" s="680" t="n">
        <v>14000000</v>
      </c>
      <c r="G17" s="680" t="n">
        <v>32000000</v>
      </c>
      <c r="H17" s="792" t="n">
        <f aca="false">D17*(E17+F17+G17)/3</f>
        <v>9350000</v>
      </c>
      <c r="I17" s="15" t="s">
        <v>4296</v>
      </c>
      <c r="J17" s="793" t="s">
        <v>4272</v>
      </c>
      <c r="L17" s="794" t="n">
        <f aca="false">D17*((E17^2+F17^2+G17^2-E17*F17-E17*G17-F17*G17)/18)+D17*(1-D17)*(((E17+F17+G17)/3)^2)</f>
        <v>88852500000000</v>
      </c>
    </row>
    <row r="18" customFormat="false" ht="15" hidden="false" customHeight="true" outlineLevel="0" collapsed="false">
      <c r="A18" s="790" t="s">
        <v>4297</v>
      </c>
      <c r="B18" s="504" t="s">
        <v>4298</v>
      </c>
      <c r="C18" s="504" t="s">
        <v>4276</v>
      </c>
      <c r="D18" s="791" t="n">
        <v>0.2</v>
      </c>
      <c r="E18" s="680" t="n">
        <v>6000000</v>
      </c>
      <c r="F18" s="680" t="n">
        <v>16000000</v>
      </c>
      <c r="G18" s="680" t="n">
        <v>40000000</v>
      </c>
      <c r="H18" s="792" t="n">
        <f aca="false">D18*(E18+F18+G18)/3</f>
        <v>4133333.33333333</v>
      </c>
      <c r="I18" s="15" t="s">
        <v>4299</v>
      </c>
      <c r="J18" s="793" t="s">
        <v>4272</v>
      </c>
      <c r="L18" s="794" t="n">
        <f aca="false">D18*((E18^2+F18^2+G18^2-E18*F18-E18*G18-F18*G18)/18)+D18*(1-D18)*(((E18+F18+G18)/3)^2)</f>
        <v>78515555555555.6</v>
      </c>
    </row>
    <row r="19" customFormat="false" ht="15" hidden="false" customHeight="true" outlineLevel="0" collapsed="false">
      <c r="A19" s="790" t="s">
        <v>4300</v>
      </c>
      <c r="B19" s="504" t="s">
        <v>4301</v>
      </c>
      <c r="C19" s="504" t="s">
        <v>4302</v>
      </c>
      <c r="D19" s="791" t="n">
        <v>0.25</v>
      </c>
      <c r="E19" s="680" t="n">
        <v>5000000</v>
      </c>
      <c r="F19" s="680" t="n">
        <v>13000000</v>
      </c>
      <c r="G19" s="680" t="n">
        <v>30000000</v>
      </c>
      <c r="H19" s="792" t="n">
        <f aca="false">D19*(E19+F19+G19)/3</f>
        <v>4000000</v>
      </c>
      <c r="I19" s="15" t="s">
        <v>4303</v>
      </c>
      <c r="J19" s="793" t="s">
        <v>4266</v>
      </c>
      <c r="L19" s="794" t="n">
        <f aca="false">D19*((E19^2+F19^2+G19^2-E19*F19-E19*G19-F19*G19)/18)+D19*(1-D19)*(((E19+F19+G19)/3)^2)</f>
        <v>54791666666666.7</v>
      </c>
    </row>
    <row r="20" customFormat="false" ht="15" hidden="false" customHeight="true" outlineLevel="0" collapsed="false">
      <c r="B20" s="10" t="s">
        <v>4304</v>
      </c>
      <c r="H20" s="688" t="n">
        <f aca="false">SUM(H6:H19)</f>
        <v>93766666.6666667</v>
      </c>
      <c r="L20" s="794" t="n">
        <f aca="false">SUM(L6:L19)</f>
        <v>1028348333333330</v>
      </c>
    </row>
    <row r="22" customFormat="false" ht="15" hidden="false" customHeight="true" outlineLevel="0" collapsed="false">
      <c r="A22" s="7" t="s">
        <v>4305</v>
      </c>
      <c r="B22" s="7"/>
      <c r="C22" s="7"/>
      <c r="D22" s="7"/>
      <c r="E22" s="7"/>
      <c r="F22" s="7"/>
      <c r="G22" s="149"/>
      <c r="H22" s="149"/>
      <c r="I22" s="149"/>
      <c r="J22" s="149"/>
    </row>
    <row r="23" customFormat="false" ht="15" hidden="false" customHeight="true" outlineLevel="0" collapsed="false">
      <c r="A23" s="125" t="s">
        <v>4306</v>
      </c>
      <c r="C23" s="369" t="n">
        <f aca="false">H20</f>
        <v>93766666.6666667</v>
      </c>
    </row>
    <row r="24" customFormat="false" ht="15" hidden="false" customHeight="true" outlineLevel="0" collapsed="false">
      <c r="A24" s="125" t="s">
        <v>4307</v>
      </c>
      <c r="C24" s="369" t="n">
        <f aca="false">SQRT(L20)</f>
        <v>32067870.7327651</v>
      </c>
    </row>
    <row r="25" customFormat="false" ht="15" hidden="false" customHeight="true" outlineLevel="0" collapsed="false">
      <c r="A25" s="125" t="s">
        <v>4308</v>
      </c>
      <c r="C25" s="369" t="n">
        <f aca="false">H20</f>
        <v>93766666.6666667</v>
      </c>
    </row>
    <row r="26" customFormat="false" ht="15" hidden="false" customHeight="true" outlineLevel="0" collapsed="false">
      <c r="A26" s="125" t="s">
        <v>4309</v>
      </c>
      <c r="C26" s="369" t="n">
        <f aca="false">H20+0.8416*SQRT(L20)</f>
        <v>120754986.675362</v>
      </c>
    </row>
    <row r="27" customFormat="false" ht="15" hidden="false" customHeight="true" outlineLevel="0" collapsed="false">
      <c r="A27" s="125" t="s">
        <v>4310</v>
      </c>
      <c r="C27" s="369" t="n">
        <f aca="false">H20+1.2816*SQRT(L20)</f>
        <v>134864849.797778</v>
      </c>
    </row>
    <row r="28" customFormat="false" ht="15" hidden="false" customHeight="true" outlineLevel="0" collapsed="false">
      <c r="A28" s="125" t="s">
        <v>4311</v>
      </c>
      <c r="C28" s="369" t="n">
        <f aca="false">H20+1.6449*SQRT(L20)</f>
        <v>146515107.234992</v>
      </c>
    </row>
    <row r="30" customFormat="false" ht="15" hidden="false" customHeight="true" outlineLevel="0" collapsed="false">
      <c r="A30" s="7" t="s">
        <v>4312</v>
      </c>
      <c r="B30" s="7"/>
      <c r="C30" s="7"/>
      <c r="D30" s="7"/>
      <c r="E30" s="7"/>
      <c r="F30" s="7"/>
      <c r="G30" s="149"/>
      <c r="H30" s="149"/>
      <c r="I30" s="149"/>
      <c r="J30" s="149"/>
    </row>
    <row r="31" customFormat="false" ht="15" hidden="false" customHeight="true" outlineLevel="0" collapsed="false">
      <c r="A31" s="125" t="s">
        <v>4313</v>
      </c>
      <c r="C31" s="369" t="n">
        <f aca="false">'Campus Rollup'!$H$16</f>
        <v>1088341827.06739</v>
      </c>
    </row>
    <row r="32" customFormat="false" ht="15" hidden="false" customHeight="true" outlineLevel="0" collapsed="false">
      <c r="A32" s="125" t="s">
        <v>4314</v>
      </c>
      <c r="C32" s="369" t="n">
        <f aca="false">'Campus Rollup'!$H$16-'Campus Rollup'!$H$16/1.1</f>
        <v>98940166.0970357</v>
      </c>
    </row>
    <row r="33" customFormat="false" ht="15" hidden="false" customHeight="true" outlineLevel="0" collapsed="false">
      <c r="A33" s="125" t="s">
        <v>4315</v>
      </c>
      <c r="C33" s="369" t="n">
        <f aca="false">C26</f>
        <v>120754986.675362</v>
      </c>
    </row>
    <row r="34" customFormat="false" ht="15" hidden="false" customHeight="true" outlineLevel="0" collapsed="false">
      <c r="A34" s="125" t="s">
        <v>4316</v>
      </c>
      <c r="C34" s="510" t="n">
        <f aca="false">C26/('Campus Rollup'!$H$16/1.1)</f>
        <v>0.122048498035602</v>
      </c>
    </row>
    <row r="35" customFormat="false" ht="15" hidden="false" customHeight="true" outlineLevel="0" collapsed="false">
      <c r="A35" s="125" t="s">
        <v>4317</v>
      </c>
      <c r="C35" s="110" t="str">
        <f aca="false">IF(C26&lt;=('Campus Rollup'!$H$16-'Campus Rollup'!$H$16/1.1),"● Flat 10% covers the P80 risk exposure — adequate / conservative.","▲ P80 risk exceeds the flat 10% — consider increasing contingency.")</f>
        <v>▲ P80 risk exceeds the flat 10% — consider increasing contingency.</v>
      </c>
      <c r="D35" s="110"/>
      <c r="E35" s="110"/>
      <c r="F35" s="110"/>
      <c r="G35" s="110"/>
      <c r="H35" s="110"/>
      <c r="I35" s="110"/>
      <c r="J35" s="110"/>
      <c r="K35" s="110"/>
    </row>
    <row r="41" customFormat="false" ht="15" hidden="false" customHeight="true" outlineLevel="0" collapsed="false">
      <c r="A41" s="7" t="s">
        <v>4318</v>
      </c>
      <c r="B41" s="7"/>
      <c r="C41" s="7"/>
      <c r="D41" s="7"/>
      <c r="E41" s="7"/>
      <c r="F41" s="7"/>
      <c r="G41" s="149"/>
      <c r="H41" s="149"/>
      <c r="I41" s="149"/>
      <c r="J41" s="149"/>
    </row>
    <row r="42" customFormat="false" ht="15" hidden="false" customHeight="true" outlineLevel="0" collapsed="false">
      <c r="A42" s="3" t="s">
        <v>4319</v>
      </c>
      <c r="B42" s="3"/>
      <c r="C42" s="3"/>
      <c r="D42" s="3"/>
      <c r="E42" s="3"/>
      <c r="F42" s="3"/>
      <c r="G42" s="3"/>
      <c r="H42" s="3"/>
      <c r="I42" s="3"/>
      <c r="J42" s="3"/>
    </row>
    <row r="43" customFormat="false" ht="15" hidden="false" customHeight="true" outlineLevel="0" collapsed="false">
      <c r="A43" s="125" t="s">
        <v>4320</v>
      </c>
      <c r="C43" s="369" t="n">
        <v>93916776</v>
      </c>
      <c r="H43" s="795" t="s">
        <v>4321</v>
      </c>
      <c r="I43" s="795" t="s">
        <v>4322</v>
      </c>
    </row>
    <row r="44" customFormat="false" ht="15" hidden="false" customHeight="true" outlineLevel="0" collapsed="false">
      <c r="A44" s="125" t="s">
        <v>4323</v>
      </c>
      <c r="C44" s="369" t="n">
        <v>52706495</v>
      </c>
      <c r="H44" s="16" t="n">
        <v>5.7</v>
      </c>
      <c r="I44" s="15" t="n">
        <v>15</v>
      </c>
    </row>
    <row r="45" customFormat="false" ht="15" hidden="false" customHeight="true" outlineLevel="0" collapsed="false">
      <c r="A45" s="125" t="s">
        <v>4324</v>
      </c>
      <c r="C45" s="369" t="n">
        <v>93114335</v>
      </c>
      <c r="H45" s="16" t="n">
        <v>17</v>
      </c>
      <c r="I45" s="15" t="n">
        <v>47</v>
      </c>
    </row>
    <row r="46" customFormat="false" ht="15" hidden="false" customHeight="true" outlineLevel="0" collapsed="false">
      <c r="A46" s="125" t="s">
        <v>4325</v>
      </c>
      <c r="C46" s="369" t="n">
        <v>121019782</v>
      </c>
      <c r="H46" s="16" t="n">
        <v>28.3</v>
      </c>
      <c r="I46" s="15" t="n">
        <v>176</v>
      </c>
    </row>
    <row r="47" customFormat="false" ht="15" hidden="false" customHeight="true" outlineLevel="0" collapsed="false">
      <c r="A47" s="125" t="s">
        <v>4326</v>
      </c>
      <c r="C47" s="369" t="n">
        <v>136021396</v>
      </c>
      <c r="H47" s="16" t="n">
        <v>39.6</v>
      </c>
      <c r="I47" s="15" t="n">
        <v>373</v>
      </c>
    </row>
    <row r="48" customFormat="false" ht="15" hidden="false" customHeight="true" outlineLevel="0" collapsed="false">
      <c r="A48" s="125" t="s">
        <v>4327</v>
      </c>
      <c r="C48" s="369" t="n">
        <v>147986771</v>
      </c>
      <c r="H48" s="16" t="n">
        <v>50.9</v>
      </c>
      <c r="I48" s="15" t="n">
        <v>627</v>
      </c>
    </row>
    <row r="49" customFormat="false" ht="15" hidden="false" customHeight="true" outlineLevel="0" collapsed="false">
      <c r="H49" s="16" t="n">
        <v>62.2</v>
      </c>
      <c r="I49" s="15" t="n">
        <v>894</v>
      </c>
    </row>
    <row r="50" customFormat="false" ht="15" hidden="false" customHeight="true" outlineLevel="0" collapsed="false">
      <c r="H50" s="16" t="n">
        <v>73.5</v>
      </c>
      <c r="I50" s="15" t="n">
        <v>1209</v>
      </c>
    </row>
    <row r="51" customFormat="false" ht="15" hidden="false" customHeight="true" outlineLevel="0" collapsed="false">
      <c r="H51" s="16" t="n">
        <v>84.8</v>
      </c>
      <c r="I51" s="15" t="n">
        <v>1357</v>
      </c>
    </row>
    <row r="52" customFormat="false" ht="15" hidden="false" customHeight="true" outlineLevel="0" collapsed="false">
      <c r="H52" s="16" t="n">
        <v>96.1</v>
      </c>
      <c r="I52" s="15" t="n">
        <v>1384</v>
      </c>
    </row>
    <row r="53" customFormat="false" ht="15" hidden="false" customHeight="true" outlineLevel="0" collapsed="false">
      <c r="H53" s="16" t="n">
        <v>107.4</v>
      </c>
      <c r="I53" s="15" t="n">
        <v>1220</v>
      </c>
    </row>
    <row r="54" customFormat="false" ht="15" hidden="false" customHeight="true" outlineLevel="0" collapsed="false">
      <c r="H54" s="16" t="n">
        <v>118.8</v>
      </c>
      <c r="I54" s="15" t="n">
        <v>960</v>
      </c>
    </row>
    <row r="55" customFormat="false" ht="15" hidden="false" customHeight="true" outlineLevel="0" collapsed="false">
      <c r="H55" s="16" t="n">
        <v>130.1</v>
      </c>
      <c r="I55" s="15" t="n">
        <v>728</v>
      </c>
    </row>
    <row r="56" customFormat="false" ht="15" hidden="false" customHeight="true" outlineLevel="0" collapsed="false">
      <c r="H56" s="16" t="n">
        <v>141.4</v>
      </c>
      <c r="I56" s="15" t="n">
        <v>474</v>
      </c>
    </row>
    <row r="57" customFormat="false" ht="15" hidden="false" customHeight="true" outlineLevel="0" collapsed="false">
      <c r="H57" s="16" t="n">
        <v>152.7</v>
      </c>
      <c r="I57" s="15" t="n">
        <v>271</v>
      </c>
    </row>
    <row r="58" customFormat="false" ht="15" hidden="false" customHeight="true" outlineLevel="0" collapsed="false">
      <c r="H58" s="16" t="n">
        <v>164</v>
      </c>
      <c r="I58" s="15" t="n">
        <v>132</v>
      </c>
    </row>
    <row r="59" customFormat="false" ht="15" hidden="false" customHeight="true" outlineLevel="0" collapsed="false">
      <c r="H59" s="16" t="n">
        <v>175.3</v>
      </c>
      <c r="I59" s="15" t="n">
        <v>83</v>
      </c>
    </row>
  </sheetData>
  <mergeCells count="8">
    <mergeCell ref="A1:J1"/>
    <mergeCell ref="A2:J2"/>
    <mergeCell ref="A4:J4"/>
    <mergeCell ref="A22:F22"/>
    <mergeCell ref="A30:F30"/>
    <mergeCell ref="C35:K35"/>
    <mergeCell ref="A41:F41"/>
    <mergeCell ref="A42:J42"/>
  </mergeCells>
  <conditionalFormatting sqref="J6:J19">
    <cfRule type="expression" priority="2" aboveAverage="0" equalAverage="0" bottom="0" percent="0" rank="0" text="" dxfId="6">
      <formula>$J6="Open"</formula>
    </cfRule>
    <cfRule type="expression" priority="3" aboveAverage="0" equalAverage="0" bottom="0" percent="0" rank="0" text="" dxfId="4">
      <formula>$J6="Mitigating"</formula>
    </cfRule>
    <cfRule type="expression" priority="4" aboveAverage="0" equalAverage="0" bottom="0" percent="0" rank="0" text="" dxfId="28">
      <formula>$J6="Accepted"</formula>
    </cfRule>
    <cfRule type="expression" priority="5" aboveAverage="0" equalAverage="0" bottom="0" percent="0" rank="0" text="" dxfId="5">
      <formula>$J6="Transferred"</formula>
    </cfRule>
    <cfRule type="expression" priority="6" aboveAverage="0" equalAverage="0" bottom="0" percent="0" rank="0" text="" dxfId="3">
      <formula>$J6="Closed"</formula>
    </cfRule>
  </conditionalFormatting>
  <conditionalFormatting sqref="C35:K35">
    <cfRule type="expression" priority="7" aboveAverage="0" equalAverage="0" bottom="0" percent="0" rank="0" text="" dxfId="6">
      <formula>LEFT($C$35,1)="▲"</formula>
    </cfRule>
    <cfRule type="expression" priority="8" aboveAverage="0" equalAverage="0" bottom="0" percent="0" rank="0" text="" dxfId="3">
      <formula>LEFT($C$35,1)="●"</formula>
    </cfRule>
  </conditionalFormatting>
  <conditionalFormatting sqref="E6:G19">
    <cfRule type="expression" priority="9" aboveAverage="0" equalAverage="0" bottom="0" percent="0" rank="0" text="" dxfId="6">
      <formula>OR($E6&gt;$F6,$F6&gt;$G6)</formula>
    </cfRule>
  </conditionalFormatting>
  <conditionalFormatting sqref="H6:H19">
    <cfRule type="dataBar" priority="10">
      <dataBar showValue="1" minLength="10" maxLength="90">
        <cfvo type="min" val="0"/>
        <cfvo type="max" val="0"/>
        <color rgb="FF638EC6"/>
      </dataBar>
      <extLst>
        <ext xmlns:x14="http://schemas.microsoft.com/office/spreadsheetml/2009/9/main" uri="{B025F937-C7B1-47D3-B67F-A62EFF666E3E}">
          <x14:id>{DF6600A8-2980-496C-A6EB-173F2D86DCD3}</x14:id>
        </ext>
      </extLst>
    </cfRule>
  </conditionalFormatting>
  <dataValidations count="3">
    <dataValidation allowBlank="true" errorStyle="stop" operator="between" showDropDown="false" showErrorMessage="true" showInputMessage="true" sqref="J6:J19" type="list">
      <formula1>"Open,Mitigating,Accepted,Transferred,Closed"</formula1>
      <formula2>0</formula2>
    </dataValidation>
    <dataValidation allowBlank="true" error="Probability must be between 0 and 1." errorStyle="stop" errorTitle="Invalid" operator="between" prompt="Enter as a decimal 0-1 (e.g., 0.65 = 65%)." promptTitle="Probability" showDropDown="false" showErrorMessage="true" showInputMessage="true" sqref="D6:D19" type="decimal">
      <formula1>0</formula1>
      <formula2>1</formula2>
    </dataValidation>
    <dataValidation allowBlank="true" error="Cost impact must be 0 or greater." errorStyle="stop" errorTitle="Invalid" operator="between" showDropDown="false" showErrorMessage="true" showInputMessage="true" sqref="E6:G19" type="decimal">
      <formula1>0</formula1>
      <formula2>100000000000</formula2>
    </dataValidation>
  </dataValidation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DF6600A8-2980-496C-A6EB-173F2D86DCD3}">
            <x14:dataBar minLength="10" maxLength="90" axisPosition="none" gradient="true">
              <x14:cfvo type="min"/>
              <x14:cfvo type="max"/>
              <x14:negativeFillColor rgb="FF638EC6"/>
              <x14:axisColor rgb="FF000000"/>
            </x14:dataBar>
          </x14:cfRule>
          <xm:sqref>H6:H19</xm:sqref>
        </x14:conditionalFormatting>
      </x14:conditionalFormatting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M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40" activeCellId="0" sqref="J40"/>
    </sheetView>
  </sheetViews>
  <sheetFormatPr defaultColWidth="8.57421875" defaultRowHeight="15" zeroHeight="false" outlineLevelRow="0" outlineLevelCol="0"/>
  <cols>
    <col collapsed="false" customWidth="true" hidden="false" outlineLevel="0" max="1" min="1" style="1" width="9"/>
    <col collapsed="false" customWidth="true" hidden="false" outlineLevel="0" max="2" min="2" style="1" width="11"/>
    <col collapsed="false" customWidth="true" hidden="false" outlineLevel="0" max="3" min="3" style="1" width="42"/>
    <col collapsed="false" customWidth="true" hidden="false" outlineLevel="0" max="4" min="4" style="1" width="18"/>
    <col collapsed="false" customWidth="true" hidden="false" outlineLevel="0" max="5" min="5" style="1" width="12"/>
    <col collapsed="false" customWidth="true" hidden="false" outlineLevel="0" max="6" min="6" style="1" width="11"/>
    <col collapsed="false" customWidth="true" hidden="false" outlineLevel="0" max="7" min="7" style="1" width="13"/>
    <col collapsed="false" customWidth="true" hidden="false" outlineLevel="0" max="8" min="8" style="1" width="16"/>
    <col collapsed="false" customWidth="true" hidden="false" outlineLevel="0" max="10" min="10" style="1" width="9.86"/>
    <col collapsed="false" customWidth="true" hidden="false" outlineLevel="0" max="11" min="11" style="1" width="14.14"/>
    <col collapsed="false" customWidth="true" hidden="false" outlineLevel="0" max="13" min="12" style="1" width="15.29"/>
  </cols>
  <sheetData>
    <row r="1" customFormat="false" ht="27.75" hidden="false" customHeight="true" outlineLevel="0" collapsed="false">
      <c r="A1" s="105" t="s">
        <v>4328</v>
      </c>
      <c r="B1" s="105"/>
      <c r="C1" s="105"/>
      <c r="D1" s="105"/>
      <c r="E1" s="105"/>
      <c r="F1" s="105"/>
      <c r="G1" s="105"/>
      <c r="H1" s="105"/>
    </row>
    <row r="2" customFormat="false" ht="15" hidden="false" customHeight="true" outlineLevel="0" collapsed="false">
      <c r="A2" s="3" t="s">
        <v>4329</v>
      </c>
      <c r="B2" s="3"/>
      <c r="C2" s="3"/>
      <c r="D2" s="3"/>
      <c r="E2" s="3"/>
      <c r="F2" s="3"/>
      <c r="G2" s="3"/>
      <c r="H2" s="3"/>
    </row>
    <row r="4" customFormat="false" ht="15" hidden="false" customHeight="true" outlineLevel="0" collapsed="false">
      <c r="A4" s="368" t="s">
        <v>4330</v>
      </c>
      <c r="B4" s="368"/>
      <c r="C4" s="368"/>
      <c r="D4" s="370" t="n">
        <f aca="false">'Risk &amp; Contingency'!C32</f>
        <v>98940166.0970357</v>
      </c>
    </row>
    <row r="6" customFormat="false" ht="15" hidden="false" customHeight="true" outlineLevel="0" collapsed="false">
      <c r="A6" s="7" t="s">
        <v>4331</v>
      </c>
      <c r="B6" s="7"/>
      <c r="C6" s="7"/>
      <c r="D6" s="7"/>
      <c r="E6" s="7"/>
      <c r="F6" s="7"/>
      <c r="G6" s="7"/>
      <c r="H6" s="7"/>
    </row>
    <row r="7" customFormat="false" ht="15" hidden="false" customHeight="true" outlineLevel="0" collapsed="false">
      <c r="A7" s="503" t="s">
        <v>4332</v>
      </c>
      <c r="B7" s="503" t="s">
        <v>3215</v>
      </c>
      <c r="C7" s="503" t="s">
        <v>268</v>
      </c>
      <c r="D7" s="503" t="s">
        <v>4333</v>
      </c>
      <c r="E7" s="503" t="s">
        <v>4334</v>
      </c>
      <c r="F7" s="503" t="s">
        <v>2572</v>
      </c>
      <c r="G7" s="503" t="s">
        <v>4335</v>
      </c>
      <c r="H7" s="503" t="s">
        <v>4336</v>
      </c>
    </row>
    <row r="8" customFormat="false" ht="15" hidden="false" customHeight="true" outlineLevel="0" collapsed="false">
      <c r="A8" s="790" t="s">
        <v>4337</v>
      </c>
      <c r="B8" s="662" t="n">
        <v>46188</v>
      </c>
      <c r="C8" s="504" t="s">
        <v>4338</v>
      </c>
      <c r="D8" s="796" t="s">
        <v>4339</v>
      </c>
      <c r="E8" s="797" t="n">
        <v>8500000</v>
      </c>
      <c r="F8" s="798" t="s">
        <v>4340</v>
      </c>
      <c r="G8" s="798" t="s">
        <v>1823</v>
      </c>
      <c r="H8" s="799" t="n">
        <f aca="false">$D$4-IF(AND(F8="Approved",G8="Contingency"),E8,0)</f>
        <v>90440166.0970357</v>
      </c>
    </row>
    <row r="9" customFormat="false" ht="15" hidden="false" customHeight="true" outlineLevel="0" collapsed="false">
      <c r="A9" s="790" t="s">
        <v>4341</v>
      </c>
      <c r="B9" s="662" t="n">
        <v>46205</v>
      </c>
      <c r="C9" s="504" t="s">
        <v>4342</v>
      </c>
      <c r="D9" s="796" t="s">
        <v>4343</v>
      </c>
      <c r="E9" s="797" t="n">
        <v>3200000</v>
      </c>
      <c r="F9" s="798" t="s">
        <v>4340</v>
      </c>
      <c r="G9" s="798" t="s">
        <v>1823</v>
      </c>
      <c r="H9" s="799" t="n">
        <f aca="false">H8-IF(AND(F9="Approved",G9="Contingency"),E9,0)</f>
        <v>87240166.0970357</v>
      </c>
    </row>
    <row r="10" customFormat="false" ht="15" hidden="false" customHeight="true" outlineLevel="0" collapsed="false">
      <c r="A10" s="790" t="s">
        <v>4344</v>
      </c>
      <c r="B10" s="662" t="n">
        <v>46223</v>
      </c>
      <c r="C10" s="504" t="s">
        <v>4345</v>
      </c>
      <c r="D10" s="796" t="s">
        <v>4346</v>
      </c>
      <c r="E10" s="797" t="n">
        <v>2100000</v>
      </c>
      <c r="F10" s="798" t="s">
        <v>4340</v>
      </c>
      <c r="G10" s="798" t="s">
        <v>1823</v>
      </c>
      <c r="H10" s="799" t="n">
        <f aca="false">H9-IF(AND(F10="Approved",G10="Contingency"),E10,0)</f>
        <v>85140166.0970357</v>
      </c>
    </row>
    <row r="11" customFormat="false" ht="15" hidden="false" customHeight="true" outlineLevel="0" collapsed="false">
      <c r="A11" s="790" t="s">
        <v>4347</v>
      </c>
      <c r="B11" s="662" t="n">
        <v>46239</v>
      </c>
      <c r="C11" s="504" t="s">
        <v>4348</v>
      </c>
      <c r="D11" s="796" t="s">
        <v>4349</v>
      </c>
      <c r="E11" s="797" t="n">
        <v>900000</v>
      </c>
      <c r="F11" s="798" t="s">
        <v>4340</v>
      </c>
      <c r="G11" s="798" t="s">
        <v>1823</v>
      </c>
      <c r="H11" s="799" t="n">
        <f aca="false">H10-IF(AND(F11="Approved",G11="Contingency"),E11,0)</f>
        <v>84240166.0970357</v>
      </c>
    </row>
    <row r="12" customFormat="false" ht="15" hidden="false" customHeight="true" outlineLevel="0" collapsed="false">
      <c r="A12" s="790" t="s">
        <v>4350</v>
      </c>
      <c r="B12" s="662" t="n">
        <v>46252</v>
      </c>
      <c r="C12" s="504" t="s">
        <v>4351</v>
      </c>
      <c r="D12" s="796" t="s">
        <v>4339</v>
      </c>
      <c r="E12" s="797" t="n">
        <v>4500000</v>
      </c>
      <c r="F12" s="798" t="s">
        <v>2575</v>
      </c>
      <c r="G12" s="798" t="s">
        <v>4352</v>
      </c>
      <c r="H12" s="799" t="n">
        <f aca="false">H11-IF(AND(F12="Approved",G12="Contingency"),E12,0)</f>
        <v>84240166.0970357</v>
      </c>
    </row>
    <row r="13" customFormat="false" ht="15" hidden="false" customHeight="true" outlineLevel="0" collapsed="false">
      <c r="A13" s="790" t="s">
        <v>4353</v>
      </c>
      <c r="B13" s="662" t="n">
        <v>46266</v>
      </c>
      <c r="C13" s="504" t="s">
        <v>4354</v>
      </c>
      <c r="D13" s="796" t="s">
        <v>4343</v>
      </c>
      <c r="E13" s="797" t="n">
        <v>1800000</v>
      </c>
      <c r="F13" s="798" t="s">
        <v>4340</v>
      </c>
      <c r="G13" s="798" t="s">
        <v>1823</v>
      </c>
      <c r="H13" s="799" t="n">
        <f aca="false">H12-IF(AND(F13="Approved",G13="Contingency"),E13,0)</f>
        <v>82440166.0970357</v>
      </c>
    </row>
    <row r="14" customFormat="false" ht="15" hidden="false" customHeight="true" outlineLevel="0" collapsed="false">
      <c r="A14" s="790" t="s">
        <v>4355</v>
      </c>
      <c r="B14" s="662" t="n">
        <v>46280</v>
      </c>
      <c r="C14" s="504" t="s">
        <v>4356</v>
      </c>
      <c r="D14" s="796" t="s">
        <v>4346</v>
      </c>
      <c r="E14" s="797" t="n">
        <v>1300000</v>
      </c>
      <c r="F14" s="798" t="s">
        <v>4340</v>
      </c>
      <c r="G14" s="798" t="s">
        <v>1823</v>
      </c>
      <c r="H14" s="799" t="n">
        <f aca="false">H13-IF(AND(F14="Approved",G14="Contingency"),E14,0)</f>
        <v>81140166.0970357</v>
      </c>
    </row>
    <row r="15" customFormat="false" ht="15" hidden="false" customHeight="true" outlineLevel="0" collapsed="false">
      <c r="A15" s="790" t="s">
        <v>4357</v>
      </c>
      <c r="B15" s="662" t="n">
        <v>46296</v>
      </c>
      <c r="C15" s="504" t="s">
        <v>4358</v>
      </c>
      <c r="D15" s="796" t="s">
        <v>4339</v>
      </c>
      <c r="E15" s="797" t="n">
        <v>2700000</v>
      </c>
      <c r="F15" s="798" t="s">
        <v>2575</v>
      </c>
      <c r="G15" s="798" t="s">
        <v>1823</v>
      </c>
      <c r="H15" s="799" t="n">
        <f aca="false">H14-IF(AND(F15="Approved",G15="Contingency"),E15,0)</f>
        <v>81140166.0970357</v>
      </c>
    </row>
    <row r="16" customFormat="false" ht="15" hidden="false" customHeight="true" outlineLevel="0" collapsed="false">
      <c r="A16" s="790" t="s">
        <v>4359</v>
      </c>
      <c r="B16" s="662" t="n">
        <v>46315</v>
      </c>
      <c r="C16" s="504" t="s">
        <v>4360</v>
      </c>
      <c r="D16" s="796" t="s">
        <v>4343</v>
      </c>
      <c r="E16" s="797" t="n">
        <v>1100000</v>
      </c>
      <c r="F16" s="798" t="s">
        <v>4340</v>
      </c>
      <c r="G16" s="798" t="s">
        <v>1823</v>
      </c>
      <c r="H16" s="799" t="n">
        <f aca="false">H15-IF(AND(F16="Approved",G16="Contingency"),E16,0)</f>
        <v>80040166.0970357</v>
      </c>
    </row>
    <row r="17" customFormat="false" ht="15" hidden="false" customHeight="true" outlineLevel="0" collapsed="false">
      <c r="A17" s="790" t="s">
        <v>4361</v>
      </c>
      <c r="B17" s="662" t="n">
        <v>46331</v>
      </c>
      <c r="C17" s="504" t="s">
        <v>4362</v>
      </c>
      <c r="D17" s="796" t="s">
        <v>4346</v>
      </c>
      <c r="E17" s="797" t="n">
        <v>600000</v>
      </c>
      <c r="F17" s="798" t="s">
        <v>4340</v>
      </c>
      <c r="G17" s="798" t="s">
        <v>1823</v>
      </c>
      <c r="H17" s="799" t="n">
        <f aca="false">H16-IF(AND(F17="Approved",G17="Contingency"),E17,0)</f>
        <v>79440166.0970357</v>
      </c>
    </row>
    <row r="19" customFormat="false" ht="15" hidden="false" customHeight="true" outlineLevel="0" collapsed="false">
      <c r="A19" s="7" t="s">
        <v>4363</v>
      </c>
      <c r="B19" s="7"/>
      <c r="C19" s="7"/>
      <c r="D19" s="7"/>
      <c r="E19" s="149"/>
      <c r="F19" s="149"/>
      <c r="G19" s="149"/>
      <c r="H19" s="149"/>
    </row>
    <row r="20" customFormat="false" ht="15" hidden="false" customHeight="true" outlineLevel="0" collapsed="false">
      <c r="A20" s="368" t="s">
        <v>4364</v>
      </c>
      <c r="B20" s="368"/>
      <c r="C20" s="368"/>
      <c r="D20" s="369" t="n">
        <f aca="false">SUM(E8:E17)</f>
        <v>26700000</v>
      </c>
    </row>
    <row r="21" customFormat="false" ht="15" hidden="false" customHeight="true" outlineLevel="0" collapsed="false">
      <c r="A21" s="368" t="s">
        <v>4365</v>
      </c>
      <c r="B21" s="368"/>
      <c r="C21" s="368"/>
      <c r="D21" s="369" t="n">
        <f aca="false">SUMIF(F8:F17,"Approved",E8:E17)</f>
        <v>19500000</v>
      </c>
    </row>
    <row r="22" customFormat="false" ht="15" hidden="false" customHeight="true" outlineLevel="0" collapsed="false">
      <c r="A22" s="368" t="s">
        <v>4366</v>
      </c>
      <c r="B22" s="368"/>
      <c r="C22" s="368"/>
      <c r="D22" s="369" t="n">
        <f aca="false">SUMIF(F8:F17,"Pending",E8:E17)</f>
        <v>7200000</v>
      </c>
    </row>
    <row r="23" customFormat="false" ht="15" hidden="false" customHeight="true" outlineLevel="0" collapsed="false">
      <c r="A23" s="368" t="s">
        <v>4367</v>
      </c>
      <c r="B23" s="368"/>
      <c r="C23" s="368"/>
      <c r="D23" s="369" t="n">
        <f aca="false">SUMIFS(E8:E17,F8:F17,"Approved",G8:G17,"Contingency")</f>
        <v>19500000</v>
      </c>
    </row>
    <row r="24" customFormat="false" ht="15" hidden="false" customHeight="true" outlineLevel="0" collapsed="false">
      <c r="A24" s="368" t="s">
        <v>4368</v>
      </c>
      <c r="B24" s="368"/>
      <c r="C24" s="368"/>
      <c r="D24" s="369" t="n">
        <f aca="false">H17</f>
        <v>79440166.0970357</v>
      </c>
    </row>
    <row r="25" customFormat="false" ht="15" hidden="false" customHeight="true" outlineLevel="0" collapsed="false">
      <c r="A25" s="368" t="s">
        <v>4369</v>
      </c>
      <c r="B25" s="368"/>
      <c r="C25" s="368"/>
      <c r="D25" s="510" t="n">
        <f aca="false">SUMIFS(E8:E17,F8:F17,"Approved",G8:G17,"Contingency")/$D$4</f>
        <v>0.197088814070469</v>
      </c>
    </row>
    <row r="26" customFormat="false" ht="15" hidden="false" customHeight="true" outlineLevel="0" collapsed="false">
      <c r="A26" s="368" t="s">
        <v>4370</v>
      </c>
      <c r="B26" s="368"/>
      <c r="C26" s="368"/>
      <c r="D26" s="369" t="n">
        <f aca="false">SUMIFS(E8:E17,F8:F17,"Pending",G8:G17,"Contingency")</f>
        <v>2700000</v>
      </c>
    </row>
    <row r="27" customFormat="false" ht="15" hidden="false" customHeight="true" outlineLevel="0" collapsed="false">
      <c r="A27" s="368" t="s">
        <v>4371</v>
      </c>
      <c r="B27" s="368"/>
      <c r="C27" s="368"/>
      <c r="D27" s="110" t="str">
        <f aca="false">IF(H17/$D$4&gt;=0.5,"● Healthy — over half of contingency remains",IF(H17/$D$4&gt;=0.2,"▲ Monitor — contingency below 50%","■ Critical — contingency below 20%"))</f>
        <v>● Healthy — over half of contingency remains</v>
      </c>
      <c r="E27" s="110"/>
      <c r="F27" s="110"/>
      <c r="G27" s="110"/>
      <c r="H27" s="110"/>
    </row>
    <row r="29" customFormat="false" ht="15" hidden="false" customHeight="true" outlineLevel="0" collapsed="false">
      <c r="J29" s="409" t="s">
        <v>4372</v>
      </c>
    </row>
    <row r="30" customFormat="false" ht="15" hidden="false" customHeight="true" outlineLevel="0" collapsed="false">
      <c r="J30" s="800" t="s">
        <v>4373</v>
      </c>
      <c r="K30" s="801" t="s">
        <v>4374</v>
      </c>
      <c r="L30" s="801" t="s">
        <v>4375</v>
      </c>
      <c r="M30" s="802" t="s">
        <v>4376</v>
      </c>
    </row>
    <row r="31" customFormat="false" ht="15" hidden="false" customHeight="true" outlineLevel="0" collapsed="false">
      <c r="J31" s="803" t="s">
        <v>3778</v>
      </c>
      <c r="K31" s="804" t="n">
        <f aca="false">$D$4</f>
        <v>98940166.0970357</v>
      </c>
      <c r="L31" s="804" t="n">
        <f aca="false">$D$4*0.5</f>
        <v>49470083.0485178</v>
      </c>
      <c r="M31" s="805" t="n">
        <f aca="false">$D$4*0.2</f>
        <v>19788033.2194071</v>
      </c>
    </row>
    <row r="32" customFormat="false" ht="15" hidden="false" customHeight="true" outlineLevel="0" collapsed="false">
      <c r="J32" s="806" t="str">
        <f aca="false">A8</f>
        <v>CO-001</v>
      </c>
      <c r="K32" s="807" t="n">
        <f aca="false">H8</f>
        <v>90440166.0970357</v>
      </c>
      <c r="L32" s="807" t="n">
        <f aca="false">$D$4*0.5</f>
        <v>49470083.0485178</v>
      </c>
      <c r="M32" s="808" t="n">
        <f aca="false">$D$4*0.2</f>
        <v>19788033.2194071</v>
      </c>
    </row>
    <row r="33" customFormat="false" ht="15" hidden="false" customHeight="true" outlineLevel="0" collapsed="false">
      <c r="J33" s="803" t="str">
        <f aca="false">A9</f>
        <v>CO-002</v>
      </c>
      <c r="K33" s="804" t="n">
        <f aca="false">H9</f>
        <v>87240166.0970357</v>
      </c>
      <c r="L33" s="804" t="n">
        <f aca="false">$D$4*0.5</f>
        <v>49470083.0485178</v>
      </c>
      <c r="M33" s="805" t="n">
        <f aca="false">$D$4*0.2</f>
        <v>19788033.2194071</v>
      </c>
    </row>
    <row r="34" customFormat="false" ht="15" hidden="false" customHeight="true" outlineLevel="0" collapsed="false">
      <c r="J34" s="806" t="str">
        <f aca="false">A10</f>
        <v>CO-003</v>
      </c>
      <c r="K34" s="807" t="n">
        <f aca="false">H10</f>
        <v>85140166.0970357</v>
      </c>
      <c r="L34" s="807" t="n">
        <f aca="false">$D$4*0.5</f>
        <v>49470083.0485178</v>
      </c>
      <c r="M34" s="808" t="n">
        <f aca="false">$D$4*0.2</f>
        <v>19788033.2194071</v>
      </c>
    </row>
    <row r="35" customFormat="false" ht="15" hidden="false" customHeight="true" outlineLevel="0" collapsed="false">
      <c r="J35" s="803" t="str">
        <f aca="false">A11</f>
        <v>CO-004</v>
      </c>
      <c r="K35" s="804" t="n">
        <f aca="false">H11</f>
        <v>84240166.0970357</v>
      </c>
      <c r="L35" s="804" t="n">
        <f aca="false">$D$4*0.5</f>
        <v>49470083.0485178</v>
      </c>
      <c r="M35" s="805" t="n">
        <f aca="false">$D$4*0.2</f>
        <v>19788033.2194071</v>
      </c>
    </row>
    <row r="36" customFormat="false" ht="15" hidden="false" customHeight="true" outlineLevel="0" collapsed="false">
      <c r="J36" s="806" t="str">
        <f aca="false">A12</f>
        <v>CO-005</v>
      </c>
      <c r="K36" s="807" t="n">
        <f aca="false">H12</f>
        <v>84240166.0970357</v>
      </c>
      <c r="L36" s="807" t="n">
        <f aca="false">$D$4*0.5</f>
        <v>49470083.0485178</v>
      </c>
      <c r="M36" s="808" t="n">
        <f aca="false">$D$4*0.2</f>
        <v>19788033.2194071</v>
      </c>
    </row>
    <row r="37" customFormat="false" ht="15" hidden="false" customHeight="true" outlineLevel="0" collapsed="false">
      <c r="J37" s="803" t="str">
        <f aca="false">A13</f>
        <v>CO-006</v>
      </c>
      <c r="K37" s="804" t="n">
        <f aca="false">H13</f>
        <v>82440166.0970357</v>
      </c>
      <c r="L37" s="804" t="n">
        <f aca="false">$D$4*0.5</f>
        <v>49470083.0485178</v>
      </c>
      <c r="M37" s="805" t="n">
        <f aca="false">$D$4*0.2</f>
        <v>19788033.2194071</v>
      </c>
    </row>
    <row r="38" customFormat="false" ht="15" hidden="false" customHeight="true" outlineLevel="0" collapsed="false">
      <c r="J38" s="806" t="str">
        <f aca="false">A14</f>
        <v>CO-007</v>
      </c>
      <c r="K38" s="807" t="n">
        <f aca="false">H14</f>
        <v>81140166.0970357</v>
      </c>
      <c r="L38" s="807" t="n">
        <f aca="false">$D$4*0.5</f>
        <v>49470083.0485178</v>
      </c>
      <c r="M38" s="808" t="n">
        <f aca="false">$D$4*0.2</f>
        <v>19788033.2194071</v>
      </c>
    </row>
    <row r="39" customFormat="false" ht="15" hidden="false" customHeight="true" outlineLevel="0" collapsed="false">
      <c r="J39" s="803" t="str">
        <f aca="false">A15</f>
        <v>CO-008</v>
      </c>
      <c r="K39" s="804" t="n">
        <f aca="false">H15</f>
        <v>81140166.0970357</v>
      </c>
      <c r="L39" s="804" t="n">
        <f aca="false">$D$4*0.5</f>
        <v>49470083.0485178</v>
      </c>
      <c r="M39" s="805" t="n">
        <f aca="false">$D$4*0.2</f>
        <v>19788033.2194071</v>
      </c>
    </row>
    <row r="40" customFormat="false" ht="15" hidden="false" customHeight="true" outlineLevel="0" collapsed="false">
      <c r="J40" s="806" t="str">
        <f aca="false">A16</f>
        <v>CO-009</v>
      </c>
      <c r="K40" s="807" t="n">
        <f aca="false">H16</f>
        <v>80040166.0970357</v>
      </c>
      <c r="L40" s="807" t="n">
        <f aca="false">$D$4*0.5</f>
        <v>49470083.0485178</v>
      </c>
      <c r="M40" s="808" t="n">
        <f aca="false">$D$4*0.2</f>
        <v>19788033.2194071</v>
      </c>
    </row>
    <row r="41" customFormat="false" ht="15" hidden="false" customHeight="true" outlineLevel="0" collapsed="false">
      <c r="J41" s="809" t="str">
        <f aca="false">A17</f>
        <v>CO-010</v>
      </c>
      <c r="K41" s="810" t="n">
        <f aca="false">H17</f>
        <v>79440166.0970357</v>
      </c>
      <c r="L41" s="810" t="n">
        <f aca="false">$D$4*0.5</f>
        <v>49470083.0485178</v>
      </c>
      <c r="M41" s="811" t="n">
        <f aca="false">$D$4*0.2</f>
        <v>19788033.2194071</v>
      </c>
    </row>
  </sheetData>
  <mergeCells count="14">
    <mergeCell ref="A1:H1"/>
    <mergeCell ref="A2:H2"/>
    <mergeCell ref="A4:C4"/>
    <mergeCell ref="A6:H6"/>
    <mergeCell ref="A19:D19"/>
    <mergeCell ref="A20:C20"/>
    <mergeCell ref="A21:C21"/>
    <mergeCell ref="A22:C22"/>
    <mergeCell ref="A23:C23"/>
    <mergeCell ref="A24:C24"/>
    <mergeCell ref="A25:C25"/>
    <mergeCell ref="A26:C26"/>
    <mergeCell ref="A27:C27"/>
    <mergeCell ref="D27:H27"/>
  </mergeCells>
  <conditionalFormatting sqref="F8:F17">
    <cfRule type="expression" priority="2" aboveAverage="0" equalAverage="0" bottom="0" percent="0" rank="0" text="" dxfId="3">
      <formula>$F8="Approved"</formula>
    </cfRule>
    <cfRule type="expression" priority="3" aboveAverage="0" equalAverage="0" bottom="0" percent="0" rank="0" text="" dxfId="4">
      <formula>$F8="Pending"</formula>
    </cfRule>
    <cfRule type="expression" priority="4" aboveAverage="0" equalAverage="0" bottom="0" percent="0" rank="0" text="" dxfId="6">
      <formula>$F8="Rejected"</formula>
    </cfRule>
  </conditionalFormatting>
  <conditionalFormatting sqref="G8:G17">
    <cfRule type="expression" priority="5" aboveAverage="0" equalAverage="0" bottom="0" percent="0" rank="0" text="" dxfId="5">
      <formula>$G8="Contingency"</formula>
    </cfRule>
    <cfRule type="expression" priority="6" aboveAverage="0" equalAverage="0" bottom="0" percent="0" rank="0" text="" dxfId="28">
      <formula>$G8="Owner add"</formula>
    </cfRule>
  </conditionalFormatting>
  <conditionalFormatting sqref="D27:H27">
    <cfRule type="expression" priority="7" aboveAverage="0" equalAverage="0" bottom="0" percent="0" rank="0" text="" dxfId="3">
      <formula>LEFT($D$27,1)="●"</formula>
    </cfRule>
    <cfRule type="expression" priority="8" aboveAverage="0" equalAverage="0" bottom="0" percent="0" rank="0" text="" dxfId="4">
      <formula>LEFT($D$27,1)="▲"</formula>
    </cfRule>
    <cfRule type="expression" priority="9" aboveAverage="0" equalAverage="0" bottom="0" percent="0" rank="0" text="" dxfId="6">
      <formula>LEFT($D$27,1)="■"</formula>
    </cfRule>
  </conditionalFormatting>
  <conditionalFormatting sqref="E8:E17">
    <cfRule type="dataBar" priority="10">
      <dataBar showValue="1" minLength="10" maxLength="90">
        <cfvo type="min" val="0"/>
        <cfvo type="max" val="0"/>
        <color rgb="FF638EC6"/>
      </dataBar>
      <extLst>
        <ext xmlns:x14="http://schemas.microsoft.com/office/spreadsheetml/2009/9/main" uri="{B025F937-C7B1-47D3-B67F-A62EFF666E3E}">
          <x14:id>{B8C6D31B-572D-4DB7-A3BC-FA5230E18B41}</x14:id>
        </ext>
      </extLst>
    </cfRule>
  </conditionalFormatting>
  <dataValidations count="4">
    <dataValidation allowBlank="true" errorStyle="stop" operator="between" showDropDown="false" showErrorMessage="true" showInputMessage="true" sqref="F8:F17" type="list">
      <formula1>"Approved,Pending,Rejected"</formula1>
      <formula2>0</formula2>
    </dataValidation>
    <dataValidation allowBlank="true" errorStyle="stop" operator="between" showDropDown="false" showErrorMessage="true" showInputMessage="true" sqref="G8:G17" type="list">
      <formula1>"Contingency,Owner add"</formula1>
      <formula2>0</formula2>
    </dataValidation>
    <dataValidation allowBlank="true" errorStyle="stop" operator="between" showDropDown="false" showErrorMessage="true" showInputMessage="true" sqref="D8:D17" type="list">
      <formula1>"Owner-directed,Unforeseen,Design development,Errors &amp; omissions"</formula1>
      <formula2>0</formula2>
    </dataValidation>
    <dataValidation allowBlank="true" error="Amount must be 0 or greater." errorStyle="stop" errorTitle="Invalid" operator="between" showDropDown="false" showErrorMessage="true" showInputMessage="true" sqref="E8:E17" type="decimal">
      <formula1>0</formula1>
      <formula2>100000000000</formula2>
    </dataValidation>
  </dataValidations>
  <printOptions headings="false" gridLines="false" gridLinesSet="true" horizontalCentered="true" verticalCentered="false"/>
  <pageMargins left="0.25" right="0.25" top="0.5" bottom="0.5" header="0.511811023622047" footer="0.194444444444444"/>
  <pageSetup paperSize="9" scale="100" fitToWidth="1" fitToHeight="2" pageOrder="downThenOver" orientation="landscape" blackAndWhite="false" draft="false" cellComments="none" horizontalDpi="300" verticalDpi="300" copies="1"/>
  <headerFooter differentFirst="false" differentOddEven="false">
    <oddHeader/>
    <oddFooter>&amp;LChange Order Log&amp;CPage &amp;P of &amp;N&amp;R&amp;D</oddFooter>
  </headerFooter>
  <rowBreaks count="1" manualBreakCount="1">
    <brk id="28" man="true" max="16383" min="0"/>
  </rowBreaks>
  <drawing r:id="rId1"/>
  <extLst>
    <ext xmlns:x14="http://schemas.microsoft.com/office/spreadsheetml/2009/9/main" uri="{78C0D931-6437-407d-A8EE-F0AAD7539E65}">
      <x14:conditionalFormattings>
        <x14:conditionalFormatting xmlns:xm="http://schemas.microsoft.com/office/excel/2006/main">
          <x14:cfRule type="dataBar" id="{B8C6D31B-572D-4DB7-A3BC-FA5230E18B41}">
            <x14:dataBar minLength="10" maxLength="90" axisPosition="none" gradient="true">
              <x14:cfvo type="min"/>
              <x14:cfvo type="max"/>
              <x14:negativeFillColor rgb="FF638EC6"/>
              <x14:axisColor rgb="FF000000"/>
            </x14:dataBar>
          </x14:cfRule>
          <xm:sqref>E8:E17</xm:sqref>
        </x14:conditionalFormatting>
      </x14:conditionalFormatting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E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K35" activeCellId="0" sqref="K35"/>
    </sheetView>
  </sheetViews>
  <sheetFormatPr defaultColWidth="8.57421875" defaultRowHeight="15" zeroHeight="false" outlineLevelRow="0" outlineLevelCol="0"/>
  <cols>
    <col collapsed="false" customWidth="true" hidden="false" outlineLevel="0" max="1" min="1" style="1" width="51.43"/>
    <col collapsed="false" customWidth="true" hidden="false" outlineLevel="0" max="2" min="2" style="1" width="3.86"/>
    <col collapsed="false" customWidth="true" hidden="false" outlineLevel="0" max="3" min="3" style="1" width="28.57"/>
    <col collapsed="false" customWidth="true" hidden="false" outlineLevel="0" max="4" min="4" style="1" width="21"/>
    <col collapsed="false" customWidth="true" hidden="false" outlineLevel="0" max="5" min="5" style="1" width="40"/>
  </cols>
  <sheetData>
    <row r="1" customFormat="false" ht="25.5" hidden="false" customHeight="true" outlineLevel="0" collapsed="false">
      <c r="A1" s="105" t="s">
        <v>4377</v>
      </c>
      <c r="B1" s="105"/>
      <c r="C1" s="105"/>
      <c r="D1" s="105"/>
      <c r="E1" s="105"/>
    </row>
    <row r="2" customFormat="false" ht="18" hidden="false" customHeight="true" outlineLevel="0" collapsed="false"/>
    <row r="3" customFormat="false" ht="30" hidden="false" customHeight="true" outlineLevel="0" collapsed="false">
      <c r="A3" s="812" t="s">
        <v>4378</v>
      </c>
      <c r="B3" s="812"/>
      <c r="C3" s="812"/>
      <c r="D3" s="812"/>
      <c r="E3" s="812"/>
    </row>
    <row r="4" customFormat="false" ht="18" hidden="false" customHeight="true" outlineLevel="0" collapsed="false">
      <c r="A4" s="812"/>
      <c r="B4" s="812"/>
      <c r="C4" s="812"/>
      <c r="D4" s="812"/>
      <c r="E4" s="812"/>
    </row>
    <row r="5" customFormat="false" ht="18" hidden="false" customHeight="true" outlineLevel="0" collapsed="false"/>
    <row r="6" customFormat="false" ht="18" hidden="false" customHeight="true" outlineLevel="0" collapsed="false">
      <c r="A6" s="7" t="s">
        <v>4379</v>
      </c>
      <c r="B6" s="7"/>
      <c r="C6" s="7"/>
      <c r="D6" s="7"/>
      <c r="E6" s="7"/>
    </row>
    <row r="7" customFormat="false" ht="18" hidden="false" customHeight="true" outlineLevel="0" collapsed="false">
      <c r="A7" s="813" t="s">
        <v>4380</v>
      </c>
      <c r="C7" s="814" t="s">
        <v>4334</v>
      </c>
      <c r="E7" s="813" t="s">
        <v>4381</v>
      </c>
    </row>
    <row r="8" customFormat="false" ht="18" hidden="false" customHeight="true" outlineLevel="0" collapsed="false">
      <c r="A8" s="60" t="s">
        <v>4382</v>
      </c>
      <c r="C8" s="815" t="n">
        <f aca="false">'Campus Rollup'!E16</f>
        <v>275731915.866136</v>
      </c>
      <c r="E8" s="816" t="s">
        <v>4383</v>
      </c>
    </row>
    <row r="9" customFormat="false" ht="18" hidden="false" customHeight="true" outlineLevel="0" collapsed="false">
      <c r="A9" s="60" t="s">
        <v>4384</v>
      </c>
      <c r="C9" s="815" t="n">
        <f aca="false">'Campus Rollup'!F16</f>
        <v>609160998.09738</v>
      </c>
      <c r="E9" s="816" t="s">
        <v>4383</v>
      </c>
    </row>
    <row r="10" customFormat="false" ht="18" hidden="false" customHeight="true" outlineLevel="0" collapsed="false">
      <c r="A10" s="60" t="s">
        <v>4385</v>
      </c>
      <c r="C10" s="815" t="n">
        <f aca="false">'Campus Rollup'!G16</f>
        <v>203448913.103876</v>
      </c>
      <c r="E10" s="816" t="s">
        <v>4383</v>
      </c>
    </row>
    <row r="11" customFormat="false" ht="18" hidden="false" customHeight="true" outlineLevel="0" collapsed="false">
      <c r="A11" s="106" t="s">
        <v>4386</v>
      </c>
      <c r="C11" s="817" t="n">
        <f aca="false">SUM(C8:C10)</f>
        <v>1088341827.06739</v>
      </c>
      <c r="E11" s="816" t="s">
        <v>4387</v>
      </c>
    </row>
    <row r="12" customFormat="false" ht="18" hidden="false" customHeight="true" outlineLevel="0" collapsed="false"/>
    <row r="13" customFormat="false" ht="18" hidden="false" customHeight="true" outlineLevel="0" collapsed="false">
      <c r="A13" s="7" t="s">
        <v>4388</v>
      </c>
      <c r="B13" s="7"/>
      <c r="C13" s="7"/>
      <c r="D13" s="7"/>
      <c r="E13" s="7"/>
    </row>
    <row r="14" customFormat="false" ht="18" hidden="false" customHeight="true" outlineLevel="0" collapsed="false">
      <c r="A14" s="813" t="s">
        <v>4380</v>
      </c>
      <c r="C14" s="814" t="s">
        <v>4334</v>
      </c>
      <c r="D14" s="814" t="s">
        <v>4389</v>
      </c>
      <c r="E14" s="813" t="s">
        <v>1921</v>
      </c>
    </row>
    <row r="15" customFormat="false" ht="18" hidden="false" customHeight="true" outlineLevel="0" collapsed="false">
      <c r="A15" s="60" t="s">
        <v>4390</v>
      </c>
      <c r="C15" s="818" t="n">
        <v>80000000</v>
      </c>
      <c r="D15" s="819" t="s">
        <v>85</v>
      </c>
      <c r="E15" s="816" t="s">
        <v>4391</v>
      </c>
    </row>
    <row r="16" customFormat="false" ht="18" hidden="false" customHeight="true" outlineLevel="0" collapsed="false">
      <c r="A16" s="60" t="s">
        <v>4392</v>
      </c>
      <c r="C16" s="818" t="n">
        <v>117000000</v>
      </c>
      <c r="D16" s="819" t="s">
        <v>85</v>
      </c>
      <c r="E16" s="816" t="s">
        <v>4393</v>
      </c>
    </row>
    <row r="17" customFormat="false" ht="18" hidden="false" customHeight="true" outlineLevel="0" collapsed="false">
      <c r="A17" s="60" t="s">
        <v>4394</v>
      </c>
      <c r="C17" s="820" t="n">
        <f aca="false">D17*C11</f>
        <v>27208545.6766848</v>
      </c>
      <c r="D17" s="821" t="n">
        <v>0.025</v>
      </c>
      <c r="E17" s="816" t="s">
        <v>4395</v>
      </c>
    </row>
    <row r="18" customFormat="false" ht="18" hidden="false" customHeight="true" outlineLevel="0" collapsed="false">
      <c r="A18" s="60" t="s">
        <v>4396</v>
      </c>
      <c r="C18" s="820" t="n">
        <f aca="false">D18*C11</f>
        <v>16325127.4060109</v>
      </c>
      <c r="D18" s="821" t="n">
        <v>0.015</v>
      </c>
      <c r="E18" s="816" t="s">
        <v>4397</v>
      </c>
    </row>
    <row r="19" customFormat="false" ht="18" hidden="false" customHeight="true" outlineLevel="0" collapsed="false">
      <c r="A19" s="60" t="s">
        <v>4398</v>
      </c>
      <c r="C19" s="818" t="n">
        <v>9500000</v>
      </c>
      <c r="D19" s="819" t="s">
        <v>85</v>
      </c>
      <c r="E19" s="816" t="s">
        <v>4399</v>
      </c>
    </row>
    <row r="20" customFormat="false" ht="18" hidden="false" customHeight="true" outlineLevel="0" collapsed="false">
      <c r="A20" s="60" t="s">
        <v>4400</v>
      </c>
      <c r="C20" s="818" t="n">
        <v>6500000</v>
      </c>
      <c r="D20" s="819" t="s">
        <v>85</v>
      </c>
      <c r="E20" s="816" t="s">
        <v>4401</v>
      </c>
    </row>
    <row r="21" customFormat="false" ht="18" hidden="false" customHeight="true" outlineLevel="0" collapsed="false">
      <c r="A21" s="60" t="s">
        <v>4402</v>
      </c>
      <c r="C21" s="818" t="n">
        <v>0</v>
      </c>
      <c r="D21" s="819" t="s">
        <v>85</v>
      </c>
      <c r="E21" s="816" t="s">
        <v>4403</v>
      </c>
    </row>
    <row r="22" customFormat="false" ht="18" hidden="false" customHeight="true" outlineLevel="0" collapsed="false">
      <c r="A22" s="60" t="s">
        <v>4404</v>
      </c>
      <c r="C22" s="818" t="n">
        <v>12000000</v>
      </c>
      <c r="D22" s="819" t="s">
        <v>85</v>
      </c>
      <c r="E22" s="816" t="s">
        <v>4405</v>
      </c>
    </row>
    <row r="23" customFormat="false" ht="18" hidden="false" customHeight="true" outlineLevel="0" collapsed="false">
      <c r="A23" s="106" t="s">
        <v>4406</v>
      </c>
      <c r="C23" s="817" t="n">
        <f aca="false">C11+SUM(C15:C22)</f>
        <v>1356875500.15009</v>
      </c>
    </row>
    <row r="24" customFormat="false" ht="18" hidden="false" customHeight="true" outlineLevel="0" collapsed="false"/>
    <row r="25" customFormat="false" ht="18" hidden="false" customHeight="true" outlineLevel="0" collapsed="false">
      <c r="A25" s="7" t="s">
        <v>4407</v>
      </c>
      <c r="B25" s="7"/>
      <c r="C25" s="7"/>
      <c r="D25" s="7"/>
      <c r="E25" s="7"/>
    </row>
    <row r="26" customFormat="false" ht="18" hidden="false" customHeight="true" outlineLevel="0" collapsed="false">
      <c r="A26" s="60" t="s">
        <v>4408</v>
      </c>
      <c r="C26" s="822" t="n">
        <v>0.6</v>
      </c>
      <c r="E26" s="816" t="s">
        <v>4409</v>
      </c>
    </row>
    <row r="27" customFormat="false" ht="18" hidden="false" customHeight="true" outlineLevel="0" collapsed="false">
      <c r="A27" s="60" t="s">
        <v>4410</v>
      </c>
      <c r="C27" s="823" t="n">
        <v>0.075</v>
      </c>
    </row>
    <row r="28" customFormat="false" ht="18" hidden="false" customHeight="true" outlineLevel="0" collapsed="false">
      <c r="A28" s="60" t="s">
        <v>4411</v>
      </c>
      <c r="C28" s="824" t="n">
        <v>30</v>
      </c>
    </row>
    <row r="29" customFormat="false" ht="18" hidden="false" customHeight="true" outlineLevel="0" collapsed="false">
      <c r="A29" s="60" t="s">
        <v>4412</v>
      </c>
      <c r="C29" s="822" t="n">
        <v>0.55</v>
      </c>
    </row>
    <row r="30" customFormat="false" ht="18" hidden="false" customHeight="true" outlineLevel="0" collapsed="false">
      <c r="A30" s="106" t="s">
        <v>4413</v>
      </c>
      <c r="C30" s="817" t="n">
        <f aca="false">C23*C26*C27*(C28/12)*C29</f>
        <v>83956671.5717866</v>
      </c>
      <c r="E30" s="816" t="s">
        <v>4414</v>
      </c>
    </row>
    <row r="31" customFormat="false" ht="18" hidden="false" customHeight="true" outlineLevel="0" collapsed="false">
      <c r="A31" s="106" t="s">
        <v>4415</v>
      </c>
      <c r="C31" s="817" t="n">
        <f aca="false">C23+C30</f>
        <v>1440832171.72187</v>
      </c>
    </row>
    <row r="32" customFormat="false" ht="18" hidden="false" customHeight="true" outlineLevel="0" collapsed="false"/>
    <row r="33" customFormat="false" ht="18" hidden="false" customHeight="true" outlineLevel="0" collapsed="false">
      <c r="A33" s="7" t="s">
        <v>4416</v>
      </c>
      <c r="B33" s="7"/>
      <c r="C33" s="7"/>
      <c r="D33" s="7"/>
      <c r="E33" s="7"/>
    </row>
    <row r="34" customFormat="false" ht="18" hidden="false" customHeight="true" outlineLevel="0" collapsed="false">
      <c r="A34" s="60" t="s">
        <v>4417</v>
      </c>
      <c r="C34" s="820" t="n">
        <f aca="false">D34*C31</f>
        <v>72041608.5860937</v>
      </c>
      <c r="D34" s="821" t="n">
        <v>0.05</v>
      </c>
      <c r="E34" s="816" t="s">
        <v>4418</v>
      </c>
    </row>
    <row r="35" customFormat="false" ht="21.75" hidden="false" customHeight="true" outlineLevel="0" collapsed="false">
      <c r="A35" s="825" t="s">
        <v>4419</v>
      </c>
      <c r="C35" s="825" t="n">
        <f aca="false">C31+C34</f>
        <v>1512873780.30797</v>
      </c>
    </row>
    <row r="36" customFormat="false" ht="18" hidden="false" customHeight="true" outlineLevel="0" collapsed="false"/>
    <row r="37" customFormat="false" ht="18" hidden="false" customHeight="true" outlineLevel="0" collapsed="false">
      <c r="A37" s="7" t="s">
        <v>4420</v>
      </c>
      <c r="B37" s="7"/>
      <c r="C37" s="7"/>
      <c r="D37" s="7"/>
      <c r="E37" s="7"/>
    </row>
    <row r="38" customFormat="false" ht="18" hidden="false" customHeight="true" outlineLevel="0" collapsed="false">
      <c r="A38" s="60" t="s">
        <v>4421</v>
      </c>
      <c r="C38" s="826" t="n">
        <f aca="false">C35/'Campus Rollup'!D16</f>
        <v>16809708.6700885</v>
      </c>
    </row>
    <row r="39" customFormat="false" ht="18" hidden="false" customHeight="true" outlineLevel="0" collapsed="false">
      <c r="A39" s="60" t="s">
        <v>4422</v>
      </c>
      <c r="C39" s="827" t="n">
        <f aca="false">C35/'Campus Rollup'!C16</f>
        <v>1891.09222538496</v>
      </c>
    </row>
    <row r="40" customFormat="false" ht="18" hidden="false" customHeight="true" outlineLevel="0" collapsed="false">
      <c r="A40" s="60" t="s">
        <v>4423</v>
      </c>
      <c r="C40" s="827" t="n">
        <f aca="false">C35/('Campus Rollup'!D16*1000000)</f>
        <v>16.8097086700885</v>
      </c>
    </row>
    <row r="41" customFormat="false" ht="18" hidden="false" customHeight="true" outlineLevel="0" collapsed="false">
      <c r="A41" s="60" t="s">
        <v>4424</v>
      </c>
      <c r="C41" s="828" t="n">
        <f aca="false">C11/C35</f>
        <v>0.71938706403243</v>
      </c>
    </row>
    <row r="42" customFormat="false" ht="18" hidden="false" customHeight="true" outlineLevel="0" collapsed="false">
      <c r="A42" s="60" t="s">
        <v>4425</v>
      </c>
      <c r="C42" s="828" t="n">
        <f aca="false">(C35-C11)/C35</f>
        <v>0.280612935967571</v>
      </c>
    </row>
    <row r="43" customFormat="false" ht="18" hidden="false" customHeight="true" outlineLevel="0" collapsed="false">
      <c r="A43" s="60" t="s">
        <v>4426</v>
      </c>
      <c r="C43" s="826" t="n">
        <f aca="false">C35-C11</f>
        <v>424531953.240576</v>
      </c>
    </row>
    <row r="44" customFormat="false" ht="18" hidden="false" customHeight="true" outlineLevel="0" collapsed="false">
      <c r="A44" s="141" t="s">
        <v>4427</v>
      </c>
      <c r="B44" s="149"/>
      <c r="C44" s="149"/>
      <c r="D44" s="149"/>
      <c r="E44" s="149"/>
    </row>
    <row r="45" customFormat="false" ht="18" hidden="false" customHeight="true" outlineLevel="0" collapsed="false">
      <c r="A45" s="829" t="s">
        <v>4428</v>
      </c>
      <c r="C45" s="830" t="s">
        <v>4334</v>
      </c>
      <c r="D45" s="830" t="s">
        <v>4429</v>
      </c>
    </row>
    <row r="46" customFormat="false" ht="18" hidden="false" customHeight="true" outlineLevel="0" collapsed="false">
      <c r="A46" s="60" t="s">
        <v>4430</v>
      </c>
      <c r="C46" s="820" t="n">
        <f aca="false">C11</f>
        <v>1088341827.06739</v>
      </c>
      <c r="D46" s="81" t="n">
        <f aca="false">C11/$C$35</f>
        <v>0.71938706403243</v>
      </c>
    </row>
    <row r="47" customFormat="false" ht="18" hidden="false" customHeight="true" outlineLevel="0" collapsed="false">
      <c r="A47" s="60" t="s">
        <v>4431</v>
      </c>
      <c r="C47" s="820" t="n">
        <f aca="false">C23-C11</f>
        <v>268533673.082696</v>
      </c>
      <c r="D47" s="81" t="n">
        <f aca="false">(C23-C11)/$C$35</f>
        <v>0.177499059457579</v>
      </c>
    </row>
    <row r="48" customFormat="false" ht="18" hidden="false" customHeight="true" outlineLevel="0" collapsed="false">
      <c r="A48" s="60" t="s">
        <v>4432</v>
      </c>
      <c r="C48" s="820" t="n">
        <f aca="false">C30</f>
        <v>83956671.5717866</v>
      </c>
      <c r="D48" s="81" t="n">
        <f aca="false">C30/$C$35</f>
        <v>0.0554948288909442</v>
      </c>
    </row>
    <row r="49" customFormat="false" ht="18" hidden="false" customHeight="true" outlineLevel="0" collapsed="false">
      <c r="A49" s="60" t="s">
        <v>4433</v>
      </c>
      <c r="C49" s="820" t="n">
        <f aca="false">C34</f>
        <v>72041608.5860937</v>
      </c>
      <c r="D49" s="81" t="n">
        <f aca="false">C34/$C$35</f>
        <v>0.0476190476190476</v>
      </c>
    </row>
    <row r="50" customFormat="false" ht="18" hidden="false" customHeight="true" outlineLevel="0" collapsed="false">
      <c r="A50" s="831" t="s">
        <v>4434</v>
      </c>
      <c r="C50" s="832" t="n">
        <f aca="false">C35</f>
        <v>1512873780.30797</v>
      </c>
      <c r="D50" s="833" t="n">
        <f aca="false">C50/$C$35</f>
        <v>1</v>
      </c>
    </row>
    <row r="51" customFormat="false" ht="18" hidden="false" customHeight="true" outlineLevel="0" collapsed="false"/>
    <row r="52" customFormat="false" ht="18" hidden="false" customHeight="true" outlineLevel="0" collapsed="false">
      <c r="A52" s="829" t="s">
        <v>4435</v>
      </c>
      <c r="C52" s="830" t="s">
        <v>4436</v>
      </c>
      <c r="D52" s="834" t="s">
        <v>4389</v>
      </c>
    </row>
    <row r="53" customFormat="false" ht="18" hidden="false" customHeight="true" outlineLevel="0" collapsed="false">
      <c r="A53" s="1" t="s">
        <v>4437</v>
      </c>
      <c r="C53" s="815" t="n">
        <f aca="false">'Capital Stack &amp; Returns'!B25</f>
        <v>907724268.184781</v>
      </c>
      <c r="D53" s="254" t="s">
        <v>4438</v>
      </c>
    </row>
    <row r="54" customFormat="false" ht="18" hidden="false" customHeight="true" outlineLevel="0" collapsed="false">
      <c r="A54" s="1" t="s">
        <v>4439</v>
      </c>
      <c r="C54" s="815" t="n">
        <f aca="false">'Capital Stack &amp; Returns'!B27</f>
        <v>605149512.123187</v>
      </c>
      <c r="D54" s="254" t="s">
        <v>4440</v>
      </c>
    </row>
    <row r="55" customFormat="false" ht="18" hidden="false" customHeight="true" outlineLevel="0" collapsed="false">
      <c r="A55" s="1" t="s">
        <v>4441</v>
      </c>
      <c r="C55" s="81" t="n">
        <f aca="false">'Capital Stack &amp; Returns'!B27/C35</f>
        <v>0.4</v>
      </c>
    </row>
    <row r="56" customFormat="false" ht="18" hidden="false" customHeight="true" outlineLevel="0" collapsed="false">
      <c r="A56" s="1" t="s">
        <v>4442</v>
      </c>
      <c r="C56" s="81" t="n">
        <f aca="false">C41</f>
        <v>0.71938706403243</v>
      </c>
      <c r="D56" s="254" t="s">
        <v>4443</v>
      </c>
    </row>
    <row r="57" customFormat="false" ht="18" hidden="false" customHeight="true" outlineLevel="0" collapsed="false">
      <c r="A57" s="835" t="s">
        <v>4444</v>
      </c>
      <c r="C57" s="836" t="n">
        <f aca="false">C34/C11</f>
        <v>0.0661939170161406</v>
      </c>
      <c r="D57" s="254" t="s">
        <v>4445</v>
      </c>
    </row>
    <row r="58" customFormat="false" ht="18" hidden="false" customHeight="true" outlineLevel="0" collapsed="false"/>
    <row r="60" customFormat="false" ht="15" hidden="false" customHeight="true" outlineLevel="0" collapsed="false">
      <c r="A60" s="7" t="s">
        <v>4446</v>
      </c>
      <c r="B60" s="7"/>
      <c r="C60" s="7"/>
      <c r="D60" s="7"/>
      <c r="E60" s="7"/>
    </row>
    <row r="61" customFormat="false" ht="15" hidden="false" customHeight="true" outlineLevel="0" collapsed="false">
      <c r="A61" s="60" t="s">
        <v>4447</v>
      </c>
      <c r="C61" s="837" t="str">
        <f aca="false">IF(ROUND(C11-'Campus Rollup'!H16,0)=0,"✅ Tie","❌ Off")</f>
        <v>✅ Tie</v>
      </c>
    </row>
    <row r="62" customFormat="false" ht="15" hidden="false" customHeight="true" outlineLevel="0" collapsed="false">
      <c r="A62" s="60" t="s">
        <v>4448</v>
      </c>
      <c r="C62" s="837" t="str">
        <f aca="false">IF(ROUND(C35-(C31+C34),0)=0,"✅ Tie","❌ Off")</f>
        <v>✅ Tie</v>
      </c>
    </row>
    <row r="65" customFormat="false" ht="15" hidden="false" customHeight="true" outlineLevel="0" collapsed="false">
      <c r="A65" s="254" t="s">
        <v>1882</v>
      </c>
    </row>
    <row r="66" customFormat="false" ht="15" hidden="false" customHeight="true" outlineLevel="0" collapsed="false">
      <c r="A66" s="255" t="s">
        <v>4449</v>
      </c>
      <c r="B66" s="256" t="n">
        <f aca="false">C46</f>
        <v>1088341827.06739</v>
      </c>
    </row>
    <row r="67" customFormat="false" ht="15" hidden="false" customHeight="true" outlineLevel="0" collapsed="false">
      <c r="A67" s="255" t="s">
        <v>4431</v>
      </c>
      <c r="B67" s="256" t="n">
        <f aca="false">C47</f>
        <v>268533673.082696</v>
      </c>
    </row>
    <row r="68" customFormat="false" ht="15" hidden="false" customHeight="true" outlineLevel="0" collapsed="false">
      <c r="A68" s="255" t="s">
        <v>4450</v>
      </c>
      <c r="B68" s="256" t="n">
        <f aca="false">C48</f>
        <v>83956671.5717866</v>
      </c>
    </row>
    <row r="69" customFormat="false" ht="15" hidden="false" customHeight="true" outlineLevel="0" collapsed="false">
      <c r="A69" s="255" t="s">
        <v>4433</v>
      </c>
      <c r="B69" s="256" t="n">
        <f aca="false">C49</f>
        <v>72041608.5860937</v>
      </c>
    </row>
  </sheetData>
  <mergeCells count="8">
    <mergeCell ref="A1:E1"/>
    <mergeCell ref="A3:E4"/>
    <mergeCell ref="A6:E6"/>
    <mergeCell ref="A13:E13"/>
    <mergeCell ref="A25:E25"/>
    <mergeCell ref="A33:E33"/>
    <mergeCell ref="A37:E37"/>
    <mergeCell ref="A60:E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D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77" activeCellId="0" sqref="C77"/>
    </sheetView>
  </sheetViews>
  <sheetFormatPr defaultColWidth="8.57421875" defaultRowHeight="15" zeroHeight="false" outlineLevelRow="0" outlineLevelCol="0"/>
  <cols>
    <col collapsed="false" customWidth="true" hidden="false" outlineLevel="0" max="1" min="1" style="1" width="47.57"/>
    <col collapsed="false" customWidth="true" hidden="false" outlineLevel="0" max="3" min="2" style="1" width="27.57"/>
    <col collapsed="false" customWidth="true" hidden="false" outlineLevel="0" max="4" min="4" style="1" width="35.29"/>
  </cols>
  <sheetData>
    <row r="1" customFormat="false" ht="25.5" hidden="false" customHeight="true" outlineLevel="0" collapsed="false">
      <c r="A1" s="105" t="s">
        <v>4451</v>
      </c>
      <c r="B1" s="105"/>
      <c r="C1" s="105"/>
      <c r="D1" s="105"/>
    </row>
    <row r="2" customFormat="false" ht="18" hidden="false" customHeight="true" outlineLevel="0" collapsed="false"/>
    <row r="3" customFormat="false" ht="30" hidden="false" customHeight="true" outlineLevel="0" collapsed="false">
      <c r="A3" s="812" t="s">
        <v>4452</v>
      </c>
      <c r="B3" s="812"/>
      <c r="C3" s="812"/>
      <c r="D3" s="812"/>
    </row>
    <row r="4" customFormat="false" ht="18" hidden="false" customHeight="true" outlineLevel="0" collapsed="false">
      <c r="A4" s="812"/>
      <c r="B4" s="812"/>
      <c r="C4" s="812"/>
      <c r="D4" s="812"/>
    </row>
    <row r="5" customFormat="false" ht="19.5" hidden="false" customHeight="true" outlineLevel="0" collapsed="false">
      <c r="A5" s="418" t="s">
        <v>4453</v>
      </c>
      <c r="B5" s="197"/>
      <c r="C5" s="197"/>
      <c r="D5" s="197"/>
    </row>
    <row r="6" customFormat="false" ht="21.75" hidden="false" customHeight="true" outlineLevel="0" collapsed="false">
      <c r="A6" s="838" t="s">
        <v>4454</v>
      </c>
      <c r="B6" s="839" t="n">
        <f aca="false">B20</f>
        <v>1512873780.30797</v>
      </c>
      <c r="C6" s="838" t="s">
        <v>4455</v>
      </c>
      <c r="D6" s="840" t="n">
        <f aca="false">'Capital Stack &amp; Returns'!B46</f>
        <v>0.266511265789023</v>
      </c>
    </row>
    <row r="7" customFormat="false" ht="21.75" hidden="false" customHeight="true" outlineLevel="0" collapsed="false">
      <c r="A7" s="838" t="s">
        <v>4456</v>
      </c>
      <c r="B7" s="841" t="n">
        <f aca="false">B43</f>
        <v>90</v>
      </c>
      <c r="C7" s="838" t="s">
        <v>4457</v>
      </c>
      <c r="D7" s="842" t="n">
        <f aca="false">'Capital Stack &amp; Returns'!B47</f>
        <v>5.19740612651599</v>
      </c>
    </row>
    <row r="8" customFormat="false" ht="21.75" hidden="false" customHeight="true" outlineLevel="0" collapsed="false">
      <c r="A8" s="838" t="s">
        <v>4458</v>
      </c>
      <c r="B8" s="839" t="n">
        <f aca="false">B47</f>
        <v>16809.7086700885</v>
      </c>
      <c r="C8" s="838" t="s">
        <v>4459</v>
      </c>
      <c r="D8" s="843" t="n">
        <f aca="false">B33</f>
        <v>0.6</v>
      </c>
    </row>
    <row r="9" customFormat="false" ht="21.75" hidden="false" customHeight="true" outlineLevel="0" collapsed="false">
      <c r="A9" s="838" t="s">
        <v>4460</v>
      </c>
      <c r="B9" s="839" t="n">
        <f aca="false">B24</f>
        <v>907724268.184781</v>
      </c>
      <c r="C9" s="838" t="s">
        <v>4461</v>
      </c>
      <c r="D9" s="839" t="n">
        <f aca="false">B26</f>
        <v>605149512.123187</v>
      </c>
    </row>
    <row r="10" customFormat="false" ht="18" hidden="false" customHeight="true" outlineLevel="0" collapsed="false"/>
    <row r="11" customFormat="false" ht="18" hidden="false" customHeight="true" outlineLevel="0" collapsed="false"/>
    <row r="12" customFormat="false" ht="18" hidden="false" customHeight="true" outlineLevel="0" collapsed="false">
      <c r="A12" s="7" t="s">
        <v>4462</v>
      </c>
      <c r="B12" s="7"/>
      <c r="C12" s="7"/>
      <c r="D12" s="7"/>
    </row>
    <row r="13" customFormat="false" ht="18" hidden="false" customHeight="true" outlineLevel="0" collapsed="false">
      <c r="A13" s="829" t="s">
        <v>4380</v>
      </c>
      <c r="B13" s="844" t="s">
        <v>4334</v>
      </c>
      <c r="C13" s="844" t="s">
        <v>4463</v>
      </c>
      <c r="D13" s="829" t="s">
        <v>4464</v>
      </c>
    </row>
    <row r="14" customFormat="false" ht="18" hidden="false" customHeight="true" outlineLevel="0" collapsed="false">
      <c r="A14" s="60" t="s">
        <v>4465</v>
      </c>
      <c r="B14" s="815" t="n">
        <f aca="false">'Total Development Cost'!C11</f>
        <v>1088341827.06739</v>
      </c>
      <c r="C14" s="81" t="n">
        <f aca="false">B14/$B$20</f>
        <v>0.71938706403243</v>
      </c>
      <c r="D14" s="816" t="s">
        <v>4466</v>
      </c>
    </row>
    <row r="15" customFormat="false" ht="18" hidden="false" customHeight="true" outlineLevel="0" collapsed="false">
      <c r="A15" s="60" t="s">
        <v>4390</v>
      </c>
      <c r="B15" s="815" t="n">
        <f aca="false">'Total Development Cost'!C15</f>
        <v>80000000</v>
      </c>
      <c r="C15" s="81" t="n">
        <f aca="false">B15/$B$20</f>
        <v>0.0528794940075667</v>
      </c>
      <c r="D15" s="816" t="s">
        <v>4467</v>
      </c>
    </row>
    <row r="16" customFormat="false" ht="18" hidden="false" customHeight="true" outlineLevel="0" collapsed="false">
      <c r="A16" s="60" t="s">
        <v>4468</v>
      </c>
      <c r="B16" s="815" t="n">
        <f aca="false">'Total Development Cost'!C16</f>
        <v>117000000</v>
      </c>
      <c r="C16" s="81" t="n">
        <f aca="false">B16/$B$20</f>
        <v>0.0773362599860663</v>
      </c>
      <c r="D16" s="816" t="s">
        <v>4467</v>
      </c>
    </row>
    <row r="17" customFormat="false" ht="18" hidden="false" customHeight="true" outlineLevel="0" collapsed="false">
      <c r="A17" s="60" t="s">
        <v>4469</v>
      </c>
      <c r="B17" s="815" t="n">
        <f aca="false">SUM('Total Development Cost'!C17:C22)</f>
        <v>71533673.0826957</v>
      </c>
      <c r="C17" s="81" t="n">
        <f aca="false">B17/$B$20</f>
        <v>0.0472833054639455</v>
      </c>
      <c r="D17" s="816" t="s">
        <v>4467</v>
      </c>
    </row>
    <row r="18" customFormat="false" ht="18" hidden="false" customHeight="true" outlineLevel="0" collapsed="false">
      <c r="A18" s="60" t="s">
        <v>4432</v>
      </c>
      <c r="B18" s="815" t="n">
        <f aca="false">'Total Development Cost'!C30</f>
        <v>83956671.5717866</v>
      </c>
      <c r="C18" s="81" t="n">
        <f aca="false">B18/$B$20</f>
        <v>0.0554948288909442</v>
      </c>
      <c r="D18" s="816" t="s">
        <v>4470</v>
      </c>
    </row>
    <row r="19" customFormat="false" ht="18" hidden="false" customHeight="true" outlineLevel="0" collapsed="false">
      <c r="A19" s="60" t="s">
        <v>4433</v>
      </c>
      <c r="B19" s="815" t="n">
        <f aca="false">'Total Development Cost'!C34</f>
        <v>72041608.5860937</v>
      </c>
      <c r="C19" s="81" t="n">
        <f aca="false">B19/$B$20</f>
        <v>0.0476190476190476</v>
      </c>
      <c r="D19" s="816" t="s">
        <v>4471</v>
      </c>
    </row>
    <row r="20" customFormat="false" ht="18" hidden="false" customHeight="true" outlineLevel="0" collapsed="false">
      <c r="A20" s="845" t="s">
        <v>4472</v>
      </c>
      <c r="B20" s="845" t="n">
        <f aca="false">SUM(B14:B19)</f>
        <v>1512873780.30797</v>
      </c>
      <c r="C20" s="836" t="n">
        <f aca="false">B20/$B$20</f>
        <v>1</v>
      </c>
    </row>
    <row r="21" customFormat="false" ht="18" hidden="false" customHeight="true" outlineLevel="0" collapsed="false"/>
    <row r="22" customFormat="false" ht="18" hidden="false" customHeight="true" outlineLevel="0" collapsed="false">
      <c r="A22" s="7" t="s">
        <v>4473</v>
      </c>
      <c r="B22" s="7"/>
      <c r="C22" s="7"/>
      <c r="D22" s="7"/>
    </row>
    <row r="23" customFormat="false" ht="18" hidden="false" customHeight="true" outlineLevel="0" collapsed="false">
      <c r="A23" s="829" t="s">
        <v>4380</v>
      </c>
      <c r="B23" s="844" t="s">
        <v>4334</v>
      </c>
      <c r="C23" s="844" t="s">
        <v>4463</v>
      </c>
      <c r="D23" s="829" t="s">
        <v>4389</v>
      </c>
    </row>
    <row r="24" customFormat="false" ht="18" hidden="false" customHeight="true" outlineLevel="0" collapsed="false">
      <c r="A24" s="60" t="s">
        <v>4474</v>
      </c>
      <c r="B24" s="815" t="n">
        <f aca="false">'Capital Stack &amp; Returns'!B25</f>
        <v>907724268.184781</v>
      </c>
      <c r="C24" s="81" t="n">
        <f aca="false">B24/$B$28</f>
        <v>0.6</v>
      </c>
      <c r="D24" s="816" t="s">
        <v>4475</v>
      </c>
    </row>
    <row r="25" customFormat="false" ht="18" hidden="false" customHeight="true" outlineLevel="0" collapsed="false">
      <c r="A25" s="60" t="s">
        <v>4476</v>
      </c>
      <c r="B25" s="818" t="n">
        <v>0</v>
      </c>
      <c r="C25" s="81" t="n">
        <f aca="false">B25/$B$28</f>
        <v>0</v>
      </c>
      <c r="D25" s="816" t="s">
        <v>4477</v>
      </c>
    </row>
    <row r="26" customFormat="false" ht="18" hidden="false" customHeight="true" outlineLevel="0" collapsed="false">
      <c r="A26" s="60" t="s">
        <v>4478</v>
      </c>
      <c r="B26" s="820" t="n">
        <f aca="false">B20-B24-B25</f>
        <v>605149512.123187</v>
      </c>
      <c r="C26" s="81" t="n">
        <f aca="false">B26/$B$28</f>
        <v>0.4</v>
      </c>
      <c r="D26" s="816" t="s">
        <v>4479</v>
      </c>
    </row>
    <row r="27" customFormat="false" ht="18" hidden="false" customHeight="true" outlineLevel="0" collapsed="false"/>
    <row r="28" customFormat="false" ht="18" hidden="false" customHeight="true" outlineLevel="0" collapsed="false">
      <c r="A28" s="845" t="s">
        <v>4480</v>
      </c>
      <c r="B28" s="845" t="n">
        <f aca="false">SUM(B24:B26)</f>
        <v>1512873780.30797</v>
      </c>
      <c r="C28" s="836" t="n">
        <f aca="false">B28/$B$28</f>
        <v>1</v>
      </c>
    </row>
    <row r="29" customFormat="false" ht="18" hidden="false" customHeight="true" outlineLevel="0" collapsed="false"/>
    <row r="30" customFormat="false" ht="18" hidden="false" customHeight="true" outlineLevel="0" collapsed="false">
      <c r="A30" s="7" t="s">
        <v>4481</v>
      </c>
      <c r="B30" s="7"/>
      <c r="C30" s="7"/>
      <c r="D30" s="7"/>
    </row>
    <row r="31" customFormat="false" ht="18" hidden="false" customHeight="true" outlineLevel="0" collapsed="false">
      <c r="A31" s="60" t="s">
        <v>4482</v>
      </c>
      <c r="B31" s="828" t="n">
        <f aca="false">(B24+B25)/B28</f>
        <v>0.6</v>
      </c>
    </row>
    <row r="32" customFormat="false" ht="18" hidden="false" customHeight="true" outlineLevel="0" collapsed="false">
      <c r="A32" s="60" t="s">
        <v>4483</v>
      </c>
      <c r="B32" s="828" t="n">
        <f aca="false">B26/B28</f>
        <v>0.4</v>
      </c>
    </row>
    <row r="33" customFormat="false" ht="18" hidden="false" customHeight="true" outlineLevel="0" collapsed="false">
      <c r="A33" s="60" t="s">
        <v>4484</v>
      </c>
      <c r="B33" s="251" t="n">
        <f aca="false">'Capital Stack &amp; Returns'!B29</f>
        <v>0.6</v>
      </c>
    </row>
    <row r="34" customFormat="false" ht="18" hidden="false" customHeight="true" outlineLevel="0" collapsed="false">
      <c r="A34" s="60" t="s">
        <v>4485</v>
      </c>
      <c r="B34" s="846" t="n">
        <f aca="false">'Capital Stack &amp; Returns'!B30</f>
        <v>2.37263995442772</v>
      </c>
      <c r="C34" s="251" t="n">
        <f aca="false">'Capital Stack &amp; Returns'!B31</f>
        <v>0.181690699080529</v>
      </c>
    </row>
    <row r="35" customFormat="false" ht="18" hidden="false" customHeight="true" outlineLevel="0" collapsed="false"/>
    <row r="36" customFormat="false" ht="18" hidden="false" customHeight="true" outlineLevel="0" collapsed="false">
      <c r="A36" s="7" t="s">
        <v>4446</v>
      </c>
      <c r="B36" s="7"/>
      <c r="C36" s="7"/>
      <c r="D36" s="7"/>
    </row>
    <row r="37" customFormat="false" ht="18" hidden="false" customHeight="true" outlineLevel="0" collapsed="false">
      <c r="A37" s="60" t="s">
        <v>4486</v>
      </c>
      <c r="B37" s="837" t="str">
        <f aca="false">IF(ROUND(B28-B20,0)=0,"✅ Tie","❌ Off")</f>
        <v>✅ Tie</v>
      </c>
    </row>
    <row r="38" customFormat="false" ht="18" hidden="false" customHeight="true" outlineLevel="0" collapsed="false">
      <c r="A38" s="60" t="s">
        <v>4487</v>
      </c>
      <c r="B38" s="837" t="str">
        <f aca="false">IF(ROUND(B20-'Total Development Cost'!C35,0)=0,"✅ Tie","❌ Off")</f>
        <v>✅ Tie</v>
      </c>
    </row>
    <row r="39" customFormat="false" ht="18" hidden="false" customHeight="true" outlineLevel="0" collapsed="false">
      <c r="A39" s="60" t="s">
        <v>4488</v>
      </c>
      <c r="B39" s="837" t="str">
        <f aca="false">IF(ROUND(B26-'Capital Stack &amp; Returns'!B27,0)=0,"✅ Tie","❌ Off")</f>
        <v>✅ Tie</v>
      </c>
    </row>
    <row r="40" customFormat="false" ht="18" hidden="false" customHeight="true" outlineLevel="0" collapsed="false"/>
    <row r="41" customFormat="false" ht="18" hidden="false" customHeight="true" outlineLevel="0" collapsed="false">
      <c r="A41" s="141" t="s">
        <v>4489</v>
      </c>
      <c r="B41" s="149"/>
      <c r="C41" s="149"/>
      <c r="D41" s="149"/>
    </row>
    <row r="42" customFormat="false" ht="18" hidden="false" customHeight="true" outlineLevel="0" collapsed="false">
      <c r="A42" s="829" t="s">
        <v>3277</v>
      </c>
      <c r="B42" s="830" t="s">
        <v>4436</v>
      </c>
      <c r="C42" s="847"/>
      <c r="D42" s="834" t="s">
        <v>4389</v>
      </c>
    </row>
    <row r="43" customFormat="false" ht="18" hidden="false" customHeight="true" outlineLevel="0" collapsed="false">
      <c r="A43" s="1" t="s">
        <v>4490</v>
      </c>
      <c r="B43" s="848" t="n">
        <f aca="false">'Power &amp; Space Capacity'!B5</f>
        <v>90</v>
      </c>
      <c r="D43" s="816" t="s">
        <v>4491</v>
      </c>
    </row>
    <row r="44" customFormat="false" ht="18" hidden="false" customHeight="true" outlineLevel="0" collapsed="false">
      <c r="A44" s="1" t="s">
        <v>4492</v>
      </c>
      <c r="B44" s="849" t="n">
        <f aca="false">'Power &amp; Space Capacity'!B6</f>
        <v>800000</v>
      </c>
      <c r="D44" s="816" t="s">
        <v>4493</v>
      </c>
    </row>
    <row r="45" customFormat="false" ht="18" hidden="false" customHeight="true" outlineLevel="0" collapsed="false">
      <c r="A45" s="1" t="s">
        <v>4494</v>
      </c>
      <c r="B45" s="850" t="n">
        <f aca="false">'Power &amp; Space Capacity'!B28</f>
        <v>4500</v>
      </c>
      <c r="D45" s="816" t="s">
        <v>4495</v>
      </c>
    </row>
    <row r="46" customFormat="false" ht="18" hidden="false" customHeight="true" outlineLevel="0" collapsed="false">
      <c r="A46" s="1" t="s">
        <v>4496</v>
      </c>
      <c r="B46" s="109" t="n">
        <f aca="false">$B$20/B43</f>
        <v>16809708.6700885</v>
      </c>
      <c r="D46" s="816" t="s">
        <v>4497</v>
      </c>
    </row>
    <row r="47" customFormat="false" ht="18" hidden="false" customHeight="true" outlineLevel="0" collapsed="false">
      <c r="A47" s="1" t="s">
        <v>4498</v>
      </c>
      <c r="B47" s="109" t="n">
        <f aca="false">$B$20/(B43*1000)</f>
        <v>16809.7086700885</v>
      </c>
      <c r="D47" s="816" t="s">
        <v>4499</v>
      </c>
    </row>
    <row r="48" customFormat="false" ht="18" hidden="false" customHeight="true" outlineLevel="0" collapsed="false">
      <c r="A48" s="1" t="s">
        <v>4500</v>
      </c>
      <c r="B48" s="109" t="n">
        <f aca="false">$B$20/B44</f>
        <v>1891.09222538496</v>
      </c>
      <c r="D48" s="816" t="s">
        <v>4501</v>
      </c>
    </row>
    <row r="49" customFormat="false" ht="18" hidden="false" customHeight="true" outlineLevel="0" collapsed="false">
      <c r="A49" s="1" t="s">
        <v>4502</v>
      </c>
      <c r="B49" s="109" t="n">
        <f aca="false">$B$20/B45</f>
        <v>336194.173401771</v>
      </c>
      <c r="D49" s="816" t="s">
        <v>4503</v>
      </c>
    </row>
    <row r="50" customFormat="false" ht="18" hidden="false" customHeight="true" outlineLevel="0" collapsed="false"/>
    <row r="51" customFormat="false" ht="18" hidden="false" customHeight="true" outlineLevel="0" collapsed="false">
      <c r="A51" s="141" t="s">
        <v>4504</v>
      </c>
      <c r="B51" s="149"/>
      <c r="C51" s="149"/>
      <c r="D51" s="149"/>
    </row>
    <row r="52" customFormat="false" ht="18" hidden="false" customHeight="true" outlineLevel="0" collapsed="false">
      <c r="A52" s="834" t="s">
        <v>3277</v>
      </c>
      <c r="B52" s="830" t="s">
        <v>4436</v>
      </c>
      <c r="C52" s="847"/>
      <c r="D52" s="851" t="s">
        <v>4389</v>
      </c>
    </row>
    <row r="53" customFormat="false" ht="18" hidden="false" customHeight="true" outlineLevel="0" collapsed="false">
      <c r="A53" s="1" t="s">
        <v>4505</v>
      </c>
      <c r="B53" s="852" t="n">
        <f aca="false">'Capital Stack &amp; Returns'!B14</f>
        <v>0.065</v>
      </c>
      <c r="D53" s="816" t="s">
        <v>4506</v>
      </c>
    </row>
    <row r="54" customFormat="false" ht="18" hidden="false" customHeight="true" outlineLevel="0" collapsed="false">
      <c r="A54" s="1" t="s">
        <v>4507</v>
      </c>
      <c r="B54" s="251" t="n">
        <f aca="false">'Capital Stack &amp; Returns'!C29</f>
        <v>0.35775083880981</v>
      </c>
      <c r="D54" s="816" t="s">
        <v>4508</v>
      </c>
    </row>
    <row r="55" customFormat="false" ht="18" hidden="false" customHeight="true" outlineLevel="0" collapsed="false">
      <c r="A55" s="1" t="s">
        <v>4509</v>
      </c>
      <c r="B55" s="815" t="n">
        <f aca="false">'Capital Stack &amp; Returns'!B9</f>
        <v>2537308567.0593</v>
      </c>
      <c r="D55" s="816" t="s">
        <v>4510</v>
      </c>
    </row>
    <row r="56" customFormat="false" ht="18" hidden="false" customHeight="true" outlineLevel="0" collapsed="false">
      <c r="A56" s="1" t="s">
        <v>4511</v>
      </c>
      <c r="B56" s="251" t="n">
        <f aca="false">'Capital Stack &amp; Returns'!B17</f>
        <v>0.12</v>
      </c>
      <c r="D56" s="816" t="s">
        <v>4506</v>
      </c>
    </row>
    <row r="57" customFormat="false" ht="18" hidden="false" customHeight="true" outlineLevel="0" collapsed="false">
      <c r="A57" s="163" t="s">
        <v>4512</v>
      </c>
      <c r="B57" s="828" t="n">
        <f aca="false">B31*B53+B32*B56</f>
        <v>0.087</v>
      </c>
      <c r="D57" s="816" t="s">
        <v>4513</v>
      </c>
    </row>
    <row r="58" customFormat="false" ht="18" hidden="false" customHeight="true" outlineLevel="0" collapsed="false">
      <c r="A58" s="1" t="s">
        <v>4514</v>
      </c>
      <c r="B58" s="81" t="n">
        <f aca="false">B19/B14</f>
        <v>0.0661939170161406</v>
      </c>
      <c r="D58" s="816" t="s">
        <v>4515</v>
      </c>
    </row>
    <row r="60" customFormat="false" ht="15" hidden="false" customHeight="true" outlineLevel="0" collapsed="false">
      <c r="A60" s="254" t="s">
        <v>1882</v>
      </c>
    </row>
    <row r="61" customFormat="false" ht="15" hidden="false" customHeight="true" outlineLevel="0" collapsed="false">
      <c r="A61" s="255" t="s">
        <v>4465</v>
      </c>
      <c r="B61" s="256" t="n">
        <f aca="false">B14</f>
        <v>1088341827.06739</v>
      </c>
    </row>
    <row r="62" customFormat="false" ht="15" hidden="false" customHeight="true" outlineLevel="0" collapsed="false">
      <c r="A62" s="255" t="s">
        <v>4516</v>
      </c>
      <c r="B62" s="256" t="n">
        <f aca="false">B15</f>
        <v>80000000</v>
      </c>
    </row>
    <row r="63" customFormat="false" ht="15" hidden="false" customHeight="true" outlineLevel="0" collapsed="false">
      <c r="A63" s="255" t="s">
        <v>4517</v>
      </c>
      <c r="B63" s="256" t="n">
        <f aca="false">B16</f>
        <v>117000000</v>
      </c>
    </row>
    <row r="64" customFormat="false" ht="15" hidden="false" customHeight="true" outlineLevel="0" collapsed="false">
      <c r="A64" s="255" t="s">
        <v>4431</v>
      </c>
      <c r="B64" s="256" t="n">
        <f aca="false">B17</f>
        <v>71533673.0826957</v>
      </c>
    </row>
    <row r="65" customFormat="false" ht="15" hidden="false" customHeight="true" outlineLevel="0" collapsed="false">
      <c r="A65" s="255" t="s">
        <v>4450</v>
      </c>
      <c r="B65" s="256" t="n">
        <f aca="false">B18</f>
        <v>83956671.5717866</v>
      </c>
    </row>
    <row r="66" customFormat="false" ht="15" hidden="false" customHeight="true" outlineLevel="0" collapsed="false">
      <c r="A66" s="255" t="s">
        <v>1823</v>
      </c>
      <c r="B66" s="256" t="n">
        <f aca="false">B19</f>
        <v>72041608.5860937</v>
      </c>
    </row>
  </sheetData>
  <mergeCells count="6">
    <mergeCell ref="A1:D1"/>
    <mergeCell ref="A3:D4"/>
    <mergeCell ref="A12:D12"/>
    <mergeCell ref="A22:D22"/>
    <mergeCell ref="A30:D30"/>
    <mergeCell ref="A36:D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R1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L19" activeCellId="0" sqref="L19"/>
    </sheetView>
  </sheetViews>
  <sheetFormatPr defaultColWidth="8.57421875" defaultRowHeight="15" zeroHeight="false" outlineLevelRow="0" outlineLevelCol="0"/>
  <cols>
    <col collapsed="false" customWidth="true" hidden="false" outlineLevel="0" max="1" min="1" style="1" width="46"/>
    <col collapsed="false" customWidth="true" hidden="false" outlineLevel="0" max="2" min="2" style="1" width="17"/>
    <col collapsed="false" customWidth="true" hidden="false" outlineLevel="0" max="4" min="3" style="1" width="13.72"/>
    <col collapsed="false" customWidth="true" hidden="false" outlineLevel="0" max="5" min="5" style="1" width="13.43"/>
    <col collapsed="false" customWidth="true" hidden="false" outlineLevel="0" max="7" min="6" style="1" width="13.72"/>
    <col collapsed="false" customWidth="true" hidden="false" outlineLevel="0" max="9" min="8" style="1" width="13"/>
    <col collapsed="false" customWidth="true" hidden="false" outlineLevel="0" max="10" min="10" style="1" width="13.72"/>
    <col collapsed="false" customWidth="true" hidden="false" outlineLevel="0" max="11" min="11" style="1" width="14"/>
  </cols>
  <sheetData>
    <row r="1" customFormat="false" ht="25.5" hidden="false" customHeight="true" outlineLevel="0" collapsed="false">
      <c r="A1" s="105" t="s">
        <v>4518</v>
      </c>
      <c r="B1" s="105"/>
      <c r="C1" s="105"/>
      <c r="D1" s="105"/>
      <c r="E1" s="105"/>
      <c r="F1" s="105"/>
      <c r="G1" s="105"/>
      <c r="H1" s="105"/>
      <c r="I1" s="105"/>
      <c r="J1" s="105"/>
      <c r="K1" s="105"/>
    </row>
    <row r="3" customFormat="false" ht="15" hidden="false" customHeight="true" outlineLevel="0" collapsed="false">
      <c r="A3" s="812" t="s">
        <v>4519</v>
      </c>
      <c r="B3" s="812"/>
      <c r="C3" s="812"/>
      <c r="D3" s="812"/>
      <c r="E3" s="812"/>
      <c r="F3" s="812"/>
      <c r="G3" s="812"/>
      <c r="H3" s="812"/>
      <c r="I3" s="812"/>
      <c r="J3" s="812"/>
      <c r="K3" s="812"/>
    </row>
    <row r="4" customFormat="false" ht="15" hidden="false" customHeight="true" outlineLevel="0" collapsed="false">
      <c r="A4" s="812"/>
      <c r="B4" s="812"/>
      <c r="C4" s="812"/>
      <c r="D4" s="812"/>
      <c r="E4" s="812"/>
      <c r="F4" s="812"/>
      <c r="G4" s="812"/>
      <c r="H4" s="812"/>
      <c r="I4" s="812"/>
      <c r="J4" s="812"/>
      <c r="K4" s="812"/>
    </row>
    <row r="6" customFormat="false" ht="15" hidden="false" customHeight="true" outlineLevel="0" collapsed="false">
      <c r="A6" s="7" t="s">
        <v>4520</v>
      </c>
      <c r="B6" s="7"/>
      <c r="C6" s="7"/>
      <c r="D6" s="7"/>
      <c r="E6" s="7"/>
      <c r="F6" s="7"/>
      <c r="G6" s="7"/>
      <c r="H6" s="7"/>
      <c r="I6" s="7"/>
      <c r="J6" s="7"/>
      <c r="K6" s="7"/>
    </row>
    <row r="7" customFormat="false" ht="15" hidden="false" customHeight="true" outlineLevel="0" collapsed="false">
      <c r="A7" s="60" t="s">
        <v>4521</v>
      </c>
      <c r="B7" s="853" t="n">
        <f aca="false">'Total Development Cost'!C35</f>
        <v>1512873780.30797</v>
      </c>
      <c r="E7" s="854" t="s">
        <v>4522</v>
      </c>
      <c r="F7" s="197"/>
      <c r="G7" s="197"/>
      <c r="H7" s="197"/>
      <c r="I7" s="197"/>
      <c r="J7" s="197"/>
      <c r="K7" s="197"/>
    </row>
    <row r="8" customFormat="false" ht="15" hidden="false" customHeight="true" outlineLevel="0" collapsed="false">
      <c r="A8" s="60" t="s">
        <v>4523</v>
      </c>
      <c r="B8" s="815" t="n">
        <f aca="false">'Investment Pro Forma'!B39</f>
        <v>164925056.858854</v>
      </c>
      <c r="E8" s="855" t="s">
        <v>4524</v>
      </c>
      <c r="G8" s="856" t="n">
        <f aca="false">B46</f>
        <v>0.266511265789023</v>
      </c>
      <c r="H8" s="855" t="s">
        <v>4457</v>
      </c>
      <c r="J8" s="857" t="n">
        <f aca="false">B47</f>
        <v>5.19740612651599</v>
      </c>
    </row>
    <row r="9" customFormat="false" ht="15" hidden="false" customHeight="true" outlineLevel="0" collapsed="false">
      <c r="A9" s="60" t="s">
        <v>4509</v>
      </c>
      <c r="B9" s="815" t="n">
        <f aca="false">'Investment Pro Forma'!B40</f>
        <v>2537308567.0593</v>
      </c>
      <c r="E9" s="855" t="s">
        <v>4525</v>
      </c>
      <c r="G9" s="243" t="n">
        <f aca="false">B51</f>
        <v>0.174414701484592</v>
      </c>
      <c r="H9" s="855" t="s">
        <v>4526</v>
      </c>
      <c r="J9" s="858" t="n">
        <f aca="false">B52</f>
        <v>920.965643044311</v>
      </c>
    </row>
    <row r="10" customFormat="false" ht="15" hidden="false" customHeight="true" outlineLevel="0" collapsed="false">
      <c r="A10" s="60" t="s">
        <v>4527</v>
      </c>
      <c r="B10" s="859" t="n">
        <f aca="false">INDEX($F$23:$I$23,MATCH($G$21,$F$22:$I$22,0))</f>
        <v>0.6</v>
      </c>
      <c r="E10" s="855" t="s">
        <v>4528</v>
      </c>
      <c r="G10" s="323" t="n">
        <f aca="false">B27/1000000</f>
        <v>605.149512123187</v>
      </c>
      <c r="H10" s="855" t="s">
        <v>4529</v>
      </c>
      <c r="J10" s="323" t="n">
        <f aca="false">B25/1000000</f>
        <v>907.724268184781</v>
      </c>
    </row>
    <row r="11" customFormat="false" ht="15" hidden="false" customHeight="true" outlineLevel="0" collapsed="false">
      <c r="A11" s="60" t="s">
        <v>4530</v>
      </c>
      <c r="B11" s="822" t="n">
        <v>0.6</v>
      </c>
      <c r="E11" s="855" t="s">
        <v>4531</v>
      </c>
      <c r="G11" s="163" t="str">
        <f aca="false">B26</f>
        <v>LTC cap</v>
      </c>
      <c r="H11" s="855" t="s">
        <v>4532</v>
      </c>
      <c r="J11" s="243" t="n">
        <f aca="false">B29</f>
        <v>0.6</v>
      </c>
    </row>
    <row r="12" customFormat="false" ht="15" hidden="false" customHeight="true" outlineLevel="0" collapsed="false">
      <c r="A12" s="60" t="s">
        <v>4533</v>
      </c>
      <c r="B12" s="860" t="n">
        <f aca="false">INDEX($F$26:$I$26,MATCH($G$21,$F$22:$I$22,0))</f>
        <v>1.4</v>
      </c>
      <c r="E12" s="855" t="s">
        <v>3303</v>
      </c>
      <c r="G12" s="861" t="n">
        <f aca="false">B30</f>
        <v>2.37263995442772</v>
      </c>
      <c r="H12" s="855" t="s">
        <v>4534</v>
      </c>
      <c r="J12" s="243" t="n">
        <f aca="false">B31</f>
        <v>0.181690699080529</v>
      </c>
    </row>
    <row r="13" customFormat="false" ht="15" hidden="false" customHeight="true" outlineLevel="0" collapsed="false">
      <c r="A13" s="60" t="s">
        <v>4535</v>
      </c>
      <c r="B13" s="821" t="n">
        <v>0.09</v>
      </c>
      <c r="E13" s="855" t="s">
        <v>4536</v>
      </c>
      <c r="G13" s="243" t="n">
        <f aca="false">B8/B7</f>
        <v>0.109014419448317</v>
      </c>
      <c r="H13" s="855" t="s">
        <v>4537</v>
      </c>
      <c r="J13" s="243" t="n">
        <f aca="false">C35/B7</f>
        <v>0.0506539089828678</v>
      </c>
    </row>
    <row r="14" customFormat="false" ht="15" hidden="false" customHeight="true" outlineLevel="0" collapsed="false">
      <c r="A14" s="60" t="s">
        <v>4505</v>
      </c>
      <c r="B14" s="862" t="n">
        <f aca="false">INDEX($F$24:$I$24,MATCH($G$21,$F$22:$I$22,0))</f>
        <v>0.065</v>
      </c>
      <c r="E14" s="855" t="s">
        <v>4538</v>
      </c>
      <c r="G14" s="323" t="n">
        <f aca="false">J38/1000000</f>
        <v>3165.97378129922</v>
      </c>
      <c r="H14" s="855" t="s">
        <v>4539</v>
      </c>
      <c r="J14" s="323" t="n">
        <f aca="false">(B9-B7)/1000000</f>
        <v>1024.43478675133</v>
      </c>
    </row>
    <row r="15" customFormat="false" ht="15" hidden="false" customHeight="true" outlineLevel="0" collapsed="false">
      <c r="A15" s="60" t="s">
        <v>4540</v>
      </c>
      <c r="B15" s="863" t="n">
        <v>30</v>
      </c>
      <c r="E15" s="855" t="s">
        <v>4541</v>
      </c>
      <c r="G15" s="323" t="n">
        <f aca="false">B49/1000000</f>
        <v>788.308105840565</v>
      </c>
      <c r="H15" s="855" t="s">
        <v>4542</v>
      </c>
      <c r="J15" s="864" t="str">
        <f aca="false">B53</f>
        <v>● Accept — clears equity hurdle</v>
      </c>
    </row>
    <row r="16" customFormat="false" ht="15" hidden="false" customHeight="true" outlineLevel="0" collapsed="false">
      <c r="A16" s="60" t="s">
        <v>4543</v>
      </c>
      <c r="B16" s="863" t="n">
        <v>8</v>
      </c>
    </row>
    <row r="17" customFormat="false" ht="15" hidden="false" customHeight="true" outlineLevel="0" collapsed="false">
      <c r="A17" s="60" t="s">
        <v>4544</v>
      </c>
      <c r="B17" s="865" t="n">
        <f aca="false">INDEX($F$25:$I$25,MATCH($G$21,$F$22:$I$22,0))</f>
        <v>0.12</v>
      </c>
    </row>
    <row r="19" customFormat="false" ht="15" hidden="false" customHeight="true" outlineLevel="0" collapsed="false">
      <c r="A19" s="7" t="s">
        <v>4545</v>
      </c>
      <c r="B19" s="7"/>
      <c r="C19" s="7"/>
      <c r="D19" s="7"/>
      <c r="E19" s="7"/>
      <c r="F19" s="7"/>
      <c r="G19" s="7"/>
      <c r="H19" s="7"/>
      <c r="I19" s="7"/>
      <c r="J19" s="7"/>
      <c r="K19" s="7"/>
    </row>
    <row r="20" customFormat="false" ht="15" hidden="false" customHeight="true" outlineLevel="0" collapsed="false">
      <c r="A20" s="60" t="s">
        <v>4546</v>
      </c>
      <c r="B20" s="866" t="n">
        <f aca="false">PMT(B14,B15,-1)</f>
        <v>0.0765774422459106</v>
      </c>
      <c r="E20" s="854" t="s">
        <v>4547</v>
      </c>
      <c r="F20" s="197"/>
      <c r="G20" s="197"/>
      <c r="H20" s="197"/>
      <c r="I20" s="197"/>
      <c r="J20" s="197"/>
      <c r="K20" s="197"/>
    </row>
    <row r="21" customFormat="false" ht="15" hidden="false" customHeight="true" outlineLevel="0" collapsed="false">
      <c r="A21" s="60" t="s">
        <v>4548</v>
      </c>
      <c r="B21" s="820" t="n">
        <f aca="false">B10*B7</f>
        <v>907724268.184781</v>
      </c>
      <c r="E21" s="163" t="s">
        <v>4549</v>
      </c>
      <c r="G21" s="867" t="s">
        <v>4550</v>
      </c>
      <c r="I21" s="375" t="s">
        <v>4551</v>
      </c>
    </row>
    <row r="22" customFormat="false" ht="15" hidden="false" customHeight="true" outlineLevel="0" collapsed="false">
      <c r="A22" s="60" t="s">
        <v>4552</v>
      </c>
      <c r="B22" s="820" t="n">
        <f aca="false">B11*B9</f>
        <v>1522385140.23558</v>
      </c>
      <c r="E22" s="868" t="s">
        <v>4553</v>
      </c>
      <c r="F22" s="795" t="s">
        <v>4554</v>
      </c>
      <c r="G22" s="869" t="s">
        <v>4550</v>
      </c>
      <c r="H22" s="795" t="s">
        <v>4555</v>
      </c>
      <c r="I22" s="870" t="s">
        <v>4556</v>
      </c>
    </row>
    <row r="23" customFormat="false" ht="15" hidden="false" customHeight="true" outlineLevel="0" collapsed="false">
      <c r="A23" s="60" t="s">
        <v>4557</v>
      </c>
      <c r="B23" s="820" t="n">
        <f aca="false">(B8/B12)/B20</f>
        <v>1538359190.21348</v>
      </c>
      <c r="E23" s="1" t="s">
        <v>4558</v>
      </c>
      <c r="F23" s="871" t="n">
        <v>0.5</v>
      </c>
      <c r="G23" s="871" t="n">
        <v>0.6</v>
      </c>
      <c r="H23" s="871" t="n">
        <v>0.65</v>
      </c>
      <c r="I23" s="871" t="n">
        <v>0.6</v>
      </c>
    </row>
    <row r="24" customFormat="false" ht="15" hidden="false" customHeight="true" outlineLevel="0" collapsed="false">
      <c r="A24" s="60" t="s">
        <v>4559</v>
      </c>
      <c r="B24" s="820" t="n">
        <f aca="false">B8/B13</f>
        <v>1832500631.76505</v>
      </c>
      <c r="E24" s="1" t="s">
        <v>4560</v>
      </c>
      <c r="F24" s="872" t="n">
        <v>0.0775</v>
      </c>
      <c r="G24" s="872" t="n">
        <v>0.065</v>
      </c>
      <c r="H24" s="872" t="n">
        <v>0.0575</v>
      </c>
      <c r="I24" s="872" t="n">
        <v>0.065</v>
      </c>
    </row>
    <row r="25" customFormat="false" ht="15" hidden="false" customHeight="true" outlineLevel="0" collapsed="false">
      <c r="A25" s="845" t="s">
        <v>4561</v>
      </c>
      <c r="B25" s="845" t="n">
        <f aca="false">MIN(B21:B24)</f>
        <v>907724268.184781</v>
      </c>
      <c r="E25" s="1" t="s">
        <v>4562</v>
      </c>
      <c r="F25" s="873" t="n">
        <v>0.135</v>
      </c>
      <c r="G25" s="873" t="n">
        <v>0.12</v>
      </c>
      <c r="H25" s="873" t="n">
        <v>0.11</v>
      </c>
      <c r="I25" s="873" t="n">
        <v>0.12</v>
      </c>
    </row>
    <row r="26" customFormat="false" ht="15" hidden="false" customHeight="true" outlineLevel="0" collapsed="false">
      <c r="A26" s="60" t="s">
        <v>4563</v>
      </c>
      <c r="B26" s="837" t="str">
        <f aca="false">CHOOSE(MATCH(B25,B21:B24,0),"LTC cap","LTV cap","DSCR","Debt yield")</f>
        <v>LTC cap</v>
      </c>
      <c r="E26" s="1" t="s">
        <v>4564</v>
      </c>
      <c r="F26" s="874" t="n">
        <v>1.55</v>
      </c>
      <c r="G26" s="874" t="n">
        <v>1.4</v>
      </c>
      <c r="H26" s="874" t="n">
        <v>1.3</v>
      </c>
      <c r="I26" s="874" t="n">
        <v>1.4</v>
      </c>
    </row>
    <row r="27" customFormat="false" ht="15" hidden="false" customHeight="true" outlineLevel="0" collapsed="false">
      <c r="A27" s="845" t="s">
        <v>4439</v>
      </c>
      <c r="B27" s="845" t="n">
        <f aca="false">B7-B25</f>
        <v>605149512.123187</v>
      </c>
    </row>
    <row r="28" customFormat="false" ht="15" hidden="false" customHeight="true" outlineLevel="0" collapsed="false">
      <c r="A28" s="60" t="s">
        <v>4565</v>
      </c>
      <c r="B28" s="820" t="n">
        <f aca="false">B25*B20</f>
        <v>69511202.7221315</v>
      </c>
      <c r="E28" s="875" t="s">
        <v>4566</v>
      </c>
      <c r="F28" s="876" t="s">
        <v>4554</v>
      </c>
      <c r="G28" s="876" t="s">
        <v>4550</v>
      </c>
      <c r="H28" s="876" t="s">
        <v>4555</v>
      </c>
      <c r="I28" s="876" t="s">
        <v>4556</v>
      </c>
    </row>
    <row r="29" customFormat="false" ht="15" hidden="false" customHeight="true" outlineLevel="0" collapsed="false">
      <c r="A29" s="60" t="s">
        <v>4567</v>
      </c>
      <c r="B29" s="81" t="n">
        <f aca="false">B25/B7</f>
        <v>0.6</v>
      </c>
      <c r="C29" s="81" t="n">
        <f aca="false">B25/B9</f>
        <v>0.35775083880981</v>
      </c>
      <c r="D29" s="254" t="s">
        <v>4568</v>
      </c>
      <c r="E29" s="163" t="s">
        <v>4524</v>
      </c>
      <c r="F29" s="877" t="n">
        <f aca="false">K97</f>
        <v>0.233372494848171</v>
      </c>
      <c r="G29" s="878" t="n">
        <f aca="false">K98</f>
        <v>0.266511265789023</v>
      </c>
      <c r="H29" s="877" t="n">
        <f aca="false">K99</f>
        <v>0.290206120962973</v>
      </c>
      <c r="I29" s="877" t="n">
        <f aca="false">K100</f>
        <v>0.266511265789023</v>
      </c>
    </row>
    <row r="30" customFormat="false" ht="15" hidden="false" customHeight="true" outlineLevel="0" collapsed="false">
      <c r="A30" s="60" t="s">
        <v>3303</v>
      </c>
      <c r="B30" s="879" t="n">
        <f aca="false">B8/B28</f>
        <v>2.37263995442772</v>
      </c>
      <c r="E30" s="1" t="s">
        <v>4457</v>
      </c>
      <c r="F30" s="880" t="n">
        <f aca="false">L97</f>
        <v>4.35655219327583</v>
      </c>
      <c r="G30" s="881" t="n">
        <f aca="false">L98</f>
        <v>5.19740612651599</v>
      </c>
      <c r="H30" s="880" t="n">
        <f aca="false">L99</f>
        <v>5.83736201882267</v>
      </c>
      <c r="I30" s="880" t="n">
        <f aca="false">L100</f>
        <v>5.19740612651599</v>
      </c>
    </row>
    <row r="31" customFormat="false" ht="15" hidden="false" customHeight="true" outlineLevel="0" collapsed="false">
      <c r="A31" s="60" t="s">
        <v>4534</v>
      </c>
      <c r="B31" s="81" t="n">
        <f aca="false">B8/B25</f>
        <v>0.181690699080529</v>
      </c>
      <c r="E31" s="1" t="s">
        <v>4569</v>
      </c>
      <c r="F31" s="882" t="n">
        <f aca="false">N97/1000000</f>
        <v>756.436890153984</v>
      </c>
      <c r="G31" s="883" t="n">
        <f aca="false">N98/1000000</f>
        <v>605.149512123187</v>
      </c>
      <c r="H31" s="882" t="n">
        <f aca="false">N99/1000000</f>
        <v>529.505823107789</v>
      </c>
      <c r="I31" s="882" t="n">
        <f aca="false">N100/1000000</f>
        <v>605.149512123187</v>
      </c>
    </row>
    <row r="32" customFormat="false" ht="15" hidden="false" customHeight="true" outlineLevel="0" collapsed="false">
      <c r="E32" s="1" t="s">
        <v>4570</v>
      </c>
      <c r="F32" s="880" t="n">
        <f aca="false">Q97</f>
        <v>2.51357041919253</v>
      </c>
      <c r="G32" s="881" t="n">
        <f aca="false">Q98</f>
        <v>2.37263995442772</v>
      </c>
      <c r="H32" s="880" t="n">
        <f aca="false">Q99</f>
        <v>2.37165458370581</v>
      </c>
      <c r="I32" s="880" t="n">
        <f aca="false">Q100</f>
        <v>2.37263995442772</v>
      </c>
    </row>
    <row r="33" customFormat="false" ht="15" hidden="false" customHeight="true" outlineLevel="0" collapsed="false">
      <c r="A33" s="7" t="s">
        <v>4571</v>
      </c>
      <c r="B33" s="7"/>
      <c r="C33" s="7"/>
      <c r="D33" s="7"/>
      <c r="E33" s="7"/>
      <c r="F33" s="7"/>
      <c r="G33" s="7"/>
      <c r="H33" s="7"/>
      <c r="I33" s="7"/>
      <c r="J33" s="7"/>
      <c r="K33" s="7"/>
    </row>
    <row r="34" customFormat="false" ht="15" hidden="false" customHeight="true" outlineLevel="0" collapsed="false">
      <c r="A34" s="829" t="s">
        <v>4572</v>
      </c>
      <c r="B34" s="884" t="s">
        <v>4573</v>
      </c>
      <c r="C34" s="884" t="n">
        <v>1</v>
      </c>
      <c r="D34" s="884" t="n">
        <v>2</v>
      </c>
      <c r="E34" s="884" t="n">
        <v>3</v>
      </c>
      <c r="F34" s="884" t="n">
        <v>4</v>
      </c>
      <c r="G34" s="884" t="n">
        <v>5</v>
      </c>
      <c r="H34" s="884" t="n">
        <v>6</v>
      </c>
      <c r="I34" s="884" t="n">
        <v>7</v>
      </c>
      <c r="J34" s="884" t="n">
        <v>8</v>
      </c>
    </row>
    <row r="35" customFormat="false" ht="15" hidden="false" customHeight="true" outlineLevel="0" collapsed="false">
      <c r="A35" s="60" t="s">
        <v>4574</v>
      </c>
      <c r="C35" s="820" t="n">
        <f aca="false">'Investment Pro Forma'!C27</f>
        <v>76632970.7702869</v>
      </c>
      <c r="D35" s="820" t="n">
        <f aca="false">'Investment Pro Forma'!D27</f>
        <v>135769990.312911</v>
      </c>
      <c r="E35" s="820" t="n">
        <f aca="false">'Investment Pro Forma'!E27</f>
        <v>167943812.261707</v>
      </c>
      <c r="F35" s="820" t="n">
        <f aca="false">'Investment Pro Forma'!F27</f>
        <v>180218062.606205</v>
      </c>
      <c r="G35" s="820" t="n">
        <f aca="false">'Investment Pro Forma'!G27</f>
        <v>185624604.484392</v>
      </c>
      <c r="H35" s="820" t="n">
        <f aca="false">'Investment Pro Forma'!H27</f>
        <v>191193342.618923</v>
      </c>
      <c r="I35" s="820" t="n">
        <f aca="false">'Investment Pro Forma'!I27</f>
        <v>196929142.897491</v>
      </c>
      <c r="J35" s="820" t="n">
        <f aca="false">'Investment Pro Forma'!J27</f>
        <v>202837017.184416</v>
      </c>
    </row>
    <row r="36" customFormat="false" ht="15" hidden="false" customHeight="true" outlineLevel="0" collapsed="false">
      <c r="A36" s="60" t="s">
        <v>4575</v>
      </c>
      <c r="C36" s="820" t="n">
        <f aca="false">-$B$28</f>
        <v>-69511202.7221315</v>
      </c>
      <c r="D36" s="820" t="n">
        <f aca="false">-$B$28</f>
        <v>-69511202.7221315</v>
      </c>
      <c r="E36" s="820" t="n">
        <f aca="false">-$B$28</f>
        <v>-69511202.7221315</v>
      </c>
      <c r="F36" s="820" t="n">
        <f aca="false">-$B$28</f>
        <v>-69511202.7221315</v>
      </c>
      <c r="G36" s="820" t="n">
        <f aca="false">-$B$28</f>
        <v>-69511202.7221315</v>
      </c>
      <c r="H36" s="820" t="n">
        <f aca="false">-$B$28</f>
        <v>-69511202.7221315</v>
      </c>
      <c r="I36" s="820" t="n">
        <f aca="false">-$B$28</f>
        <v>-69511202.7221315</v>
      </c>
      <c r="J36" s="820" t="n">
        <f aca="false">-$B$28</f>
        <v>-69511202.7221315</v>
      </c>
    </row>
    <row r="37" customFormat="false" ht="15" hidden="false" customHeight="true" outlineLevel="0" collapsed="false">
      <c r="A37" s="60" t="s">
        <v>4576</v>
      </c>
      <c r="C37" s="820" t="n">
        <f aca="false">$B$25*(1+$B$14)^C34-$B$28*((1+$B$14)^C34-1)/$B$14</f>
        <v>897215142.89466</v>
      </c>
      <c r="D37" s="820" t="n">
        <f aca="false">$B$25*(1+$B$14)^D34-$B$28*((1+$B$14)^D34-1)/$B$14</f>
        <v>886022924.460681</v>
      </c>
      <c r="E37" s="820" t="n">
        <f aca="false">$B$25*(1+$B$14)^E34-$B$28*((1+$B$14)^E34-1)/$B$14</f>
        <v>874103211.828494</v>
      </c>
      <c r="F37" s="820" t="n">
        <f aca="false">$B$25*(1+$B$14)^F34-$B$28*((1+$B$14)^F34-1)/$B$14</f>
        <v>861408717.875215</v>
      </c>
      <c r="G37" s="820" t="n">
        <f aca="false">$B$25*(1+$B$14)^G34-$B$28*((1+$B$14)^G34-1)/$B$14</f>
        <v>847889081.814972</v>
      </c>
      <c r="H37" s="820" t="n">
        <f aca="false">$B$25*(1+$B$14)^H34-$B$28*((1+$B$14)^H34-1)/$B$14</f>
        <v>833490669.410814</v>
      </c>
      <c r="I37" s="820" t="n">
        <f aca="false">$B$25*(1+$B$14)^I34-$B$28*((1+$B$14)^I34-1)/$B$14</f>
        <v>818156360.200385</v>
      </c>
      <c r="J37" s="820" t="n">
        <f aca="false">$B$25*(1+$B$14)^J34-$B$28*((1+$B$14)^J34-1)/$B$14</f>
        <v>801825320.891279</v>
      </c>
    </row>
    <row r="38" customFormat="false" ht="15" hidden="false" customHeight="true" outlineLevel="0" collapsed="false">
      <c r="A38" s="60" t="s">
        <v>4577</v>
      </c>
      <c r="J38" s="820" t="n">
        <f aca="false">'Investment Pro Forma'!J28</f>
        <v>3165973781.29922</v>
      </c>
    </row>
    <row r="39" customFormat="false" ht="15" hidden="false" customHeight="true" outlineLevel="0" collapsed="false">
      <c r="A39" s="60" t="s">
        <v>4578</v>
      </c>
      <c r="J39" s="820" t="n">
        <f aca="false">-J37</f>
        <v>-801825320.891279</v>
      </c>
    </row>
    <row r="40" customFormat="false" ht="15" hidden="false" customHeight="true" outlineLevel="0" collapsed="false">
      <c r="A40" s="106" t="s">
        <v>4579</v>
      </c>
      <c r="B40" s="826" t="n">
        <f aca="false">-$B$27</f>
        <v>-605149512.123187</v>
      </c>
      <c r="C40" s="817" t="n">
        <f aca="false">C35+C36</f>
        <v>7121768.04815537</v>
      </c>
      <c r="D40" s="817" t="n">
        <f aca="false">D35+D36</f>
        <v>66258787.5907794</v>
      </c>
      <c r="E40" s="817" t="n">
        <f aca="false">E35+E36</f>
        <v>98432609.539575</v>
      </c>
      <c r="F40" s="817" t="n">
        <f aca="false">F35+F36</f>
        <v>110706859.884074</v>
      </c>
      <c r="G40" s="817" t="n">
        <f aca="false">G35+G36</f>
        <v>116113401.76226</v>
      </c>
      <c r="H40" s="817" t="n">
        <f aca="false">H35+H36</f>
        <v>121682139.896792</v>
      </c>
      <c r="I40" s="817" t="n">
        <f aca="false">I35+I36</f>
        <v>127417940.17536</v>
      </c>
      <c r="J40" s="817" t="n">
        <f aca="false">J35+J36+J38+J39</f>
        <v>2497474274.87022</v>
      </c>
    </row>
    <row r="41" customFormat="false" ht="15" hidden="false" customHeight="true" outlineLevel="0" collapsed="false">
      <c r="A41" s="60" t="s">
        <v>4580</v>
      </c>
      <c r="B41" s="820" t="n">
        <f aca="false">B40</f>
        <v>-605149512.123187</v>
      </c>
      <c r="C41" s="820" t="n">
        <f aca="false">B41+C40</f>
        <v>-598027744.075032</v>
      </c>
      <c r="D41" s="820" t="n">
        <f aca="false">C41+D40</f>
        <v>-531768956.484252</v>
      </c>
      <c r="E41" s="820" t="n">
        <f aca="false">D41+E40</f>
        <v>-433336346.944677</v>
      </c>
      <c r="F41" s="820" t="n">
        <f aca="false">E41+F40</f>
        <v>-322629487.060604</v>
      </c>
      <c r="G41" s="820" t="n">
        <f aca="false">F41+G40</f>
        <v>-206516085.298343</v>
      </c>
      <c r="H41" s="820" t="n">
        <f aca="false">G41+H40</f>
        <v>-84833945.4015517</v>
      </c>
      <c r="I41" s="820" t="n">
        <f aca="false">H41+I40</f>
        <v>42583994.7738079</v>
      </c>
      <c r="J41" s="820" t="n">
        <f aca="false">I41+J40</f>
        <v>2540058269.64403</v>
      </c>
    </row>
    <row r="42" customFormat="false" ht="15" hidden="false" customHeight="true" outlineLevel="0" collapsed="false">
      <c r="A42" s="60" t="s">
        <v>4581</v>
      </c>
      <c r="C42" s="879" t="n">
        <f aca="false">C35/$B$28</f>
        <v>1.10245496796573</v>
      </c>
      <c r="D42" s="879" t="n">
        <f aca="false">D35/$B$28</f>
        <v>1.95321020203961</v>
      </c>
      <c r="E42" s="879" t="n">
        <f aca="false">E35/$B$28</f>
        <v>2.41606828374206</v>
      </c>
      <c r="F42" s="879" t="n">
        <f aca="false">F35/$B$28</f>
        <v>2.59264773948194</v>
      </c>
      <c r="G42" s="879" t="n">
        <f aca="false">G35/$B$28</f>
        <v>2.6704271716664</v>
      </c>
      <c r="H42" s="879" t="n">
        <f aca="false">H35/$B$28</f>
        <v>2.75053998681639</v>
      </c>
      <c r="I42" s="879" t="n">
        <f aca="false">I35/$B$28</f>
        <v>2.83305618642089</v>
      </c>
      <c r="J42" s="879" t="n">
        <f aca="false">J35/$B$28</f>
        <v>2.91804787201351</v>
      </c>
    </row>
    <row r="43" customFormat="false" ht="15" hidden="false" customHeight="true" outlineLevel="0" collapsed="false">
      <c r="A43" s="60" t="s">
        <v>4582</v>
      </c>
      <c r="C43" s="81" t="n">
        <f aca="false">(C35+C36)/$B$27</f>
        <v>0.0117686090883035</v>
      </c>
      <c r="D43" s="81" t="n">
        <f aca="false">(D35+D36)/$B$27</f>
        <v>0.109491598792352</v>
      </c>
      <c r="E43" s="81" t="n">
        <f aca="false">(E35+E36)/$B$27</f>
        <v>0.162658330821785</v>
      </c>
      <c r="F43" s="81" t="n">
        <f aca="false">(F35+F36)/$B$27</f>
        <v>0.182941335432388</v>
      </c>
      <c r="G43" s="81" t="n">
        <f aca="false">(G35+G36)/$B$27</f>
        <v>0.191875560396426</v>
      </c>
      <c r="H43" s="81" t="n">
        <f aca="false">(H35+H36)/$B$27</f>
        <v>0.201077812109384</v>
      </c>
      <c r="I43" s="81" t="n">
        <f aca="false">(I35+I36)/$B$27</f>
        <v>0.210556131373732</v>
      </c>
      <c r="J43" s="81" t="n">
        <f aca="false">(J35+J36)/$B$27</f>
        <v>0.22031880021601</v>
      </c>
    </row>
    <row r="45" customFormat="false" ht="15" hidden="false" customHeight="true" outlineLevel="0" collapsed="false">
      <c r="A45" s="7" t="s">
        <v>4583</v>
      </c>
      <c r="B45" s="7"/>
      <c r="C45" s="7"/>
      <c r="D45" s="7"/>
      <c r="E45" s="7"/>
      <c r="F45" s="7"/>
      <c r="G45" s="7"/>
      <c r="H45" s="7"/>
      <c r="I45" s="7"/>
      <c r="J45" s="7"/>
      <c r="K45" s="7"/>
    </row>
    <row r="46" customFormat="false" ht="15" hidden="false" customHeight="true" outlineLevel="0" collapsed="false">
      <c r="A46" s="845" t="s">
        <v>3298</v>
      </c>
      <c r="B46" s="836" t="n">
        <f aca="false">IFERROR(IRR(B40:J40),"n/m")</f>
        <v>0.266511265789023</v>
      </c>
    </row>
    <row r="47" customFormat="false" ht="15" hidden="false" customHeight="true" outlineLevel="0" collapsed="false">
      <c r="A47" s="60" t="s">
        <v>4584</v>
      </c>
      <c r="B47" s="885" t="n">
        <f aca="false">IF(B40=0,"n/m",SUM(C40:J40)/-B40)</f>
        <v>5.19740612651599</v>
      </c>
    </row>
    <row r="48" customFormat="false" ht="15" hidden="false" customHeight="true" outlineLevel="0" collapsed="false">
      <c r="A48" s="60" t="s">
        <v>4585</v>
      </c>
      <c r="B48" s="828" t="n">
        <f aca="false">AVERAGE(C43:J43)</f>
        <v>0.161336022278797</v>
      </c>
    </row>
    <row r="49" customFormat="false" ht="15" hidden="false" customHeight="true" outlineLevel="0" collapsed="false">
      <c r="A49" s="60" t="s">
        <v>4586</v>
      </c>
      <c r="B49" s="826" t="n">
        <f aca="false">NPV(B17,C40:J40)+B40</f>
        <v>788308105.840565</v>
      </c>
    </row>
    <row r="50" customFormat="false" ht="15" hidden="false" customHeight="true" outlineLevel="0" collapsed="false">
      <c r="A50" s="60" t="s">
        <v>4587</v>
      </c>
      <c r="B50" s="826" t="n">
        <f aca="false">SUM(B40:J40)</f>
        <v>2540058269.64403</v>
      </c>
    </row>
    <row r="51" customFormat="false" ht="15" hidden="false" customHeight="true" outlineLevel="0" collapsed="false">
      <c r="A51" s="60" t="s">
        <v>4588</v>
      </c>
      <c r="B51" s="251" t="n">
        <f aca="false">'Investment Pro Forma'!B33</f>
        <v>0.174414701484592</v>
      </c>
    </row>
    <row r="52" customFormat="false" ht="15" hidden="false" customHeight="true" outlineLevel="0" collapsed="false">
      <c r="A52" s="845" t="s">
        <v>4589</v>
      </c>
      <c r="B52" s="886" t="n">
        <f aca="false">IF(ISNUMBER(B46),(B46-B51)*10000,"n/m")</f>
        <v>920.965643044311</v>
      </c>
    </row>
    <row r="53" customFormat="false" ht="15" hidden="false" customHeight="true" outlineLevel="0" collapsed="false">
      <c r="A53" s="845" t="s">
        <v>4590</v>
      </c>
      <c r="B53" s="887" t="str">
        <f aca="false">IF(ISNUMBER(B46),IF(B46&gt;=B17,"● Accept — clears equity hurdle","▲ Below equity hurdle — review"),"n/m")</f>
        <v>● Accept — clears equity hurdle</v>
      </c>
    </row>
    <row r="55" customFormat="false" ht="15" hidden="false" customHeight="true" outlineLevel="0" collapsed="false">
      <c r="A55" s="7" t="s">
        <v>4591</v>
      </c>
      <c r="B55" s="7"/>
      <c r="C55" s="7"/>
      <c r="D55" s="7"/>
      <c r="E55" s="7"/>
      <c r="F55" s="7"/>
      <c r="G55" s="7"/>
      <c r="H55" s="7"/>
      <c r="I55" s="7"/>
      <c r="J55" s="7"/>
      <c r="K55" s="7"/>
    </row>
    <row r="56" customFormat="false" ht="15" hidden="false" customHeight="true" outlineLevel="0" collapsed="false">
      <c r="A56" s="888" t="s">
        <v>4592</v>
      </c>
      <c r="B56" s="889" t="n">
        <v>0.5</v>
      </c>
      <c r="C56" s="889" t="n">
        <v>0.55</v>
      </c>
      <c r="D56" s="889" t="n">
        <v>0.6</v>
      </c>
      <c r="E56" s="889" t="n">
        <v>0.65</v>
      </c>
      <c r="F56" s="889" t="n">
        <v>0.7</v>
      </c>
    </row>
    <row r="57" customFormat="false" ht="15" hidden="false" customHeight="true" outlineLevel="0" collapsed="false">
      <c r="A57" s="890" t="n">
        <f aca="false">'Investment Pro Forma'!$B$11-0.01</f>
        <v>0.055</v>
      </c>
      <c r="B57" s="891" t="n">
        <f aca="false">K70</f>
        <v>0.264660554004564</v>
      </c>
      <c r="C57" s="891" t="n">
        <f aca="false">K71</f>
        <v>0.277436487208053</v>
      </c>
      <c r="D57" s="891" t="n">
        <f aca="false">K72</f>
        <v>0.292272346219318</v>
      </c>
      <c r="E57" s="891" t="n">
        <f aca="false">K73</f>
        <v>0.309787907196633</v>
      </c>
      <c r="F57" s="891" t="n">
        <f aca="false">K74</f>
        <v>0.330909430334613</v>
      </c>
    </row>
    <row r="58" customFormat="false" ht="15" hidden="false" customHeight="true" outlineLevel="0" collapsed="false">
      <c r="A58" s="890" t="n">
        <f aca="false">'Investment Pro Forma'!$B$11-0.005</f>
        <v>0.06</v>
      </c>
      <c r="B58" s="891" t="n">
        <f aca="false">K75</f>
        <v>0.252094629029442</v>
      </c>
      <c r="C58" s="891" t="n">
        <f aca="false">K76</f>
        <v>0.264444356712692</v>
      </c>
      <c r="D58" s="891" t="n">
        <f aca="false">K77</f>
        <v>0.278817665379899</v>
      </c>
      <c r="E58" s="891" t="n">
        <f aca="false">K78</f>
        <v>0.295827970830232</v>
      </c>
      <c r="F58" s="891" t="n">
        <f aca="false">K79</f>
        <v>0.316393111617913</v>
      </c>
    </row>
    <row r="59" customFormat="false" ht="15" hidden="false" customHeight="true" outlineLevel="0" collapsed="false">
      <c r="A59" s="890" t="n">
        <f aca="false">'Investment Pro Forma'!$B$11+0</f>
        <v>0.065</v>
      </c>
      <c r="B59" s="891" t="n">
        <f aca="false">K80</f>
        <v>0.240644417378327</v>
      </c>
      <c r="C59" s="891" t="n">
        <f aca="false">K81</f>
        <v>0.25258385004667</v>
      </c>
      <c r="D59" s="892" t="n">
        <f aca="false">K82</f>
        <v>0.266511265789023</v>
      </c>
      <c r="E59" s="891" t="n">
        <f aca="false">K83</f>
        <v>0.283034032526729</v>
      </c>
      <c r="F59" s="891" t="n">
        <f aca="false">K84</f>
        <v>0.303062096655165</v>
      </c>
    </row>
    <row r="60" customFormat="false" ht="15" hidden="false" customHeight="true" outlineLevel="0" collapsed="false">
      <c r="A60" s="890" t="n">
        <f aca="false">'Investment Pro Forma'!$B$11+0.005</f>
        <v>0.07</v>
      </c>
      <c r="B60" s="891" t="n">
        <f aca="false">K85</f>
        <v>0.230132603639377</v>
      </c>
      <c r="C60" s="891" t="n">
        <f aca="false">K86</f>
        <v>0.241674957342716</v>
      </c>
      <c r="D60" s="891" t="n">
        <f aca="false">K87</f>
        <v>0.25517011415099</v>
      </c>
      <c r="E60" s="891" t="n">
        <f aca="false">K88</f>
        <v>0.271219606017891</v>
      </c>
      <c r="F60" s="891" t="n">
        <f aca="false">K89</f>
        <v>0.290725874120588</v>
      </c>
    </row>
    <row r="61" customFormat="false" ht="15" hidden="false" customHeight="true" outlineLevel="0" collapsed="false">
      <c r="A61" s="890" t="n">
        <f aca="false">'Investment Pro Forma'!$B$11+0.01</f>
        <v>0.075</v>
      </c>
      <c r="B61" s="891" t="n">
        <f aca="false">K90</f>
        <v>0.220420208012965</v>
      </c>
      <c r="C61" s="891" t="n">
        <f aca="false">K91</f>
        <v>0.231576556851994</v>
      </c>
      <c r="D61" s="891" t="n">
        <f aca="false">K92</f>
        <v>0.244650679275436</v>
      </c>
      <c r="E61" s="891" t="n">
        <f aca="false">K93</f>
        <v>0.260238398361701</v>
      </c>
      <c r="F61" s="891" t="n">
        <f aca="false">K94</f>
        <v>0.279234917410759</v>
      </c>
    </row>
    <row r="63" customFormat="false" ht="15" hidden="false" customHeight="true" outlineLevel="0" collapsed="false">
      <c r="A63" s="7" t="s">
        <v>4446</v>
      </c>
      <c r="B63" s="7"/>
      <c r="C63" s="7"/>
      <c r="D63" s="7"/>
      <c r="E63" s="7"/>
      <c r="F63" s="7"/>
      <c r="G63" s="7"/>
      <c r="H63" s="7"/>
      <c r="I63" s="7"/>
      <c r="J63" s="7"/>
      <c r="K63" s="7"/>
    </row>
    <row r="64" customFormat="false" ht="15" hidden="false" customHeight="true" outlineLevel="0" collapsed="false">
      <c r="A64" s="60" t="s">
        <v>4593</v>
      </c>
      <c r="B64" s="837" t="str">
        <f aca="false">IF(ROUND((B25+B27)-B7,0)=0,"✅ Tie","❌ Off")</f>
        <v>✅ Tie</v>
      </c>
    </row>
    <row r="65" customFormat="false" ht="15" hidden="false" customHeight="true" outlineLevel="0" collapsed="false">
      <c r="A65" s="60" t="s">
        <v>4594</v>
      </c>
      <c r="B65" s="837" t="str">
        <f aca="false">IF(ROUND(B40+B27,0)=0,"✅ Tie","❌ Off")</f>
        <v>✅ Tie</v>
      </c>
    </row>
    <row r="66" customFormat="false" ht="15" hidden="false" customHeight="true" outlineLevel="0" collapsed="false">
      <c r="A66" s="60" t="s">
        <v>4595</v>
      </c>
      <c r="B66" s="837" t="str">
        <f aca="false">IF(ROUND(B51-'Investment Pro Forma'!B33,4)=0,"✅ Tie","❌ Off")</f>
        <v>✅ Tie</v>
      </c>
    </row>
    <row r="67" customFormat="false" ht="15" hidden="false" customHeight="true" outlineLevel="0" collapsed="false">
      <c r="A67" s="60" t="s">
        <v>4596</v>
      </c>
      <c r="B67" s="837" t="str">
        <f aca="false">IF(ROUND(D59-B46,4)=0,"✅ Tie (LTC binds)","ℹ︎ base loan covenant-constrained")</f>
        <v>✅ Tie (LTC binds)</v>
      </c>
    </row>
    <row r="69" customFormat="false" ht="15" hidden="false" customHeight="true" outlineLevel="0" collapsed="false">
      <c r="A69" s="893" t="s">
        <v>4597</v>
      </c>
      <c r="B69" s="893"/>
      <c r="C69" s="893"/>
      <c r="D69" s="893"/>
      <c r="E69" s="893"/>
      <c r="F69" s="893"/>
      <c r="G69" s="893"/>
      <c r="H69" s="893"/>
      <c r="I69" s="893"/>
      <c r="J69" s="893"/>
      <c r="K69" s="893"/>
    </row>
    <row r="70" customFormat="false" ht="15" hidden="false" customHeight="true" outlineLevel="0" collapsed="false">
      <c r="A70" s="894" t="s">
        <v>4598</v>
      </c>
      <c r="B70" s="895" t="n">
        <f aca="false" t="array" ref="B70:B70">-$B$7*(1-INDEX($B$56:$F$56,MOD(ROW()-70,5)+1))</f>
        <v>-756436890.153984</v>
      </c>
      <c r="C70" s="895" t="n">
        <f aca="false" t="array" ref="C70:C70">'Investment Pro Forma'!C$27-INDEX($B$56:$F$56,MOD(ROW()-70,5)+1)*$B$7*$B$20</f>
        <v>18706968.501844</v>
      </c>
      <c r="D70" s="895" t="n">
        <f aca="false" t="array" ref="D70:D70">'Investment Pro Forma'!D$27-INDEX($B$56:$F$56,MOD(ROW()-70,5)+1)*$B$7*$B$20</f>
        <v>77843988.0444679</v>
      </c>
      <c r="E70" s="895" t="n">
        <f aca="false" t="array" ref="E70:E70">'Investment Pro Forma'!E$27-INDEX($B$56:$F$56,MOD(ROW()-70,5)+1)*$B$7*$B$20</f>
        <v>110017809.993264</v>
      </c>
      <c r="F70" s="895" t="n">
        <f aca="false" t="array" ref="F70:F70">'Investment Pro Forma'!F$27-INDEX($B$56:$F$56,MOD(ROW()-70,5)+1)*$B$7*$B$20</f>
        <v>122292060.337762</v>
      </c>
      <c r="G70" s="895" t="n">
        <f aca="false" t="array" ref="G70:G70">'Investment Pro Forma'!G$27-INDEX($B$56:$F$56,MOD(ROW()-70,5)+1)*$B$7*$B$20</f>
        <v>127698602.215949</v>
      </c>
      <c r="H70" s="895" t="n">
        <f aca="false" t="array" ref="H70:H70">'Investment Pro Forma'!H$27-INDEX($B$56:$F$56,MOD(ROW()-70,5)+1)*$B$7*$B$20</f>
        <v>133267340.35048</v>
      </c>
      <c r="I70" s="895" t="n">
        <f aca="false" t="array" ref="I70:I70">'Investment Pro Forma'!I$27-INDEX($B$56:$F$56,MOD(ROW()-70,5)+1)*$B$7*$B$20</f>
        <v>139003140.629048</v>
      </c>
      <c r="J70" s="895" t="n">
        <f aca="false" t="array" ref="J70:J70">'Investment Pro Forma'!J$27-INDEX($B$56:$F$56,MOD(ROW()-70,5)+1)*$B$7*$B$20+'Investment Pro Forma'!J$27*(1+'Investment Pro Forma'!B$10)/INDEX($A$57:$A$61,INT((ROW()-70)/5)+1)*(1-'Investment Pro Forma'!B$12)-(INDEX($B$56:$F$56,MOD(ROW()-70,5)+1)*$B$7*(1+$B$14)^$B$16-(INDEX($B$56:$F$56,MOD(ROW()-70,5)+1)*$B$7*$B$20)*((1+$B$14)^$B$16-1)/$B$14)</f>
        <v>3218328625.40565</v>
      </c>
      <c r="K70" s="896" t="n">
        <f aca="false">IFERROR(IRR(B70:J70),"n/m")</f>
        <v>0.264660554004564</v>
      </c>
    </row>
    <row r="71" customFormat="false" ht="15" hidden="false" customHeight="true" outlineLevel="0" collapsed="false">
      <c r="A71" s="894" t="s">
        <v>4599</v>
      </c>
      <c r="B71" s="895" t="n">
        <f aca="false" t="array" ref="B71:B71">-$B$7*(1-INDEX($B$56:$F$56,MOD(ROW()-70,5)+1))</f>
        <v>-680793201.138585</v>
      </c>
      <c r="C71" s="895" t="n">
        <f aca="false" t="array" ref="C71:C71">'Investment Pro Forma'!C$27-INDEX($B$56:$F$56,MOD(ROW()-70,5)+1)*$B$7*$B$20</f>
        <v>12914368.2749996</v>
      </c>
      <c r="D71" s="895" t="n">
        <f aca="false" t="array" ref="D71:D71">'Investment Pro Forma'!D$27-INDEX($B$56:$F$56,MOD(ROW()-70,5)+1)*$B$7*$B$20</f>
        <v>72051387.8176236</v>
      </c>
      <c r="E71" s="895" t="n">
        <f aca="false" t="array" ref="E71:E71">'Investment Pro Forma'!E$27-INDEX($B$56:$F$56,MOD(ROW()-70,5)+1)*$B$7*$B$20</f>
        <v>104225209.766419</v>
      </c>
      <c r="F71" s="895" t="n">
        <f aca="false" t="array" ref="F71:F71">'Investment Pro Forma'!F$27-INDEX($B$56:$F$56,MOD(ROW()-70,5)+1)*$B$7*$B$20</f>
        <v>116499460.110918</v>
      </c>
      <c r="G71" s="895" t="n">
        <f aca="false" t="array" ref="G71:G71">'Investment Pro Forma'!G$27-INDEX($B$56:$F$56,MOD(ROW()-70,5)+1)*$B$7*$B$20</f>
        <v>121906001.989104</v>
      </c>
      <c r="H71" s="895" t="n">
        <f aca="false" t="array" ref="H71:H71">'Investment Pro Forma'!H$27-INDEX($B$56:$F$56,MOD(ROW()-70,5)+1)*$B$7*$B$20</f>
        <v>127474740.123636</v>
      </c>
      <c r="I71" s="895" t="n">
        <f aca="false" t="array" ref="I71:I71">'Investment Pro Forma'!I$27-INDEX($B$56:$F$56,MOD(ROW()-70,5)+1)*$B$7*$B$20</f>
        <v>133210540.402204</v>
      </c>
      <c r="J71" s="895" t="n">
        <f aca="false" t="array" ref="J71:J71">'Investment Pro Forma'!J$27-INDEX($B$56:$F$56,MOD(ROW()-70,5)+1)*$B$7*$B$20+'Investment Pro Forma'!J$27*(1+'Investment Pro Forma'!B$10)/INDEX($A$57:$A$61,INT((ROW()-70)/5)+1)*(1-'Investment Pro Forma'!B$12)-(INDEX($B$56:$F$56,MOD(ROW()-70,5)+1)*$B$7*(1+$B$14)^$B$16-(INDEX($B$56:$F$56,MOD(ROW()-70,5)+1)*$B$7*$B$20)*((1+$B$14)^$B$16-1)/$B$14)</f>
        <v>3145717248.43786</v>
      </c>
      <c r="K71" s="896" t="n">
        <f aca="false">IFERROR(IRR(B71:J71),"n/m")</f>
        <v>0.277436487208053</v>
      </c>
    </row>
    <row r="72" customFormat="false" ht="15" hidden="false" customHeight="true" outlineLevel="0" collapsed="false">
      <c r="A72" s="894" t="s">
        <v>4600</v>
      </c>
      <c r="B72" s="895" t="n">
        <f aca="false" t="array" ref="B72:B72">-$B$7*(1-INDEX($B$56:$F$56,MOD(ROW()-70,5)+1))</f>
        <v>-605149512.123187</v>
      </c>
      <c r="C72" s="895" t="n">
        <f aca="false" t="array" ref="C72:C72">'Investment Pro Forma'!C$27-INDEX($B$56:$F$56,MOD(ROW()-70,5)+1)*$B$7*$B$20</f>
        <v>7121768.04815537</v>
      </c>
      <c r="D72" s="895" t="n">
        <f aca="false" t="array" ref="D72:D72">'Investment Pro Forma'!D$27-INDEX($B$56:$F$56,MOD(ROW()-70,5)+1)*$B$7*$B$20</f>
        <v>66258787.5907794</v>
      </c>
      <c r="E72" s="895" t="n">
        <f aca="false" t="array" ref="E72:E72">'Investment Pro Forma'!E$27-INDEX($B$56:$F$56,MOD(ROW()-70,5)+1)*$B$7*$B$20</f>
        <v>98432609.539575</v>
      </c>
      <c r="F72" s="895" t="n">
        <f aca="false" t="array" ref="F72:F72">'Investment Pro Forma'!F$27-INDEX($B$56:$F$56,MOD(ROW()-70,5)+1)*$B$7*$B$20</f>
        <v>110706859.884074</v>
      </c>
      <c r="G72" s="895" t="n">
        <f aca="false" t="array" ref="G72:G72">'Investment Pro Forma'!G$27-INDEX($B$56:$F$56,MOD(ROW()-70,5)+1)*$B$7*$B$20</f>
        <v>116113401.76226</v>
      </c>
      <c r="H72" s="895" t="n">
        <f aca="false" t="array" ref="H72:H72">'Investment Pro Forma'!H$27-INDEX($B$56:$F$56,MOD(ROW()-70,5)+1)*$B$7*$B$20</f>
        <v>121682139.896792</v>
      </c>
      <c r="I72" s="895" t="n">
        <f aca="false" t="array" ref="I72:I72">'Investment Pro Forma'!I$27-INDEX($B$56:$F$56,MOD(ROW()-70,5)+1)*$B$7*$B$20</f>
        <v>127417940.17536</v>
      </c>
      <c r="J72" s="895" t="n">
        <f aca="false" t="array" ref="J72:J72">'Investment Pro Forma'!J$27-INDEX($B$56:$F$56,MOD(ROW()-70,5)+1)*$B$7*$B$20+'Investment Pro Forma'!J$27*(1+'Investment Pro Forma'!B$10)/INDEX($A$57:$A$61,INT((ROW()-70)/5)+1)*(1-'Investment Pro Forma'!B$12)-(INDEX($B$56:$F$56,MOD(ROW()-70,5)+1)*$B$7*(1+$B$14)^$B$16-(INDEX($B$56:$F$56,MOD(ROW()-70,5)+1)*$B$7*$B$20)*((1+$B$14)^$B$16-1)/$B$14)</f>
        <v>3073105871.47008</v>
      </c>
      <c r="K72" s="896" t="n">
        <f aca="false">IFERROR(IRR(B72:J72),"n/m")</f>
        <v>0.292272346219318</v>
      </c>
    </row>
    <row r="73" customFormat="false" ht="15" hidden="false" customHeight="true" outlineLevel="0" collapsed="false">
      <c r="A73" s="894" t="s">
        <v>4601</v>
      </c>
      <c r="B73" s="895" t="n">
        <f aca="false" t="array" ref="B73:B73">-$B$7*(1-INDEX($B$56:$F$56,MOD(ROW()-70,5)+1))</f>
        <v>-529505823.107789</v>
      </c>
      <c r="C73" s="895" t="n">
        <f aca="false" t="array" ref="C73:C73">'Investment Pro Forma'!C$27-INDEX($B$56:$F$56,MOD(ROW()-70,5)+1)*$B$7*$B$20</f>
        <v>1329167.82131107</v>
      </c>
      <c r="D73" s="895" t="n">
        <f aca="false" t="array" ref="D73:D73">'Investment Pro Forma'!D$27-INDEX($B$56:$F$56,MOD(ROW()-70,5)+1)*$B$7*$B$20</f>
        <v>60466187.3639351</v>
      </c>
      <c r="E73" s="895" t="n">
        <f aca="false" t="array" ref="E73:E73">'Investment Pro Forma'!E$27-INDEX($B$56:$F$56,MOD(ROW()-70,5)+1)*$B$7*$B$20</f>
        <v>92640009.3127307</v>
      </c>
      <c r="F73" s="895" t="n">
        <f aca="false" t="array" ref="F73:F73">'Investment Pro Forma'!F$27-INDEX($B$56:$F$56,MOD(ROW()-70,5)+1)*$B$7*$B$20</f>
        <v>104914259.65723</v>
      </c>
      <c r="G73" s="895" t="n">
        <f aca="false" t="array" ref="G73:G73">'Investment Pro Forma'!G$27-INDEX($B$56:$F$56,MOD(ROW()-70,5)+1)*$B$7*$B$20</f>
        <v>110320801.535416</v>
      </c>
      <c r="H73" s="895" t="n">
        <f aca="false" t="array" ref="H73:H73">'Investment Pro Forma'!H$27-INDEX($B$56:$F$56,MOD(ROW()-70,5)+1)*$B$7*$B$20</f>
        <v>115889539.669948</v>
      </c>
      <c r="I73" s="895" t="n">
        <f aca="false" t="array" ref="I73:I73">'Investment Pro Forma'!I$27-INDEX($B$56:$F$56,MOD(ROW()-70,5)+1)*$B$7*$B$20</f>
        <v>121625339.948515</v>
      </c>
      <c r="J73" s="895" t="n">
        <f aca="false" t="array" ref="J73:J73">'Investment Pro Forma'!J$27-INDEX($B$56:$F$56,MOD(ROW()-70,5)+1)*$B$7*$B$20+'Investment Pro Forma'!J$27*(1+'Investment Pro Forma'!B$10)/INDEX($A$57:$A$61,INT((ROW()-70)/5)+1)*(1-'Investment Pro Forma'!B$12)-(INDEX($B$56:$F$56,MOD(ROW()-70,5)+1)*$B$7*(1+$B$14)^$B$16-(INDEX($B$56:$F$56,MOD(ROW()-70,5)+1)*$B$7*$B$20)*((1+$B$14)^$B$16-1)/$B$14)</f>
        <v>3000494494.50229</v>
      </c>
      <c r="K73" s="896" t="n">
        <f aca="false">IFERROR(IRR(B73:J73),"n/m")</f>
        <v>0.309787907196633</v>
      </c>
    </row>
    <row r="74" customFormat="false" ht="15" hidden="false" customHeight="true" outlineLevel="0" collapsed="false">
      <c r="A74" s="894" t="s">
        <v>4602</v>
      </c>
      <c r="B74" s="895" t="n">
        <f aca="false" t="array" ref="B74:B74">-$B$7*(1-INDEX($B$56:$F$56,MOD(ROW()-70,5)+1))</f>
        <v>-453862134.09239</v>
      </c>
      <c r="C74" s="895" t="n">
        <f aca="false" t="array" ref="C74:C74">'Investment Pro Forma'!C$27-INDEX($B$56:$F$56,MOD(ROW()-70,5)+1)*$B$7*$B$20</f>
        <v>-4463432.40553321</v>
      </c>
      <c r="D74" s="895" t="n">
        <f aca="false" t="array" ref="D74:D74">'Investment Pro Forma'!D$27-INDEX($B$56:$F$56,MOD(ROW()-70,5)+1)*$B$7*$B$20</f>
        <v>54673587.1370908</v>
      </c>
      <c r="E74" s="895" t="n">
        <f aca="false" t="array" ref="E74:E74">'Investment Pro Forma'!E$27-INDEX($B$56:$F$56,MOD(ROW()-70,5)+1)*$B$7*$B$20</f>
        <v>86847409.0858864</v>
      </c>
      <c r="F74" s="895" t="n">
        <f aca="false" t="array" ref="F74:F74">'Investment Pro Forma'!F$27-INDEX($B$56:$F$56,MOD(ROW()-70,5)+1)*$B$7*$B$20</f>
        <v>99121659.4303853</v>
      </c>
      <c r="G74" s="895" t="n">
        <f aca="false" t="array" ref="G74:G74">'Investment Pro Forma'!G$27-INDEX($B$56:$F$56,MOD(ROW()-70,5)+1)*$B$7*$B$20</f>
        <v>104528201.308571</v>
      </c>
      <c r="H74" s="895" t="n">
        <f aca="false" t="array" ref="H74:H74">'Investment Pro Forma'!H$27-INDEX($B$56:$F$56,MOD(ROW()-70,5)+1)*$B$7*$B$20</f>
        <v>110096939.443103</v>
      </c>
      <c r="I74" s="895" t="n">
        <f aca="false" t="array" ref="I74:I74">'Investment Pro Forma'!I$27-INDEX($B$56:$F$56,MOD(ROW()-70,5)+1)*$B$7*$B$20</f>
        <v>115832739.721671</v>
      </c>
      <c r="J74" s="895" t="n">
        <f aca="false" t="array" ref="J74:J74">'Investment Pro Forma'!J$27-INDEX($B$56:$F$56,MOD(ROW()-70,5)+1)*$B$7*$B$20+'Investment Pro Forma'!J$27*(1+'Investment Pro Forma'!B$10)/INDEX($A$57:$A$61,INT((ROW()-70)/5)+1)*(1-'Investment Pro Forma'!B$12)-(INDEX($B$56:$F$56,MOD(ROW()-70,5)+1)*$B$7*(1+$B$14)^$B$16-(INDEX($B$56:$F$56,MOD(ROW()-70,5)+1)*$B$7*$B$20)*((1+$B$14)^$B$16-1)/$B$14)</f>
        <v>2927883117.53451</v>
      </c>
      <c r="K74" s="896" t="n">
        <f aca="false">IFERROR(IRR(B74:J74),"n/m")</f>
        <v>0.330909430334613</v>
      </c>
    </row>
    <row r="75" customFormat="false" ht="15" hidden="false" customHeight="true" outlineLevel="0" collapsed="false">
      <c r="A75" s="894" t="s">
        <v>4603</v>
      </c>
      <c r="B75" s="895" t="n">
        <f aca="false" t="array" ref="B75:B75">-$B$7*(1-INDEX($B$56:$F$56,MOD(ROW()-70,5)+1))</f>
        <v>-756436890.153984</v>
      </c>
      <c r="C75" s="895" t="n">
        <f aca="false" t="array" ref="C75:C75">'Investment Pro Forma'!C$27-INDEX($B$56:$F$56,MOD(ROW()-70,5)+1)*$B$7*$B$20</f>
        <v>18706968.501844</v>
      </c>
      <c r="D75" s="895" t="n">
        <f aca="false" t="array" ref="D75:D75">'Investment Pro Forma'!D$27-INDEX($B$56:$F$56,MOD(ROW()-70,5)+1)*$B$7*$B$20</f>
        <v>77843988.0444679</v>
      </c>
      <c r="E75" s="895" t="n">
        <f aca="false" t="array" ref="E75:E75">'Investment Pro Forma'!E$27-INDEX($B$56:$F$56,MOD(ROW()-70,5)+1)*$B$7*$B$20</f>
        <v>110017809.993264</v>
      </c>
      <c r="F75" s="895" t="n">
        <f aca="false" t="array" ref="F75:F75">'Investment Pro Forma'!F$27-INDEX($B$56:$F$56,MOD(ROW()-70,5)+1)*$B$7*$B$20</f>
        <v>122292060.337762</v>
      </c>
      <c r="G75" s="895" t="n">
        <f aca="false" t="array" ref="G75:G75">'Investment Pro Forma'!G$27-INDEX($B$56:$F$56,MOD(ROW()-70,5)+1)*$B$7*$B$20</f>
        <v>127698602.215949</v>
      </c>
      <c r="H75" s="895" t="n">
        <f aca="false" t="array" ref="H75:H75">'Investment Pro Forma'!H$27-INDEX($B$56:$F$56,MOD(ROW()-70,5)+1)*$B$7*$B$20</f>
        <v>133267340.35048</v>
      </c>
      <c r="I75" s="895" t="n">
        <f aca="false" t="array" ref="I75:I75">'Investment Pro Forma'!I$27-INDEX($B$56:$F$56,MOD(ROW()-70,5)+1)*$B$7*$B$20</f>
        <v>139003140.629048</v>
      </c>
      <c r="J75" s="895" t="n">
        <f aca="false" t="array" ref="J75:J75">'Investment Pro Forma'!J$27-INDEX($B$56:$F$56,MOD(ROW()-70,5)+1)*$B$7*$B$20+'Investment Pro Forma'!J$27*(1+'Investment Pro Forma'!B$10)/INDEX($A$57:$A$61,INT((ROW()-70)/5)+1)*(1-'Investment Pro Forma'!B$12)-(INDEX($B$56:$F$56,MOD(ROW()-70,5)+1)*$B$7*(1+$B$14)^$B$16-(INDEX($B$56:$F$56,MOD(ROW()-70,5)+1)*$B$7*$B$20)*((1+$B$14)^$B$16-1)/$B$14)</f>
        <v>2906528177.24739</v>
      </c>
      <c r="K75" s="896" t="n">
        <f aca="false">IFERROR(IRR(B75:J75),"n/m")</f>
        <v>0.252094629029442</v>
      </c>
    </row>
    <row r="76" customFormat="false" ht="15" hidden="false" customHeight="true" outlineLevel="0" collapsed="false">
      <c r="A76" s="894" t="s">
        <v>4604</v>
      </c>
      <c r="B76" s="895" t="n">
        <f aca="false" t="array" ref="B76:B76">-$B$7*(1-INDEX($B$56:$F$56,MOD(ROW()-70,5)+1))</f>
        <v>-680793201.138585</v>
      </c>
      <c r="C76" s="895" t="n">
        <f aca="false" t="array" ref="C76:C76">'Investment Pro Forma'!C$27-INDEX($B$56:$F$56,MOD(ROW()-70,5)+1)*$B$7*$B$20</f>
        <v>12914368.2749996</v>
      </c>
      <c r="D76" s="895" t="n">
        <f aca="false" t="array" ref="D76:D76">'Investment Pro Forma'!D$27-INDEX($B$56:$F$56,MOD(ROW()-70,5)+1)*$B$7*$B$20</f>
        <v>72051387.8176236</v>
      </c>
      <c r="E76" s="895" t="n">
        <f aca="false" t="array" ref="E76:E76">'Investment Pro Forma'!E$27-INDEX($B$56:$F$56,MOD(ROW()-70,5)+1)*$B$7*$B$20</f>
        <v>104225209.766419</v>
      </c>
      <c r="F76" s="895" t="n">
        <f aca="false" t="array" ref="F76:F76">'Investment Pro Forma'!F$27-INDEX($B$56:$F$56,MOD(ROW()-70,5)+1)*$B$7*$B$20</f>
        <v>116499460.110918</v>
      </c>
      <c r="G76" s="895" t="n">
        <f aca="false" t="array" ref="G76:G76">'Investment Pro Forma'!G$27-INDEX($B$56:$F$56,MOD(ROW()-70,5)+1)*$B$7*$B$20</f>
        <v>121906001.989104</v>
      </c>
      <c r="H76" s="895" t="n">
        <f aca="false" t="array" ref="H76:H76">'Investment Pro Forma'!H$27-INDEX($B$56:$F$56,MOD(ROW()-70,5)+1)*$B$7*$B$20</f>
        <v>127474740.123636</v>
      </c>
      <c r="I76" s="895" t="n">
        <f aca="false" t="array" ref="I76:I76">'Investment Pro Forma'!I$27-INDEX($B$56:$F$56,MOD(ROW()-70,5)+1)*$B$7*$B$20</f>
        <v>133210540.402204</v>
      </c>
      <c r="J76" s="895" t="n">
        <f aca="false" t="array" ref="J76:J76">'Investment Pro Forma'!J$27-INDEX($B$56:$F$56,MOD(ROW()-70,5)+1)*$B$7*$B$20+'Investment Pro Forma'!J$27*(1+'Investment Pro Forma'!B$10)/INDEX($A$57:$A$61,INT((ROW()-70)/5)+1)*(1-'Investment Pro Forma'!B$12)-(INDEX($B$56:$F$56,MOD(ROW()-70,5)+1)*$B$7*(1+$B$14)^$B$16-(INDEX($B$56:$F$56,MOD(ROW()-70,5)+1)*$B$7*$B$20)*((1+$B$14)^$B$16-1)/$B$14)</f>
        <v>2833916800.27961</v>
      </c>
      <c r="K76" s="896" t="n">
        <f aca="false">IFERROR(IRR(B76:J76),"n/m")</f>
        <v>0.264444356712692</v>
      </c>
    </row>
    <row r="77" customFormat="false" ht="15" hidden="false" customHeight="true" outlineLevel="0" collapsed="false">
      <c r="A77" s="894" t="s">
        <v>4605</v>
      </c>
      <c r="B77" s="895" t="n">
        <f aca="false" t="array" ref="B77:B77">-$B$7*(1-INDEX($B$56:$F$56,MOD(ROW()-70,5)+1))</f>
        <v>-605149512.123187</v>
      </c>
      <c r="C77" s="895" t="n">
        <f aca="false" t="array" ref="C77:C77">'Investment Pro Forma'!C$27-INDEX($B$56:$F$56,MOD(ROW()-70,5)+1)*$B$7*$B$20</f>
        <v>7121768.04815537</v>
      </c>
      <c r="D77" s="895" t="n">
        <f aca="false" t="array" ref="D77:D77">'Investment Pro Forma'!D$27-INDEX($B$56:$F$56,MOD(ROW()-70,5)+1)*$B$7*$B$20</f>
        <v>66258787.5907794</v>
      </c>
      <c r="E77" s="895" t="n">
        <f aca="false" t="array" ref="E77:E77">'Investment Pro Forma'!E$27-INDEX($B$56:$F$56,MOD(ROW()-70,5)+1)*$B$7*$B$20</f>
        <v>98432609.539575</v>
      </c>
      <c r="F77" s="895" t="n">
        <f aca="false" t="array" ref="F77:F77">'Investment Pro Forma'!F$27-INDEX($B$56:$F$56,MOD(ROW()-70,5)+1)*$B$7*$B$20</f>
        <v>110706859.884074</v>
      </c>
      <c r="G77" s="895" t="n">
        <f aca="false" t="array" ref="G77:G77">'Investment Pro Forma'!G$27-INDEX($B$56:$F$56,MOD(ROW()-70,5)+1)*$B$7*$B$20</f>
        <v>116113401.76226</v>
      </c>
      <c r="H77" s="895" t="n">
        <f aca="false" t="array" ref="H77:H77">'Investment Pro Forma'!H$27-INDEX($B$56:$F$56,MOD(ROW()-70,5)+1)*$B$7*$B$20</f>
        <v>121682139.896792</v>
      </c>
      <c r="I77" s="895" t="n">
        <f aca="false" t="array" ref="I77:I77">'Investment Pro Forma'!I$27-INDEX($B$56:$F$56,MOD(ROW()-70,5)+1)*$B$7*$B$20</f>
        <v>127417940.17536</v>
      </c>
      <c r="J77" s="895" t="n">
        <f aca="false" t="array" ref="J77:J77">'Investment Pro Forma'!J$27-INDEX($B$56:$F$56,MOD(ROW()-70,5)+1)*$B$7*$B$20+'Investment Pro Forma'!J$27*(1+'Investment Pro Forma'!B$10)/INDEX($A$57:$A$61,INT((ROW()-70)/5)+1)*(1-'Investment Pro Forma'!B$12)-(INDEX($B$56:$F$56,MOD(ROW()-70,5)+1)*$B$7*(1+$B$14)^$B$16-(INDEX($B$56:$F$56,MOD(ROW()-70,5)+1)*$B$7*$B$20)*((1+$B$14)^$B$16-1)/$B$14)</f>
        <v>2761305423.31182</v>
      </c>
      <c r="K77" s="896" t="n">
        <f aca="false">IFERROR(IRR(B77:J77),"n/m")</f>
        <v>0.278817665379899</v>
      </c>
    </row>
    <row r="78" customFormat="false" ht="15" hidden="false" customHeight="true" outlineLevel="0" collapsed="false">
      <c r="A78" s="894" t="s">
        <v>4606</v>
      </c>
      <c r="B78" s="895" t="n">
        <f aca="false" t="array" ref="B78:B78">-$B$7*(1-INDEX($B$56:$F$56,MOD(ROW()-70,5)+1))</f>
        <v>-529505823.107789</v>
      </c>
      <c r="C78" s="895" t="n">
        <f aca="false" t="array" ref="C78:C78">'Investment Pro Forma'!C$27-INDEX($B$56:$F$56,MOD(ROW()-70,5)+1)*$B$7*$B$20</f>
        <v>1329167.82131107</v>
      </c>
      <c r="D78" s="895" t="n">
        <f aca="false" t="array" ref="D78:D78">'Investment Pro Forma'!D$27-INDEX($B$56:$F$56,MOD(ROW()-70,5)+1)*$B$7*$B$20</f>
        <v>60466187.3639351</v>
      </c>
      <c r="E78" s="895" t="n">
        <f aca="false" t="array" ref="E78:E78">'Investment Pro Forma'!E$27-INDEX($B$56:$F$56,MOD(ROW()-70,5)+1)*$B$7*$B$20</f>
        <v>92640009.3127307</v>
      </c>
      <c r="F78" s="895" t="n">
        <f aca="false" t="array" ref="F78:F78">'Investment Pro Forma'!F$27-INDEX($B$56:$F$56,MOD(ROW()-70,5)+1)*$B$7*$B$20</f>
        <v>104914259.65723</v>
      </c>
      <c r="G78" s="895" t="n">
        <f aca="false" t="array" ref="G78:G78">'Investment Pro Forma'!G$27-INDEX($B$56:$F$56,MOD(ROW()-70,5)+1)*$B$7*$B$20</f>
        <v>110320801.535416</v>
      </c>
      <c r="H78" s="895" t="n">
        <f aca="false" t="array" ref="H78:H78">'Investment Pro Forma'!H$27-INDEX($B$56:$F$56,MOD(ROW()-70,5)+1)*$B$7*$B$20</f>
        <v>115889539.669948</v>
      </c>
      <c r="I78" s="895" t="n">
        <f aca="false" t="array" ref="I78:I78">'Investment Pro Forma'!I$27-INDEX($B$56:$F$56,MOD(ROW()-70,5)+1)*$B$7*$B$20</f>
        <v>121625339.948515</v>
      </c>
      <c r="J78" s="895" t="n">
        <f aca="false" t="array" ref="J78:J78">'Investment Pro Forma'!J$27-INDEX($B$56:$F$56,MOD(ROW()-70,5)+1)*$B$7*$B$20+'Investment Pro Forma'!J$27*(1+'Investment Pro Forma'!B$10)/INDEX($A$57:$A$61,INT((ROW()-70)/5)+1)*(1-'Investment Pro Forma'!B$12)-(INDEX($B$56:$F$56,MOD(ROW()-70,5)+1)*$B$7*(1+$B$14)^$B$16-(INDEX($B$56:$F$56,MOD(ROW()-70,5)+1)*$B$7*$B$20)*((1+$B$14)^$B$16-1)/$B$14)</f>
        <v>2688694046.34404</v>
      </c>
      <c r="K78" s="896" t="n">
        <f aca="false">IFERROR(IRR(B78:J78),"n/m")</f>
        <v>0.295827970830232</v>
      </c>
    </row>
    <row r="79" customFormat="false" ht="15" hidden="false" customHeight="true" outlineLevel="0" collapsed="false">
      <c r="A79" s="894" t="s">
        <v>4607</v>
      </c>
      <c r="B79" s="895" t="n">
        <f aca="false" t="array" ref="B79:B79">-$B$7*(1-INDEX($B$56:$F$56,MOD(ROW()-70,5)+1))</f>
        <v>-453862134.09239</v>
      </c>
      <c r="C79" s="895" t="n">
        <f aca="false" t="array" ref="C79:C79">'Investment Pro Forma'!C$27-INDEX($B$56:$F$56,MOD(ROW()-70,5)+1)*$B$7*$B$20</f>
        <v>-4463432.40553321</v>
      </c>
      <c r="D79" s="895" t="n">
        <f aca="false" t="array" ref="D79:D79">'Investment Pro Forma'!D$27-INDEX($B$56:$F$56,MOD(ROW()-70,5)+1)*$B$7*$B$20</f>
        <v>54673587.1370908</v>
      </c>
      <c r="E79" s="895" t="n">
        <f aca="false" t="array" ref="E79:E79">'Investment Pro Forma'!E$27-INDEX($B$56:$F$56,MOD(ROW()-70,5)+1)*$B$7*$B$20</f>
        <v>86847409.0858864</v>
      </c>
      <c r="F79" s="895" t="n">
        <f aca="false" t="array" ref="F79:F79">'Investment Pro Forma'!F$27-INDEX($B$56:$F$56,MOD(ROW()-70,5)+1)*$B$7*$B$20</f>
        <v>99121659.4303853</v>
      </c>
      <c r="G79" s="895" t="n">
        <f aca="false" t="array" ref="G79:G79">'Investment Pro Forma'!G$27-INDEX($B$56:$F$56,MOD(ROW()-70,5)+1)*$B$7*$B$20</f>
        <v>104528201.308571</v>
      </c>
      <c r="H79" s="895" t="n">
        <f aca="false" t="array" ref="H79:H79">'Investment Pro Forma'!H$27-INDEX($B$56:$F$56,MOD(ROW()-70,5)+1)*$B$7*$B$20</f>
        <v>110096939.443103</v>
      </c>
      <c r="I79" s="895" t="n">
        <f aca="false" t="array" ref="I79:I79">'Investment Pro Forma'!I$27-INDEX($B$56:$F$56,MOD(ROW()-70,5)+1)*$B$7*$B$20</f>
        <v>115832739.721671</v>
      </c>
      <c r="J79" s="895" t="n">
        <f aca="false" t="array" ref="J79:J79">'Investment Pro Forma'!J$27-INDEX($B$56:$F$56,MOD(ROW()-70,5)+1)*$B$7*$B$20+'Investment Pro Forma'!J$27*(1+'Investment Pro Forma'!B$10)/INDEX($A$57:$A$61,INT((ROW()-70)/5)+1)*(1-'Investment Pro Forma'!B$12)-(INDEX($B$56:$F$56,MOD(ROW()-70,5)+1)*$B$7*(1+$B$14)^$B$16-(INDEX($B$56:$F$56,MOD(ROW()-70,5)+1)*$B$7*$B$20)*((1+$B$14)^$B$16-1)/$B$14)</f>
        <v>2616082669.37625</v>
      </c>
      <c r="K79" s="896" t="n">
        <f aca="false">IFERROR(IRR(B79:J79),"n/m")</f>
        <v>0.316393111617913</v>
      </c>
    </row>
    <row r="80" customFormat="false" ht="15" hidden="false" customHeight="true" outlineLevel="0" collapsed="false">
      <c r="A80" s="894" t="s">
        <v>4608</v>
      </c>
      <c r="B80" s="895" t="n">
        <f aca="false" t="array" ref="B80:B80">-$B$7*(1-INDEX($B$56:$F$56,MOD(ROW()-70,5)+1))</f>
        <v>-756436890.153984</v>
      </c>
      <c r="C80" s="895" t="n">
        <f aca="false" t="array" ref="C80:C80">'Investment Pro Forma'!C$27-INDEX($B$56:$F$56,MOD(ROW()-70,5)+1)*$B$7*$B$20</f>
        <v>18706968.501844</v>
      </c>
      <c r="D80" s="895" t="n">
        <f aca="false" t="array" ref="D80:D80">'Investment Pro Forma'!D$27-INDEX($B$56:$F$56,MOD(ROW()-70,5)+1)*$B$7*$B$20</f>
        <v>77843988.0444679</v>
      </c>
      <c r="E80" s="895" t="n">
        <f aca="false" t="array" ref="E80:E80">'Investment Pro Forma'!E$27-INDEX($B$56:$F$56,MOD(ROW()-70,5)+1)*$B$7*$B$20</f>
        <v>110017809.993264</v>
      </c>
      <c r="F80" s="895" t="n">
        <f aca="false" t="array" ref="F80:F80">'Investment Pro Forma'!F$27-INDEX($B$56:$F$56,MOD(ROW()-70,5)+1)*$B$7*$B$20</f>
        <v>122292060.337762</v>
      </c>
      <c r="G80" s="895" t="n">
        <f aca="false" t="array" ref="G80:G80">'Investment Pro Forma'!G$27-INDEX($B$56:$F$56,MOD(ROW()-70,5)+1)*$B$7*$B$20</f>
        <v>127698602.215949</v>
      </c>
      <c r="H80" s="895" t="n">
        <f aca="false" t="array" ref="H80:H80">'Investment Pro Forma'!H$27-INDEX($B$56:$F$56,MOD(ROW()-70,5)+1)*$B$7*$B$20</f>
        <v>133267340.35048</v>
      </c>
      <c r="I80" s="895" t="n">
        <f aca="false" t="array" ref="I80:I80">'Investment Pro Forma'!I$27-INDEX($B$56:$F$56,MOD(ROW()-70,5)+1)*$B$7*$B$20</f>
        <v>139003140.629048</v>
      </c>
      <c r="J80" s="895" t="n">
        <f aca="false" t="array" ref="J80:J80">'Investment Pro Forma'!J$27-INDEX($B$56:$F$56,MOD(ROW()-70,5)+1)*$B$7*$B$20+'Investment Pro Forma'!J$27*(1+'Investment Pro Forma'!B$10)/INDEX($A$57:$A$61,INT((ROW()-70)/5)+1)*(1-'Investment Pro Forma'!B$12)-(INDEX($B$56:$F$56,MOD(ROW()-70,5)+1)*$B$7*(1+$B$14)^$B$16-(INDEX($B$56:$F$56,MOD(ROW()-70,5)+1)*$B$7*$B$20)*((1+$B$14)^$B$16-1)/$B$14)</f>
        <v>2642697028.80579</v>
      </c>
      <c r="K80" s="896" t="n">
        <f aca="false">IFERROR(IRR(B80:J80),"n/m")</f>
        <v>0.240644417378327</v>
      </c>
    </row>
    <row r="81" customFormat="false" ht="15" hidden="false" customHeight="true" outlineLevel="0" collapsed="false">
      <c r="A81" s="894" t="s">
        <v>4609</v>
      </c>
      <c r="B81" s="895" t="n">
        <f aca="false" t="array" ref="B81:B81">-$B$7*(1-INDEX($B$56:$F$56,MOD(ROW()-70,5)+1))</f>
        <v>-680793201.138585</v>
      </c>
      <c r="C81" s="895" t="n">
        <f aca="false" t="array" ref="C81:C81">'Investment Pro Forma'!C$27-INDEX($B$56:$F$56,MOD(ROW()-70,5)+1)*$B$7*$B$20</f>
        <v>12914368.2749996</v>
      </c>
      <c r="D81" s="895" t="n">
        <f aca="false" t="array" ref="D81:D81">'Investment Pro Forma'!D$27-INDEX($B$56:$F$56,MOD(ROW()-70,5)+1)*$B$7*$B$20</f>
        <v>72051387.8176236</v>
      </c>
      <c r="E81" s="895" t="n">
        <f aca="false" t="array" ref="E81:E81">'Investment Pro Forma'!E$27-INDEX($B$56:$F$56,MOD(ROW()-70,5)+1)*$B$7*$B$20</f>
        <v>104225209.766419</v>
      </c>
      <c r="F81" s="895" t="n">
        <f aca="false" t="array" ref="F81:F81">'Investment Pro Forma'!F$27-INDEX($B$56:$F$56,MOD(ROW()-70,5)+1)*$B$7*$B$20</f>
        <v>116499460.110918</v>
      </c>
      <c r="G81" s="895" t="n">
        <f aca="false" t="array" ref="G81:G81">'Investment Pro Forma'!G$27-INDEX($B$56:$F$56,MOD(ROW()-70,5)+1)*$B$7*$B$20</f>
        <v>121906001.989104</v>
      </c>
      <c r="H81" s="895" t="n">
        <f aca="false" t="array" ref="H81:H81">'Investment Pro Forma'!H$27-INDEX($B$56:$F$56,MOD(ROW()-70,5)+1)*$B$7*$B$20</f>
        <v>127474740.123636</v>
      </c>
      <c r="I81" s="895" t="n">
        <f aca="false" t="array" ref="I81:I81">'Investment Pro Forma'!I$27-INDEX($B$56:$F$56,MOD(ROW()-70,5)+1)*$B$7*$B$20</f>
        <v>133210540.402204</v>
      </c>
      <c r="J81" s="895" t="n">
        <f aca="false" t="array" ref="J81:J81">'Investment Pro Forma'!J$27-INDEX($B$56:$F$56,MOD(ROW()-70,5)+1)*$B$7*$B$20+'Investment Pro Forma'!J$27*(1+'Investment Pro Forma'!B$10)/INDEX($A$57:$A$61,INT((ROW()-70)/5)+1)*(1-'Investment Pro Forma'!B$12)-(INDEX($B$56:$F$56,MOD(ROW()-70,5)+1)*$B$7*(1+$B$14)^$B$16-(INDEX($B$56:$F$56,MOD(ROW()-70,5)+1)*$B$7*$B$20)*((1+$B$14)^$B$16-1)/$B$14)</f>
        <v>2570085651.83801</v>
      </c>
      <c r="K81" s="896" t="n">
        <f aca="false">IFERROR(IRR(B81:J81),"n/m")</f>
        <v>0.25258385004667</v>
      </c>
    </row>
    <row r="82" customFormat="false" ht="15" hidden="false" customHeight="true" outlineLevel="0" collapsed="false">
      <c r="A82" s="894" t="s">
        <v>4610</v>
      </c>
      <c r="B82" s="895" t="n">
        <f aca="false" t="array" ref="B82:B82">-$B$7*(1-INDEX($B$56:$F$56,MOD(ROW()-70,5)+1))</f>
        <v>-605149512.123187</v>
      </c>
      <c r="C82" s="895" t="n">
        <f aca="false" t="array" ref="C82:C82">'Investment Pro Forma'!C$27-INDEX($B$56:$F$56,MOD(ROW()-70,5)+1)*$B$7*$B$20</f>
        <v>7121768.04815537</v>
      </c>
      <c r="D82" s="895" t="n">
        <f aca="false" t="array" ref="D82:D82">'Investment Pro Forma'!D$27-INDEX($B$56:$F$56,MOD(ROW()-70,5)+1)*$B$7*$B$20</f>
        <v>66258787.5907794</v>
      </c>
      <c r="E82" s="895" t="n">
        <f aca="false" t="array" ref="E82:E82">'Investment Pro Forma'!E$27-INDEX($B$56:$F$56,MOD(ROW()-70,5)+1)*$B$7*$B$20</f>
        <v>98432609.539575</v>
      </c>
      <c r="F82" s="895" t="n">
        <f aca="false" t="array" ref="F82:F82">'Investment Pro Forma'!F$27-INDEX($B$56:$F$56,MOD(ROW()-70,5)+1)*$B$7*$B$20</f>
        <v>110706859.884074</v>
      </c>
      <c r="G82" s="895" t="n">
        <f aca="false" t="array" ref="G82:G82">'Investment Pro Forma'!G$27-INDEX($B$56:$F$56,MOD(ROW()-70,5)+1)*$B$7*$B$20</f>
        <v>116113401.76226</v>
      </c>
      <c r="H82" s="895" t="n">
        <f aca="false" t="array" ref="H82:H82">'Investment Pro Forma'!H$27-INDEX($B$56:$F$56,MOD(ROW()-70,5)+1)*$B$7*$B$20</f>
        <v>121682139.896792</v>
      </c>
      <c r="I82" s="895" t="n">
        <f aca="false" t="array" ref="I82:I82">'Investment Pro Forma'!I$27-INDEX($B$56:$F$56,MOD(ROW()-70,5)+1)*$B$7*$B$20</f>
        <v>127417940.17536</v>
      </c>
      <c r="J82" s="895" t="n">
        <f aca="false" t="array" ref="J82:J82">'Investment Pro Forma'!J$27-INDEX($B$56:$F$56,MOD(ROW()-70,5)+1)*$B$7*$B$20+'Investment Pro Forma'!J$27*(1+'Investment Pro Forma'!B$10)/INDEX($A$57:$A$61,INT((ROW()-70)/5)+1)*(1-'Investment Pro Forma'!B$12)-(INDEX($B$56:$F$56,MOD(ROW()-70,5)+1)*$B$7*(1+$B$14)^$B$16-(INDEX($B$56:$F$56,MOD(ROW()-70,5)+1)*$B$7*$B$20)*((1+$B$14)^$B$16-1)/$B$14)</f>
        <v>2497474274.87022</v>
      </c>
      <c r="K82" s="896" t="n">
        <f aca="false">IFERROR(IRR(B82:J82),"n/m")</f>
        <v>0.266511265789023</v>
      </c>
    </row>
    <row r="83" customFormat="false" ht="15" hidden="false" customHeight="true" outlineLevel="0" collapsed="false">
      <c r="A83" s="894" t="s">
        <v>4611</v>
      </c>
      <c r="B83" s="895" t="n">
        <f aca="false" t="array" ref="B83:B83">-$B$7*(1-INDEX($B$56:$F$56,MOD(ROW()-70,5)+1))</f>
        <v>-529505823.107789</v>
      </c>
      <c r="C83" s="895" t="n">
        <f aca="false" t="array" ref="C83:C83">'Investment Pro Forma'!C$27-INDEX($B$56:$F$56,MOD(ROW()-70,5)+1)*$B$7*$B$20</f>
        <v>1329167.82131107</v>
      </c>
      <c r="D83" s="895" t="n">
        <f aca="false" t="array" ref="D83:D83">'Investment Pro Forma'!D$27-INDEX($B$56:$F$56,MOD(ROW()-70,5)+1)*$B$7*$B$20</f>
        <v>60466187.3639351</v>
      </c>
      <c r="E83" s="895" t="n">
        <f aca="false" t="array" ref="E83:E83">'Investment Pro Forma'!E$27-INDEX($B$56:$F$56,MOD(ROW()-70,5)+1)*$B$7*$B$20</f>
        <v>92640009.3127307</v>
      </c>
      <c r="F83" s="895" t="n">
        <f aca="false" t="array" ref="F83:F83">'Investment Pro Forma'!F$27-INDEX($B$56:$F$56,MOD(ROW()-70,5)+1)*$B$7*$B$20</f>
        <v>104914259.65723</v>
      </c>
      <c r="G83" s="895" t="n">
        <f aca="false" t="array" ref="G83:G83">'Investment Pro Forma'!G$27-INDEX($B$56:$F$56,MOD(ROW()-70,5)+1)*$B$7*$B$20</f>
        <v>110320801.535416</v>
      </c>
      <c r="H83" s="895" t="n">
        <f aca="false" t="array" ref="H83:H83">'Investment Pro Forma'!H$27-INDEX($B$56:$F$56,MOD(ROW()-70,5)+1)*$B$7*$B$20</f>
        <v>115889539.669948</v>
      </c>
      <c r="I83" s="895" t="n">
        <f aca="false" t="array" ref="I83:I83">'Investment Pro Forma'!I$27-INDEX($B$56:$F$56,MOD(ROW()-70,5)+1)*$B$7*$B$20</f>
        <v>121625339.948515</v>
      </c>
      <c r="J83" s="895" t="n">
        <f aca="false" t="array" ref="J83:J83">'Investment Pro Forma'!J$27-INDEX($B$56:$F$56,MOD(ROW()-70,5)+1)*$B$7*$B$20+'Investment Pro Forma'!J$27*(1+'Investment Pro Forma'!B$10)/INDEX($A$57:$A$61,INT((ROW()-70)/5)+1)*(1-'Investment Pro Forma'!B$12)-(INDEX($B$56:$F$56,MOD(ROW()-70,5)+1)*$B$7*(1+$B$14)^$B$16-(INDEX($B$56:$F$56,MOD(ROW()-70,5)+1)*$B$7*$B$20)*((1+$B$14)^$B$16-1)/$B$14)</f>
        <v>2424862897.90244</v>
      </c>
      <c r="K83" s="896" t="n">
        <f aca="false">IFERROR(IRR(B83:J83),"n/m")</f>
        <v>0.283034032526729</v>
      </c>
    </row>
    <row r="84" customFormat="false" ht="15" hidden="false" customHeight="true" outlineLevel="0" collapsed="false">
      <c r="A84" s="894" t="s">
        <v>4612</v>
      </c>
      <c r="B84" s="895" t="n">
        <f aca="false" t="array" ref="B84:B84">-$B$7*(1-INDEX($B$56:$F$56,MOD(ROW()-70,5)+1))</f>
        <v>-453862134.09239</v>
      </c>
      <c r="C84" s="895" t="n">
        <f aca="false" t="array" ref="C84:C84">'Investment Pro Forma'!C$27-INDEX($B$56:$F$56,MOD(ROW()-70,5)+1)*$B$7*$B$20</f>
        <v>-4463432.40553321</v>
      </c>
      <c r="D84" s="895" t="n">
        <f aca="false" t="array" ref="D84:D84">'Investment Pro Forma'!D$27-INDEX($B$56:$F$56,MOD(ROW()-70,5)+1)*$B$7*$B$20</f>
        <v>54673587.1370908</v>
      </c>
      <c r="E84" s="895" t="n">
        <f aca="false" t="array" ref="E84:E84">'Investment Pro Forma'!E$27-INDEX($B$56:$F$56,MOD(ROW()-70,5)+1)*$B$7*$B$20</f>
        <v>86847409.0858864</v>
      </c>
      <c r="F84" s="895" t="n">
        <f aca="false" t="array" ref="F84:F84">'Investment Pro Forma'!F$27-INDEX($B$56:$F$56,MOD(ROW()-70,5)+1)*$B$7*$B$20</f>
        <v>99121659.4303853</v>
      </c>
      <c r="G84" s="895" t="n">
        <f aca="false" t="array" ref="G84:G84">'Investment Pro Forma'!G$27-INDEX($B$56:$F$56,MOD(ROW()-70,5)+1)*$B$7*$B$20</f>
        <v>104528201.308571</v>
      </c>
      <c r="H84" s="895" t="n">
        <f aca="false" t="array" ref="H84:H84">'Investment Pro Forma'!H$27-INDEX($B$56:$F$56,MOD(ROW()-70,5)+1)*$B$7*$B$20</f>
        <v>110096939.443103</v>
      </c>
      <c r="I84" s="895" t="n">
        <f aca="false" t="array" ref="I84:I84">'Investment Pro Forma'!I$27-INDEX($B$56:$F$56,MOD(ROW()-70,5)+1)*$B$7*$B$20</f>
        <v>115832739.721671</v>
      </c>
      <c r="J84" s="895" t="n">
        <f aca="false" t="array" ref="J84:J84">'Investment Pro Forma'!J$27-INDEX($B$56:$F$56,MOD(ROW()-70,5)+1)*$B$7*$B$20+'Investment Pro Forma'!J$27*(1+'Investment Pro Forma'!B$10)/INDEX($A$57:$A$61,INT((ROW()-70)/5)+1)*(1-'Investment Pro Forma'!B$12)-(INDEX($B$56:$F$56,MOD(ROW()-70,5)+1)*$B$7*(1+$B$14)^$B$16-(INDEX($B$56:$F$56,MOD(ROW()-70,5)+1)*$B$7*$B$20)*((1+$B$14)^$B$16-1)/$B$14)</f>
        <v>2352251520.93465</v>
      </c>
      <c r="K84" s="896" t="n">
        <f aca="false">IFERROR(IRR(B84:J84),"n/m")</f>
        <v>0.303062096655165</v>
      </c>
    </row>
    <row r="85" customFormat="false" ht="15" hidden="false" customHeight="true" outlineLevel="0" collapsed="false">
      <c r="A85" s="894" t="s">
        <v>4613</v>
      </c>
      <c r="B85" s="895" t="n">
        <f aca="false" t="array" ref="B85:B85">-$B$7*(1-INDEX($B$56:$F$56,MOD(ROW()-70,5)+1))</f>
        <v>-756436890.153984</v>
      </c>
      <c r="C85" s="895" t="n">
        <f aca="false" t="array" ref="C85:C85">'Investment Pro Forma'!C$27-INDEX($B$56:$F$56,MOD(ROW()-70,5)+1)*$B$7*$B$20</f>
        <v>18706968.501844</v>
      </c>
      <c r="D85" s="895" t="n">
        <f aca="false" t="array" ref="D85:D85">'Investment Pro Forma'!D$27-INDEX($B$56:$F$56,MOD(ROW()-70,5)+1)*$B$7*$B$20</f>
        <v>77843988.0444679</v>
      </c>
      <c r="E85" s="895" t="n">
        <f aca="false" t="array" ref="E85:E85">'Investment Pro Forma'!E$27-INDEX($B$56:$F$56,MOD(ROW()-70,5)+1)*$B$7*$B$20</f>
        <v>110017809.993264</v>
      </c>
      <c r="F85" s="895" t="n">
        <f aca="false" t="array" ref="F85:F85">'Investment Pro Forma'!F$27-INDEX($B$56:$F$56,MOD(ROW()-70,5)+1)*$B$7*$B$20</f>
        <v>122292060.337762</v>
      </c>
      <c r="G85" s="895" t="n">
        <f aca="false" t="array" ref="G85:G85">'Investment Pro Forma'!G$27-INDEX($B$56:$F$56,MOD(ROW()-70,5)+1)*$B$7*$B$20</f>
        <v>127698602.215949</v>
      </c>
      <c r="H85" s="895" t="n">
        <f aca="false" t="array" ref="H85:H85">'Investment Pro Forma'!H$27-INDEX($B$56:$F$56,MOD(ROW()-70,5)+1)*$B$7*$B$20</f>
        <v>133267340.35048</v>
      </c>
      <c r="I85" s="895" t="n">
        <f aca="false" t="array" ref="I85:I85">'Investment Pro Forma'!I$27-INDEX($B$56:$F$56,MOD(ROW()-70,5)+1)*$B$7*$B$20</f>
        <v>139003140.629048</v>
      </c>
      <c r="J85" s="895" t="n">
        <f aca="false" t="array" ref="J85:J85">'Investment Pro Forma'!J$27-INDEX($B$56:$F$56,MOD(ROW()-70,5)+1)*$B$7*$B$20+'Investment Pro Forma'!J$27*(1+'Investment Pro Forma'!B$10)/INDEX($A$57:$A$61,INT((ROW()-70)/5)+1)*(1-'Investment Pro Forma'!B$12)-(INDEX($B$56:$F$56,MOD(ROW()-70,5)+1)*$B$7*(1+$B$14)^$B$16-(INDEX($B$56:$F$56,MOD(ROW()-70,5)+1)*$B$7*$B$20)*((1+$B$14)^$B$16-1)/$B$14)</f>
        <v>2416556044.42727</v>
      </c>
      <c r="K85" s="896" t="n">
        <f aca="false">IFERROR(IRR(B85:J85),"n/m")</f>
        <v>0.230132603639377</v>
      </c>
    </row>
    <row r="86" customFormat="false" ht="15" hidden="false" customHeight="true" outlineLevel="0" collapsed="false">
      <c r="A86" s="894" t="s">
        <v>4614</v>
      </c>
      <c r="B86" s="895" t="n">
        <f aca="false" t="array" ref="B86:B86">-$B$7*(1-INDEX($B$56:$F$56,MOD(ROW()-70,5)+1))</f>
        <v>-680793201.138585</v>
      </c>
      <c r="C86" s="895" t="n">
        <f aca="false" t="array" ref="C86:C86">'Investment Pro Forma'!C$27-INDEX($B$56:$F$56,MOD(ROW()-70,5)+1)*$B$7*$B$20</f>
        <v>12914368.2749996</v>
      </c>
      <c r="D86" s="895" t="n">
        <f aca="false" t="array" ref="D86:D86">'Investment Pro Forma'!D$27-INDEX($B$56:$F$56,MOD(ROW()-70,5)+1)*$B$7*$B$20</f>
        <v>72051387.8176236</v>
      </c>
      <c r="E86" s="895" t="n">
        <f aca="false" t="array" ref="E86:E86">'Investment Pro Forma'!E$27-INDEX($B$56:$F$56,MOD(ROW()-70,5)+1)*$B$7*$B$20</f>
        <v>104225209.766419</v>
      </c>
      <c r="F86" s="895" t="n">
        <f aca="false" t="array" ref="F86:F86">'Investment Pro Forma'!F$27-INDEX($B$56:$F$56,MOD(ROW()-70,5)+1)*$B$7*$B$20</f>
        <v>116499460.110918</v>
      </c>
      <c r="G86" s="895" t="n">
        <f aca="false" t="array" ref="G86:G86">'Investment Pro Forma'!G$27-INDEX($B$56:$F$56,MOD(ROW()-70,5)+1)*$B$7*$B$20</f>
        <v>121906001.989104</v>
      </c>
      <c r="H86" s="895" t="n">
        <f aca="false" t="array" ref="H86:H86">'Investment Pro Forma'!H$27-INDEX($B$56:$F$56,MOD(ROW()-70,5)+1)*$B$7*$B$20</f>
        <v>127474740.123636</v>
      </c>
      <c r="I86" s="895" t="n">
        <f aca="false" t="array" ref="I86:I86">'Investment Pro Forma'!I$27-INDEX($B$56:$F$56,MOD(ROW()-70,5)+1)*$B$7*$B$20</f>
        <v>133210540.402204</v>
      </c>
      <c r="J86" s="895" t="n">
        <f aca="false" t="array" ref="J86:J86">'Investment Pro Forma'!J$27-INDEX($B$56:$F$56,MOD(ROW()-70,5)+1)*$B$7*$B$20+'Investment Pro Forma'!J$27*(1+'Investment Pro Forma'!B$10)/INDEX($A$57:$A$61,INT((ROW()-70)/5)+1)*(1-'Investment Pro Forma'!B$12)-(INDEX($B$56:$F$56,MOD(ROW()-70,5)+1)*$B$7*(1+$B$14)^$B$16-(INDEX($B$56:$F$56,MOD(ROW()-70,5)+1)*$B$7*$B$20)*((1+$B$14)^$B$16-1)/$B$14)</f>
        <v>2343944667.45949</v>
      </c>
      <c r="K86" s="896" t="n">
        <f aca="false">IFERROR(IRR(B86:J86),"n/m")</f>
        <v>0.241674957342716</v>
      </c>
    </row>
    <row r="87" customFormat="false" ht="15" hidden="false" customHeight="true" outlineLevel="0" collapsed="false">
      <c r="A87" s="894" t="s">
        <v>4615</v>
      </c>
      <c r="B87" s="895" t="n">
        <f aca="false" t="array" ref="B87:B87">-$B$7*(1-INDEX($B$56:$F$56,MOD(ROW()-70,5)+1))</f>
        <v>-605149512.123187</v>
      </c>
      <c r="C87" s="895" t="n">
        <f aca="false" t="array" ref="C87:C87">'Investment Pro Forma'!C$27-INDEX($B$56:$F$56,MOD(ROW()-70,5)+1)*$B$7*$B$20</f>
        <v>7121768.04815537</v>
      </c>
      <c r="D87" s="895" t="n">
        <f aca="false" t="array" ref="D87:D87">'Investment Pro Forma'!D$27-INDEX($B$56:$F$56,MOD(ROW()-70,5)+1)*$B$7*$B$20</f>
        <v>66258787.5907794</v>
      </c>
      <c r="E87" s="895" t="n">
        <f aca="false" t="array" ref="E87:E87">'Investment Pro Forma'!E$27-INDEX($B$56:$F$56,MOD(ROW()-70,5)+1)*$B$7*$B$20</f>
        <v>98432609.539575</v>
      </c>
      <c r="F87" s="895" t="n">
        <f aca="false" t="array" ref="F87:F87">'Investment Pro Forma'!F$27-INDEX($B$56:$F$56,MOD(ROW()-70,5)+1)*$B$7*$B$20</f>
        <v>110706859.884074</v>
      </c>
      <c r="G87" s="895" t="n">
        <f aca="false" t="array" ref="G87:G87">'Investment Pro Forma'!G$27-INDEX($B$56:$F$56,MOD(ROW()-70,5)+1)*$B$7*$B$20</f>
        <v>116113401.76226</v>
      </c>
      <c r="H87" s="895" t="n">
        <f aca="false" t="array" ref="H87:H87">'Investment Pro Forma'!H$27-INDEX($B$56:$F$56,MOD(ROW()-70,5)+1)*$B$7*$B$20</f>
        <v>121682139.896792</v>
      </c>
      <c r="I87" s="895" t="n">
        <f aca="false" t="array" ref="I87:I87">'Investment Pro Forma'!I$27-INDEX($B$56:$F$56,MOD(ROW()-70,5)+1)*$B$7*$B$20</f>
        <v>127417940.17536</v>
      </c>
      <c r="J87" s="895" t="n">
        <f aca="false" t="array" ref="J87:J87">'Investment Pro Forma'!J$27-INDEX($B$56:$F$56,MOD(ROW()-70,5)+1)*$B$7*$B$20+'Investment Pro Forma'!J$27*(1+'Investment Pro Forma'!B$10)/INDEX($A$57:$A$61,INT((ROW()-70)/5)+1)*(1-'Investment Pro Forma'!B$12)-(INDEX($B$56:$F$56,MOD(ROW()-70,5)+1)*$B$7*(1+$B$14)^$B$16-(INDEX($B$56:$F$56,MOD(ROW()-70,5)+1)*$B$7*$B$20)*((1+$B$14)^$B$16-1)/$B$14)</f>
        <v>2271333290.49171</v>
      </c>
      <c r="K87" s="896" t="n">
        <f aca="false">IFERROR(IRR(B87:J87),"n/m")</f>
        <v>0.25517011415099</v>
      </c>
    </row>
    <row r="88" customFormat="false" ht="15" hidden="false" customHeight="true" outlineLevel="0" collapsed="false">
      <c r="A88" s="894" t="s">
        <v>4616</v>
      </c>
      <c r="B88" s="895" t="n">
        <f aca="false" t="array" ref="B88:B88">-$B$7*(1-INDEX($B$56:$F$56,MOD(ROW()-70,5)+1))</f>
        <v>-529505823.107789</v>
      </c>
      <c r="C88" s="895" t="n">
        <f aca="false" t="array" ref="C88:C88">'Investment Pro Forma'!C$27-INDEX($B$56:$F$56,MOD(ROW()-70,5)+1)*$B$7*$B$20</f>
        <v>1329167.82131107</v>
      </c>
      <c r="D88" s="895" t="n">
        <f aca="false" t="array" ref="D88:D88">'Investment Pro Forma'!D$27-INDEX($B$56:$F$56,MOD(ROW()-70,5)+1)*$B$7*$B$20</f>
        <v>60466187.3639351</v>
      </c>
      <c r="E88" s="895" t="n">
        <f aca="false" t="array" ref="E88:E88">'Investment Pro Forma'!E$27-INDEX($B$56:$F$56,MOD(ROW()-70,5)+1)*$B$7*$B$20</f>
        <v>92640009.3127307</v>
      </c>
      <c r="F88" s="895" t="n">
        <f aca="false" t="array" ref="F88:F88">'Investment Pro Forma'!F$27-INDEX($B$56:$F$56,MOD(ROW()-70,5)+1)*$B$7*$B$20</f>
        <v>104914259.65723</v>
      </c>
      <c r="G88" s="895" t="n">
        <f aca="false" t="array" ref="G88:G88">'Investment Pro Forma'!G$27-INDEX($B$56:$F$56,MOD(ROW()-70,5)+1)*$B$7*$B$20</f>
        <v>110320801.535416</v>
      </c>
      <c r="H88" s="895" t="n">
        <f aca="false" t="array" ref="H88:H88">'Investment Pro Forma'!H$27-INDEX($B$56:$F$56,MOD(ROW()-70,5)+1)*$B$7*$B$20</f>
        <v>115889539.669948</v>
      </c>
      <c r="I88" s="895" t="n">
        <f aca="false" t="array" ref="I88:I88">'Investment Pro Forma'!I$27-INDEX($B$56:$F$56,MOD(ROW()-70,5)+1)*$B$7*$B$20</f>
        <v>121625339.948515</v>
      </c>
      <c r="J88" s="895" t="n">
        <f aca="false" t="array" ref="J88:J88">'Investment Pro Forma'!J$27-INDEX($B$56:$F$56,MOD(ROW()-70,5)+1)*$B$7*$B$20+'Investment Pro Forma'!J$27*(1+'Investment Pro Forma'!B$10)/INDEX($A$57:$A$61,INT((ROW()-70)/5)+1)*(1-'Investment Pro Forma'!B$12)-(INDEX($B$56:$F$56,MOD(ROW()-70,5)+1)*$B$7*(1+$B$14)^$B$16-(INDEX($B$56:$F$56,MOD(ROW()-70,5)+1)*$B$7*$B$20)*((1+$B$14)^$B$16-1)/$B$14)</f>
        <v>2198721913.52392</v>
      </c>
      <c r="K88" s="896" t="n">
        <f aca="false">IFERROR(IRR(B88:J88),"n/m")</f>
        <v>0.271219606017891</v>
      </c>
    </row>
    <row r="89" customFormat="false" ht="15" hidden="false" customHeight="true" outlineLevel="0" collapsed="false">
      <c r="A89" s="894" t="s">
        <v>4617</v>
      </c>
      <c r="B89" s="895" t="n">
        <f aca="false" t="array" ref="B89:B89">-$B$7*(1-INDEX($B$56:$F$56,MOD(ROW()-70,5)+1))</f>
        <v>-453862134.09239</v>
      </c>
      <c r="C89" s="895" t="n">
        <f aca="false" t="array" ref="C89:C89">'Investment Pro Forma'!C$27-INDEX($B$56:$F$56,MOD(ROW()-70,5)+1)*$B$7*$B$20</f>
        <v>-4463432.40553321</v>
      </c>
      <c r="D89" s="895" t="n">
        <f aca="false" t="array" ref="D89:D89">'Investment Pro Forma'!D$27-INDEX($B$56:$F$56,MOD(ROW()-70,5)+1)*$B$7*$B$20</f>
        <v>54673587.1370908</v>
      </c>
      <c r="E89" s="895" t="n">
        <f aca="false" t="array" ref="E89:E89">'Investment Pro Forma'!E$27-INDEX($B$56:$F$56,MOD(ROW()-70,5)+1)*$B$7*$B$20</f>
        <v>86847409.0858864</v>
      </c>
      <c r="F89" s="895" t="n">
        <f aca="false" t="array" ref="F89:F89">'Investment Pro Forma'!F$27-INDEX($B$56:$F$56,MOD(ROW()-70,5)+1)*$B$7*$B$20</f>
        <v>99121659.4303853</v>
      </c>
      <c r="G89" s="895" t="n">
        <f aca="false" t="array" ref="G89:G89">'Investment Pro Forma'!G$27-INDEX($B$56:$F$56,MOD(ROW()-70,5)+1)*$B$7*$B$20</f>
        <v>104528201.308571</v>
      </c>
      <c r="H89" s="895" t="n">
        <f aca="false" t="array" ref="H89:H89">'Investment Pro Forma'!H$27-INDEX($B$56:$F$56,MOD(ROW()-70,5)+1)*$B$7*$B$20</f>
        <v>110096939.443103</v>
      </c>
      <c r="I89" s="895" t="n">
        <f aca="false" t="array" ref="I89:I89">'Investment Pro Forma'!I$27-INDEX($B$56:$F$56,MOD(ROW()-70,5)+1)*$B$7*$B$20</f>
        <v>115832739.721671</v>
      </c>
      <c r="J89" s="895" t="n">
        <f aca="false" t="array" ref="J89:J89">'Investment Pro Forma'!J$27-INDEX($B$56:$F$56,MOD(ROW()-70,5)+1)*$B$7*$B$20+'Investment Pro Forma'!J$27*(1+'Investment Pro Forma'!B$10)/INDEX($A$57:$A$61,INT((ROW()-70)/5)+1)*(1-'Investment Pro Forma'!B$12)-(INDEX($B$56:$F$56,MOD(ROW()-70,5)+1)*$B$7*(1+$B$14)^$B$16-(INDEX($B$56:$F$56,MOD(ROW()-70,5)+1)*$B$7*$B$20)*((1+$B$14)^$B$16-1)/$B$14)</f>
        <v>2126110536.55614</v>
      </c>
      <c r="K89" s="896" t="n">
        <f aca="false">IFERROR(IRR(B89:J89),"n/m")</f>
        <v>0.290725874120588</v>
      </c>
    </row>
    <row r="90" customFormat="false" ht="15" hidden="false" customHeight="true" outlineLevel="0" collapsed="false">
      <c r="A90" s="894" t="s">
        <v>4618</v>
      </c>
      <c r="B90" s="895" t="n">
        <f aca="false" t="array" ref="B90:B90">-$B$7*(1-INDEX($B$56:$F$56,MOD(ROW()-70,5)+1))</f>
        <v>-756436890.153984</v>
      </c>
      <c r="C90" s="895" t="n">
        <f aca="false" t="array" ref="C90:C90">'Investment Pro Forma'!C$27-INDEX($B$56:$F$56,MOD(ROW()-70,5)+1)*$B$7*$B$20</f>
        <v>18706968.501844</v>
      </c>
      <c r="D90" s="895" t="n">
        <f aca="false" t="array" ref="D90:D90">'Investment Pro Forma'!D$27-INDEX($B$56:$F$56,MOD(ROW()-70,5)+1)*$B$7*$B$20</f>
        <v>77843988.0444679</v>
      </c>
      <c r="E90" s="895" t="n">
        <f aca="false" t="array" ref="E90:E90">'Investment Pro Forma'!E$27-INDEX($B$56:$F$56,MOD(ROW()-70,5)+1)*$B$7*$B$20</f>
        <v>110017809.993264</v>
      </c>
      <c r="F90" s="895" t="n">
        <f aca="false" t="array" ref="F90:F90">'Investment Pro Forma'!F$27-INDEX($B$56:$F$56,MOD(ROW()-70,5)+1)*$B$7*$B$20</f>
        <v>122292060.337762</v>
      </c>
      <c r="G90" s="895" t="n">
        <f aca="false" t="array" ref="G90:G90">'Investment Pro Forma'!G$27-INDEX($B$56:$F$56,MOD(ROW()-70,5)+1)*$B$7*$B$20</f>
        <v>127698602.215949</v>
      </c>
      <c r="H90" s="895" t="n">
        <f aca="false" t="array" ref="H90:H90">'Investment Pro Forma'!H$27-INDEX($B$56:$F$56,MOD(ROW()-70,5)+1)*$B$7*$B$20</f>
        <v>133267340.35048</v>
      </c>
      <c r="I90" s="895" t="n">
        <f aca="false" t="array" ref="I90:I90">'Investment Pro Forma'!I$27-INDEX($B$56:$F$56,MOD(ROW()-70,5)+1)*$B$7*$B$20</f>
        <v>139003140.629048</v>
      </c>
      <c r="J90" s="895" t="n">
        <f aca="false" t="array" ref="J90:J90">'Investment Pro Forma'!J$27-INDEX($B$56:$F$56,MOD(ROW()-70,5)+1)*$B$7*$B$20+'Investment Pro Forma'!J$27*(1+'Investment Pro Forma'!B$10)/INDEX($A$57:$A$61,INT((ROW()-70)/5)+1)*(1-'Investment Pro Forma'!B$12)-(INDEX($B$56:$F$56,MOD(ROW()-70,5)+1)*$B$7*(1+$B$14)^$B$16-(INDEX($B$56:$F$56,MOD(ROW()-70,5)+1)*$B$7*$B$20)*((1+$B$14)^$B$16-1)/$B$14)</f>
        <v>2220567191.29923</v>
      </c>
      <c r="K90" s="896" t="n">
        <f aca="false">IFERROR(IRR(B90:J90),"n/m")</f>
        <v>0.220420208012965</v>
      </c>
    </row>
    <row r="91" customFormat="false" ht="15" hidden="false" customHeight="true" outlineLevel="0" collapsed="false">
      <c r="A91" s="894" t="s">
        <v>4619</v>
      </c>
      <c r="B91" s="895" t="n">
        <f aca="false" t="array" ref="B91:B91">-$B$7*(1-INDEX($B$56:$F$56,MOD(ROW()-70,5)+1))</f>
        <v>-680793201.138585</v>
      </c>
      <c r="C91" s="895" t="n">
        <f aca="false" t="array" ref="C91:C91">'Investment Pro Forma'!C$27-INDEX($B$56:$F$56,MOD(ROW()-70,5)+1)*$B$7*$B$20</f>
        <v>12914368.2749996</v>
      </c>
      <c r="D91" s="895" t="n">
        <f aca="false" t="array" ref="D91:D91">'Investment Pro Forma'!D$27-INDEX($B$56:$F$56,MOD(ROW()-70,5)+1)*$B$7*$B$20</f>
        <v>72051387.8176236</v>
      </c>
      <c r="E91" s="895" t="n">
        <f aca="false" t="array" ref="E91:E91">'Investment Pro Forma'!E$27-INDEX($B$56:$F$56,MOD(ROW()-70,5)+1)*$B$7*$B$20</f>
        <v>104225209.766419</v>
      </c>
      <c r="F91" s="895" t="n">
        <f aca="false" t="array" ref="F91:F91">'Investment Pro Forma'!F$27-INDEX($B$56:$F$56,MOD(ROW()-70,5)+1)*$B$7*$B$20</f>
        <v>116499460.110918</v>
      </c>
      <c r="G91" s="895" t="n">
        <f aca="false" t="array" ref="G91:G91">'Investment Pro Forma'!G$27-INDEX($B$56:$F$56,MOD(ROW()-70,5)+1)*$B$7*$B$20</f>
        <v>121906001.989104</v>
      </c>
      <c r="H91" s="895" t="n">
        <f aca="false" t="array" ref="H91:H91">'Investment Pro Forma'!H$27-INDEX($B$56:$F$56,MOD(ROW()-70,5)+1)*$B$7*$B$20</f>
        <v>127474740.123636</v>
      </c>
      <c r="I91" s="895" t="n">
        <f aca="false" t="array" ref="I91:I91">'Investment Pro Forma'!I$27-INDEX($B$56:$F$56,MOD(ROW()-70,5)+1)*$B$7*$B$20</f>
        <v>133210540.402204</v>
      </c>
      <c r="J91" s="895" t="n">
        <f aca="false" t="array" ref="J91:J91">'Investment Pro Forma'!J$27-INDEX($B$56:$F$56,MOD(ROW()-70,5)+1)*$B$7*$B$20+'Investment Pro Forma'!J$27*(1+'Investment Pro Forma'!B$10)/INDEX($A$57:$A$61,INT((ROW()-70)/5)+1)*(1-'Investment Pro Forma'!B$12)-(INDEX($B$56:$F$56,MOD(ROW()-70,5)+1)*$B$7*(1+$B$14)^$B$16-(INDEX($B$56:$F$56,MOD(ROW()-70,5)+1)*$B$7*$B$20)*((1+$B$14)^$B$16-1)/$B$14)</f>
        <v>2147955814.33144</v>
      </c>
      <c r="K91" s="896" t="n">
        <f aca="false">IFERROR(IRR(B91:J91),"n/m")</f>
        <v>0.231576556851994</v>
      </c>
    </row>
    <row r="92" customFormat="false" ht="15" hidden="false" customHeight="true" outlineLevel="0" collapsed="false">
      <c r="A92" s="894" t="s">
        <v>4620</v>
      </c>
      <c r="B92" s="895" t="n">
        <f aca="false" t="array" ref="B92:B92">-$B$7*(1-INDEX($B$56:$F$56,MOD(ROW()-70,5)+1))</f>
        <v>-605149512.123187</v>
      </c>
      <c r="C92" s="895" t="n">
        <f aca="false" t="array" ref="C92:C92">'Investment Pro Forma'!C$27-INDEX($B$56:$F$56,MOD(ROW()-70,5)+1)*$B$7*$B$20</f>
        <v>7121768.04815537</v>
      </c>
      <c r="D92" s="895" t="n">
        <f aca="false" t="array" ref="D92:D92">'Investment Pro Forma'!D$27-INDEX($B$56:$F$56,MOD(ROW()-70,5)+1)*$B$7*$B$20</f>
        <v>66258787.5907794</v>
      </c>
      <c r="E92" s="895" t="n">
        <f aca="false" t="array" ref="E92:E92">'Investment Pro Forma'!E$27-INDEX($B$56:$F$56,MOD(ROW()-70,5)+1)*$B$7*$B$20</f>
        <v>98432609.539575</v>
      </c>
      <c r="F92" s="895" t="n">
        <f aca="false" t="array" ref="F92:F92">'Investment Pro Forma'!F$27-INDEX($B$56:$F$56,MOD(ROW()-70,5)+1)*$B$7*$B$20</f>
        <v>110706859.884074</v>
      </c>
      <c r="G92" s="895" t="n">
        <f aca="false" t="array" ref="G92:G92">'Investment Pro Forma'!G$27-INDEX($B$56:$F$56,MOD(ROW()-70,5)+1)*$B$7*$B$20</f>
        <v>116113401.76226</v>
      </c>
      <c r="H92" s="895" t="n">
        <f aca="false" t="array" ref="H92:H92">'Investment Pro Forma'!H$27-INDEX($B$56:$F$56,MOD(ROW()-70,5)+1)*$B$7*$B$20</f>
        <v>121682139.896792</v>
      </c>
      <c r="I92" s="895" t="n">
        <f aca="false" t="array" ref="I92:I92">'Investment Pro Forma'!I$27-INDEX($B$56:$F$56,MOD(ROW()-70,5)+1)*$B$7*$B$20</f>
        <v>127417940.17536</v>
      </c>
      <c r="J92" s="895" t="n">
        <f aca="false" t="array" ref="J92:J92">'Investment Pro Forma'!J$27-INDEX($B$56:$F$56,MOD(ROW()-70,5)+1)*$B$7*$B$20+'Investment Pro Forma'!J$27*(1+'Investment Pro Forma'!B$10)/INDEX($A$57:$A$61,INT((ROW()-70)/5)+1)*(1-'Investment Pro Forma'!B$12)-(INDEX($B$56:$F$56,MOD(ROW()-70,5)+1)*$B$7*(1+$B$14)^$B$16-(INDEX($B$56:$F$56,MOD(ROW()-70,5)+1)*$B$7*$B$20)*((1+$B$14)^$B$16-1)/$B$14)</f>
        <v>2075344437.36366</v>
      </c>
      <c r="K92" s="896" t="n">
        <f aca="false">IFERROR(IRR(B92:J92),"n/m")</f>
        <v>0.244650679275436</v>
      </c>
    </row>
    <row r="93" customFormat="false" ht="15" hidden="false" customHeight="true" outlineLevel="0" collapsed="false">
      <c r="A93" s="894" t="s">
        <v>4621</v>
      </c>
      <c r="B93" s="895" t="n">
        <f aca="false" t="array" ref="B93:B93">-$B$7*(1-INDEX($B$56:$F$56,MOD(ROW()-70,5)+1))</f>
        <v>-529505823.107789</v>
      </c>
      <c r="C93" s="895" t="n">
        <f aca="false" t="array" ref="C93:C93">'Investment Pro Forma'!C$27-INDEX($B$56:$F$56,MOD(ROW()-70,5)+1)*$B$7*$B$20</f>
        <v>1329167.82131107</v>
      </c>
      <c r="D93" s="895" t="n">
        <f aca="false" t="array" ref="D93:D93">'Investment Pro Forma'!D$27-INDEX($B$56:$F$56,MOD(ROW()-70,5)+1)*$B$7*$B$20</f>
        <v>60466187.3639351</v>
      </c>
      <c r="E93" s="895" t="n">
        <f aca="false" t="array" ref="E93:E93">'Investment Pro Forma'!E$27-INDEX($B$56:$F$56,MOD(ROW()-70,5)+1)*$B$7*$B$20</f>
        <v>92640009.3127307</v>
      </c>
      <c r="F93" s="895" t="n">
        <f aca="false" t="array" ref="F93:F93">'Investment Pro Forma'!F$27-INDEX($B$56:$F$56,MOD(ROW()-70,5)+1)*$B$7*$B$20</f>
        <v>104914259.65723</v>
      </c>
      <c r="G93" s="895" t="n">
        <f aca="false" t="array" ref="G93:G93">'Investment Pro Forma'!G$27-INDEX($B$56:$F$56,MOD(ROW()-70,5)+1)*$B$7*$B$20</f>
        <v>110320801.535416</v>
      </c>
      <c r="H93" s="895" t="n">
        <f aca="false" t="array" ref="H93:H93">'Investment Pro Forma'!H$27-INDEX($B$56:$F$56,MOD(ROW()-70,5)+1)*$B$7*$B$20</f>
        <v>115889539.669948</v>
      </c>
      <c r="I93" s="895" t="n">
        <f aca="false" t="array" ref="I93:I93">'Investment Pro Forma'!I$27-INDEX($B$56:$F$56,MOD(ROW()-70,5)+1)*$B$7*$B$20</f>
        <v>121625339.948515</v>
      </c>
      <c r="J93" s="895" t="n">
        <f aca="false" t="array" ref="J93:J93">'Investment Pro Forma'!J$27-INDEX($B$56:$F$56,MOD(ROW()-70,5)+1)*$B$7*$B$20+'Investment Pro Forma'!J$27*(1+'Investment Pro Forma'!B$10)/INDEX($A$57:$A$61,INT((ROW()-70)/5)+1)*(1-'Investment Pro Forma'!B$12)-(INDEX($B$56:$F$56,MOD(ROW()-70,5)+1)*$B$7*(1+$B$14)^$B$16-(INDEX($B$56:$F$56,MOD(ROW()-70,5)+1)*$B$7*$B$20)*((1+$B$14)^$B$16-1)/$B$14)</f>
        <v>2002733060.39588</v>
      </c>
      <c r="K93" s="896" t="n">
        <f aca="false">IFERROR(IRR(B93:J93),"n/m")</f>
        <v>0.260238398361701</v>
      </c>
    </row>
    <row r="94" customFormat="false" ht="15" hidden="false" customHeight="true" outlineLevel="0" collapsed="false">
      <c r="A94" s="894" t="s">
        <v>4622</v>
      </c>
      <c r="B94" s="895" t="n">
        <f aca="false" t="array" ref="B94:B94">-$B$7*(1-INDEX($B$56:$F$56,MOD(ROW()-70,5)+1))</f>
        <v>-453862134.09239</v>
      </c>
      <c r="C94" s="895" t="n">
        <f aca="false" t="array" ref="C94:C94">'Investment Pro Forma'!C$27-INDEX($B$56:$F$56,MOD(ROW()-70,5)+1)*$B$7*$B$20</f>
        <v>-4463432.40553321</v>
      </c>
      <c r="D94" s="895" t="n">
        <f aca="false" t="array" ref="D94:D94">'Investment Pro Forma'!D$27-INDEX($B$56:$F$56,MOD(ROW()-70,5)+1)*$B$7*$B$20</f>
        <v>54673587.1370908</v>
      </c>
      <c r="E94" s="895" t="n">
        <f aca="false" t="array" ref="E94:E94">'Investment Pro Forma'!E$27-INDEX($B$56:$F$56,MOD(ROW()-70,5)+1)*$B$7*$B$20</f>
        <v>86847409.0858864</v>
      </c>
      <c r="F94" s="895" t="n">
        <f aca="false" t="array" ref="F94:F94">'Investment Pro Forma'!F$27-INDEX($B$56:$F$56,MOD(ROW()-70,5)+1)*$B$7*$B$20</f>
        <v>99121659.4303853</v>
      </c>
      <c r="G94" s="895" t="n">
        <f aca="false" t="array" ref="G94:G94">'Investment Pro Forma'!G$27-INDEX($B$56:$F$56,MOD(ROW()-70,5)+1)*$B$7*$B$20</f>
        <v>104528201.308571</v>
      </c>
      <c r="H94" s="895" t="n">
        <f aca="false" t="array" ref="H94:H94">'Investment Pro Forma'!H$27-INDEX($B$56:$F$56,MOD(ROW()-70,5)+1)*$B$7*$B$20</f>
        <v>110096939.443103</v>
      </c>
      <c r="I94" s="895" t="n">
        <f aca="false" t="array" ref="I94:I94">'Investment Pro Forma'!I$27-INDEX($B$56:$F$56,MOD(ROW()-70,5)+1)*$B$7*$B$20</f>
        <v>115832739.721671</v>
      </c>
      <c r="J94" s="895" t="n">
        <f aca="false" t="array" ref="J94:J94">'Investment Pro Forma'!J$27-INDEX($B$56:$F$56,MOD(ROW()-70,5)+1)*$B$7*$B$20+'Investment Pro Forma'!J$27*(1+'Investment Pro Forma'!B$10)/INDEX($A$57:$A$61,INT((ROW()-70)/5)+1)*(1-'Investment Pro Forma'!B$12)-(INDEX($B$56:$F$56,MOD(ROW()-70,5)+1)*$B$7*(1+$B$14)^$B$16-(INDEX($B$56:$F$56,MOD(ROW()-70,5)+1)*$B$7*$B$20)*((1+$B$14)^$B$16-1)/$B$14)</f>
        <v>1930121683.42809</v>
      </c>
      <c r="K94" s="896" t="n">
        <f aca="false">IFERROR(IRR(B94:J94),"n/m")</f>
        <v>0.279234917410759</v>
      </c>
    </row>
    <row r="96" customFormat="false" ht="15" hidden="false" customHeight="true" outlineLevel="0" collapsed="false">
      <c r="A96" s="897" t="s">
        <v>4623</v>
      </c>
      <c r="B96" s="897"/>
      <c r="C96" s="897"/>
      <c r="D96" s="897"/>
      <c r="E96" s="897"/>
      <c r="F96" s="897"/>
      <c r="G96" s="897"/>
      <c r="H96" s="897"/>
      <c r="I96" s="897"/>
      <c r="J96" s="897"/>
      <c r="K96" s="897"/>
      <c r="L96" s="897"/>
      <c r="M96" s="897"/>
      <c r="N96" s="897"/>
      <c r="O96" s="897"/>
      <c r="P96" s="897"/>
      <c r="Q96" s="897"/>
      <c r="R96" s="897"/>
    </row>
    <row r="97" customFormat="false" ht="15" hidden="false" customHeight="true" outlineLevel="0" collapsed="false">
      <c r="A97" s="897" t="s">
        <v>4554</v>
      </c>
      <c r="B97" s="898" t="n">
        <f aca="false">-N97</f>
        <v>-756436890.153984</v>
      </c>
      <c r="C97" s="898" t="n">
        <f aca="false">'Investment Pro Forma'!C27-$P97</f>
        <v>11019111.0591929</v>
      </c>
      <c r="D97" s="898" t="n">
        <f aca="false">'Investment Pro Forma'!D27-$P97</f>
        <v>70156130.6018169</v>
      </c>
      <c r="E97" s="898" t="n">
        <f aca="false">'Investment Pro Forma'!E27-$P97</f>
        <v>102329952.550613</v>
      </c>
      <c r="F97" s="898" t="n">
        <f aca="false">'Investment Pro Forma'!F27-$P97</f>
        <v>114604202.895111</v>
      </c>
      <c r="G97" s="898" t="n">
        <f aca="false">'Investment Pro Forma'!G27-$P97</f>
        <v>120010744.773298</v>
      </c>
      <c r="H97" s="898" t="n">
        <f aca="false">'Investment Pro Forma'!H27-$P97</f>
        <v>125579482.907829</v>
      </c>
      <c r="I97" s="898" t="n">
        <f aca="false">'Investment Pro Forma'!I27-$P97</f>
        <v>131315283.186397</v>
      </c>
      <c r="J97" s="898" t="n">
        <f aca="false">'Investment Pro Forma'!J27-$P97+'Investment Pro Forma'!$J$28-R97</f>
        <v>2620441884.90083</v>
      </c>
      <c r="K97" s="899" t="n">
        <f aca="false">IFERROR(IRR(B97:J97),"n/m")</f>
        <v>0.233372494848171</v>
      </c>
      <c r="L97" s="900" t="n">
        <f aca="false">SUM(C97:J97)/N97</f>
        <v>4.35655219327583</v>
      </c>
      <c r="M97" s="898" t="n">
        <f aca="false">MIN(F23*$B$7,$B$11*$B$9,($B$8/F26)/O97,$B$8/$B$13)</f>
        <v>756436890.153984</v>
      </c>
      <c r="N97" s="898" t="n">
        <f aca="false">$B$7-M97</f>
        <v>756436890.153984</v>
      </c>
      <c r="O97" s="901" t="n">
        <f aca="false">PMT(F24,$B$15,-1)</f>
        <v>0.0867406925351529</v>
      </c>
      <c r="P97" s="898" t="n">
        <f aca="false">M97*O97</f>
        <v>65613859.711094</v>
      </c>
      <c r="Q97" s="900" t="n">
        <f aca="false">$B$8/P97</f>
        <v>2.51357041919253</v>
      </c>
      <c r="R97" s="898" t="n">
        <f aca="false">M97*(1+F24)^$B$16-P97*((1+F24)^$B$16-1)/F24</f>
        <v>682755053.871709</v>
      </c>
    </row>
    <row r="98" customFormat="false" ht="15" hidden="false" customHeight="true" outlineLevel="0" collapsed="false">
      <c r="A98" s="897" t="s">
        <v>4550</v>
      </c>
      <c r="B98" s="898" t="n">
        <f aca="false">-N98</f>
        <v>-605149512.123187</v>
      </c>
      <c r="C98" s="898" t="n">
        <f aca="false">'Investment Pro Forma'!C27-$P98</f>
        <v>7121768.04815537</v>
      </c>
      <c r="D98" s="898" t="n">
        <f aca="false">'Investment Pro Forma'!D27-$P98</f>
        <v>66258787.5907794</v>
      </c>
      <c r="E98" s="898" t="n">
        <f aca="false">'Investment Pro Forma'!E27-$P98</f>
        <v>98432609.539575</v>
      </c>
      <c r="F98" s="898" t="n">
        <f aca="false">'Investment Pro Forma'!F27-$P98</f>
        <v>110706859.884074</v>
      </c>
      <c r="G98" s="898" t="n">
        <f aca="false">'Investment Pro Forma'!G27-$P98</f>
        <v>116113401.76226</v>
      </c>
      <c r="H98" s="898" t="n">
        <f aca="false">'Investment Pro Forma'!H27-$P98</f>
        <v>121682139.896792</v>
      </c>
      <c r="I98" s="898" t="n">
        <f aca="false">'Investment Pro Forma'!I27-$P98</f>
        <v>127417940.17536</v>
      </c>
      <c r="J98" s="898" t="n">
        <f aca="false">'Investment Pro Forma'!J27-$P98+'Investment Pro Forma'!$J$28-R98</f>
        <v>2497474274.87022</v>
      </c>
      <c r="K98" s="899" t="n">
        <f aca="false">IFERROR(IRR(B98:J98),"n/m")</f>
        <v>0.266511265789023</v>
      </c>
      <c r="L98" s="900" t="n">
        <f aca="false">SUM(C98:J98)/N98</f>
        <v>5.19740612651599</v>
      </c>
      <c r="M98" s="898" t="n">
        <f aca="false">MIN(G23*$B$7,$B$11*$B$9,($B$8/G26)/O98,$B$8/$B$13)</f>
        <v>907724268.184781</v>
      </c>
      <c r="N98" s="898" t="n">
        <f aca="false">$B$7-M98</f>
        <v>605149512.123187</v>
      </c>
      <c r="O98" s="901" t="n">
        <f aca="false">PMT(G24,$B$15,-1)</f>
        <v>0.0765774422459106</v>
      </c>
      <c r="P98" s="898" t="n">
        <f aca="false">M98*O98</f>
        <v>69511202.7221315</v>
      </c>
      <c r="Q98" s="900" t="n">
        <f aca="false">$B$8/P98</f>
        <v>2.37263995442772</v>
      </c>
      <c r="R98" s="898" t="n">
        <f aca="false">M98*(1+G24)^$B$16-P98*((1+G24)^$B$16-1)/G24</f>
        <v>801825320.891279</v>
      </c>
    </row>
    <row r="99" customFormat="false" ht="15" hidden="false" customHeight="true" outlineLevel="0" collapsed="false">
      <c r="A99" s="897" t="s">
        <v>4555</v>
      </c>
      <c r="B99" s="898" t="n">
        <f aca="false">-N99</f>
        <v>-529505823.107789</v>
      </c>
      <c r="C99" s="898" t="n">
        <f aca="false">'Investment Pro Forma'!C27-$P99</f>
        <v>7092887.66039652</v>
      </c>
      <c r="D99" s="898" t="n">
        <f aca="false">'Investment Pro Forma'!D27-$P99</f>
        <v>66229907.2030205</v>
      </c>
      <c r="E99" s="898" t="n">
        <f aca="false">'Investment Pro Forma'!E27-$P99</f>
        <v>98403729.1518161</v>
      </c>
      <c r="F99" s="898" t="n">
        <f aca="false">'Investment Pro Forma'!F27-$P99</f>
        <v>110677979.496315</v>
      </c>
      <c r="G99" s="898" t="n">
        <f aca="false">'Investment Pro Forma'!G27-$P99</f>
        <v>116084521.374501</v>
      </c>
      <c r="H99" s="898" t="n">
        <f aca="false">'Investment Pro Forma'!H27-$P99</f>
        <v>121653259.509033</v>
      </c>
      <c r="I99" s="898" t="n">
        <f aca="false">'Investment Pro Forma'!I27-$P99</f>
        <v>127389059.787601</v>
      </c>
      <c r="J99" s="898" t="n">
        <f aca="false">'Investment Pro Forma'!J27-$P99+'Investment Pro Forma'!$J$28-R99</f>
        <v>2443385836.37216</v>
      </c>
      <c r="K99" s="899" t="n">
        <f aca="false">IFERROR(IRR(B99:J99),"n/m")</f>
        <v>0.290206120962973</v>
      </c>
      <c r="L99" s="900" t="n">
        <f aca="false">SUM(C99:J99)/N99</f>
        <v>5.83736201882267</v>
      </c>
      <c r="M99" s="898" t="n">
        <f aca="false">MIN(H23*$B$7,$B$11*$B$9,($B$8/H26)/O99,$B$8/$B$13)</f>
        <v>983367957.200179</v>
      </c>
      <c r="N99" s="898" t="n">
        <f aca="false">$B$7-M99</f>
        <v>529505823.107789</v>
      </c>
      <c r="O99" s="901" t="n">
        <f aca="false">PMT(H24,$B$15,-1)</f>
        <v>0.0707162386172142</v>
      </c>
      <c r="P99" s="898" t="n">
        <f aca="false">M99*O99</f>
        <v>69540083.1098904</v>
      </c>
      <c r="Q99" s="900" t="n">
        <f aca="false">$B$8/P99</f>
        <v>2.37165458370581</v>
      </c>
      <c r="R99" s="898" t="n">
        <f aca="false">M99*(1+H24)^$B$16-P99*((1+H24)^$B$16-1)/H24</f>
        <v>855884879.001583</v>
      </c>
    </row>
    <row r="100" customFormat="false" ht="15" hidden="false" customHeight="true" outlineLevel="0" collapsed="false">
      <c r="A100" s="897" t="s">
        <v>4556</v>
      </c>
      <c r="B100" s="898" t="n">
        <f aca="false">-N100</f>
        <v>-605149512.123187</v>
      </c>
      <c r="C100" s="898" t="n">
        <f aca="false">'Investment Pro Forma'!C27-$P100</f>
        <v>7121768.04815537</v>
      </c>
      <c r="D100" s="898" t="n">
        <f aca="false">'Investment Pro Forma'!D27-$P100</f>
        <v>66258787.5907794</v>
      </c>
      <c r="E100" s="898" t="n">
        <f aca="false">'Investment Pro Forma'!E27-$P100</f>
        <v>98432609.539575</v>
      </c>
      <c r="F100" s="898" t="n">
        <f aca="false">'Investment Pro Forma'!F27-$P100</f>
        <v>110706859.884074</v>
      </c>
      <c r="G100" s="898" t="n">
        <f aca="false">'Investment Pro Forma'!G27-$P100</f>
        <v>116113401.76226</v>
      </c>
      <c r="H100" s="898" t="n">
        <f aca="false">'Investment Pro Forma'!H27-$P100</f>
        <v>121682139.896792</v>
      </c>
      <c r="I100" s="898" t="n">
        <f aca="false">'Investment Pro Forma'!I27-$P100</f>
        <v>127417940.17536</v>
      </c>
      <c r="J100" s="898" t="n">
        <f aca="false">'Investment Pro Forma'!J27-$P100+'Investment Pro Forma'!$J$28-R100</f>
        <v>2497474274.87022</v>
      </c>
      <c r="K100" s="899" t="n">
        <f aca="false">IFERROR(IRR(B100:J100),"n/m")</f>
        <v>0.266511265789023</v>
      </c>
      <c r="L100" s="900" t="n">
        <f aca="false">SUM(C100:J100)/N100</f>
        <v>5.19740612651599</v>
      </c>
      <c r="M100" s="898" t="n">
        <f aca="false">MIN(I23*$B$7,$B$11*$B$9,($B$8/I26)/O100,$B$8/$B$13)</f>
        <v>907724268.184781</v>
      </c>
      <c r="N100" s="898" t="n">
        <f aca="false">$B$7-M100</f>
        <v>605149512.123187</v>
      </c>
      <c r="O100" s="901" t="n">
        <f aca="false">PMT(I24,$B$15,-1)</f>
        <v>0.0765774422459106</v>
      </c>
      <c r="P100" s="898" t="n">
        <f aca="false">M100*O100</f>
        <v>69511202.7221315</v>
      </c>
      <c r="Q100" s="900" t="n">
        <f aca="false">$B$8/P100</f>
        <v>2.37263995442772</v>
      </c>
      <c r="R100" s="898" t="n">
        <f aca="false">M100*(1+I24)^$B$16-P100*((1+I24)^$B$16-1)/I24</f>
        <v>801825320.891279</v>
      </c>
    </row>
    <row r="103" customFormat="false" ht="15" hidden="false" customHeight="true" outlineLevel="0" collapsed="false">
      <c r="A103" s="141" t="s">
        <v>4624</v>
      </c>
    </row>
    <row r="104" customFormat="false" ht="15" hidden="false" customHeight="true" outlineLevel="0" collapsed="false">
      <c r="A104" s="1" t="s">
        <v>4625</v>
      </c>
      <c r="B104" s="873" t="n">
        <v>0.9</v>
      </c>
    </row>
    <row r="105" customFormat="false" ht="15" hidden="false" customHeight="true" outlineLevel="0" collapsed="false">
      <c r="A105" s="1" t="s">
        <v>4626</v>
      </c>
      <c r="B105" s="902" t="n">
        <f aca="false">1-B104</f>
        <v>0.1</v>
      </c>
    </row>
    <row r="106" customFormat="false" ht="15" hidden="false" customHeight="true" outlineLevel="0" collapsed="false">
      <c r="A106" s="1" t="s">
        <v>4627</v>
      </c>
      <c r="B106" s="873" t="n">
        <v>0.08</v>
      </c>
    </row>
    <row r="107" customFormat="false" ht="15" hidden="false" customHeight="true" outlineLevel="0" collapsed="false">
      <c r="A107" s="1" t="s">
        <v>4628</v>
      </c>
      <c r="B107" s="873" t="n">
        <v>0.2</v>
      </c>
    </row>
    <row r="108" customFormat="false" ht="15" hidden="false" customHeight="true" outlineLevel="0" collapsed="false">
      <c r="A108" s="1" t="s">
        <v>4629</v>
      </c>
      <c r="B108" s="903" t="n">
        <f aca="false">B104*$B$27</f>
        <v>544634560.910868</v>
      </c>
    </row>
    <row r="109" customFormat="false" ht="15" hidden="false" customHeight="true" outlineLevel="0" collapsed="false">
      <c r="A109" s="1" t="s">
        <v>4630</v>
      </c>
      <c r="B109" s="903" t="n">
        <f aca="false">B105*$B$27</f>
        <v>60514951.2123187</v>
      </c>
    </row>
    <row r="111" customFormat="false" ht="15" hidden="false" customHeight="true" outlineLevel="0" collapsed="false">
      <c r="A111" s="834" t="s">
        <v>4631</v>
      </c>
      <c r="B111" s="904" t="str">
        <f aca="false">B34</f>
        <v>Year 0</v>
      </c>
      <c r="C111" s="904" t="n">
        <f aca="false">C34</f>
        <v>1</v>
      </c>
      <c r="D111" s="904" t="n">
        <f aca="false">D34</f>
        <v>2</v>
      </c>
      <c r="E111" s="904" t="n">
        <f aca="false">E34</f>
        <v>3</v>
      </c>
      <c r="F111" s="904" t="n">
        <f aca="false">F34</f>
        <v>4</v>
      </c>
      <c r="G111" s="904" t="n">
        <f aca="false">G34</f>
        <v>5</v>
      </c>
      <c r="H111" s="904" t="n">
        <f aca="false">H34</f>
        <v>6</v>
      </c>
      <c r="I111" s="904" t="n">
        <f aca="false">I34</f>
        <v>7</v>
      </c>
      <c r="J111" s="904" t="n">
        <f aca="false">J34</f>
        <v>8</v>
      </c>
    </row>
    <row r="112" customFormat="false" ht="15" hidden="false" customHeight="true" outlineLevel="0" collapsed="false">
      <c r="A112" s="1" t="s">
        <v>4632</v>
      </c>
      <c r="B112" s="903" t="n">
        <f aca="false">B40</f>
        <v>-605149512.123187</v>
      </c>
      <c r="C112" s="903" t="n">
        <f aca="false">C40</f>
        <v>7121768.04815537</v>
      </c>
      <c r="D112" s="903" t="n">
        <f aca="false">D40</f>
        <v>66258787.5907794</v>
      </c>
      <c r="E112" s="903" t="n">
        <f aca="false">E40</f>
        <v>98432609.539575</v>
      </c>
      <c r="F112" s="903" t="n">
        <f aca="false">F40</f>
        <v>110706859.884074</v>
      </c>
      <c r="G112" s="903" t="n">
        <f aca="false">G40</f>
        <v>116113401.76226</v>
      </c>
      <c r="H112" s="903" t="n">
        <f aca="false">H40</f>
        <v>121682139.896792</v>
      </c>
      <c r="I112" s="903" t="n">
        <f aca="false">I40</f>
        <v>127417940.17536</v>
      </c>
      <c r="J112" s="903" t="n">
        <f aca="false">J40</f>
        <v>2497474274.87022</v>
      </c>
    </row>
    <row r="113" customFormat="false" ht="15" hidden="false" customHeight="true" outlineLevel="0" collapsed="false">
      <c r="A113" s="1" t="s">
        <v>4633</v>
      </c>
      <c r="B113" s="903" t="n">
        <f aca="false">B27</f>
        <v>605149512.123187</v>
      </c>
      <c r="C113" s="903" t="n">
        <f aca="false">B113*(1+$B$106)-C115</f>
        <v>646439705.044887</v>
      </c>
      <c r="D113" s="903" t="n">
        <f aca="false">C113*(1+$B$106)-D115</f>
        <v>631896093.857698</v>
      </c>
      <c r="E113" s="903" t="n">
        <f aca="false">D113*(1+$B$106)-E115</f>
        <v>584015171.826739</v>
      </c>
      <c r="F113" s="903" t="n">
        <f aca="false">E113*(1+$B$106)-F115</f>
        <v>520029525.688804</v>
      </c>
      <c r="G113" s="903" t="n">
        <f aca="false">F113*(1+$B$106)-G115</f>
        <v>445518485.981649</v>
      </c>
      <c r="H113" s="903" t="n">
        <f aca="false">G113*(1+$B$106)-H115</f>
        <v>359477824.963389</v>
      </c>
      <c r="I113" s="903" t="n">
        <f aca="false">H113*(1+$B$106)-I115</f>
        <v>260818110.7851</v>
      </c>
      <c r="J113" s="903" t="n">
        <f aca="false">I113*(1+$B$106)-J115</f>
        <v>0</v>
      </c>
    </row>
    <row r="114" customFormat="false" ht="15" hidden="false" customHeight="true" outlineLevel="0" collapsed="false">
      <c r="A114" s="1" t="s">
        <v>4634</v>
      </c>
      <c r="C114" s="903" t="n">
        <f aca="false">B113*$B$106</f>
        <v>48411960.969855</v>
      </c>
      <c r="D114" s="903" t="n">
        <f aca="false">C113*$B$106</f>
        <v>51715176.4035909</v>
      </c>
      <c r="E114" s="903" t="n">
        <f aca="false">D113*$B$106</f>
        <v>50551687.5086159</v>
      </c>
      <c r="F114" s="903" t="n">
        <f aca="false">E113*$B$106</f>
        <v>46721213.7461391</v>
      </c>
      <c r="G114" s="903" t="n">
        <f aca="false">F113*$B$106</f>
        <v>41602362.0551044</v>
      </c>
      <c r="H114" s="903" t="n">
        <f aca="false">G113*$B$106</f>
        <v>35641478.8785319</v>
      </c>
      <c r="I114" s="903" t="n">
        <f aca="false">H113*$B$106</f>
        <v>28758225.9970711</v>
      </c>
      <c r="J114" s="903" t="n">
        <f aca="false">I113*$B$106</f>
        <v>20865448.862808</v>
      </c>
    </row>
    <row r="115" customFormat="false" ht="15" hidden="false" customHeight="true" outlineLevel="0" collapsed="false">
      <c r="A115" s="1" t="s">
        <v>4635</v>
      </c>
      <c r="C115" s="903" t="n">
        <f aca="false">MIN(MAX(C112,0),B113*(1+$B$106))</f>
        <v>7121768.04815537</v>
      </c>
      <c r="D115" s="903" t="n">
        <f aca="false">MIN(MAX(D112,0),C113*(1+$B$106))</f>
        <v>66258787.5907794</v>
      </c>
      <c r="E115" s="903" t="n">
        <f aca="false">MIN(MAX(E112,0),D113*(1+$B$106))</f>
        <v>98432609.539575</v>
      </c>
      <c r="F115" s="903" t="n">
        <f aca="false">MIN(MAX(F112,0),E113*(1+$B$106))</f>
        <v>110706859.884074</v>
      </c>
      <c r="G115" s="903" t="n">
        <f aca="false">MIN(MAX(G112,0),F113*(1+$B$106))</f>
        <v>116113401.76226</v>
      </c>
      <c r="H115" s="903" t="n">
        <f aca="false">MIN(MAX(H112,0),G113*(1+$B$106))</f>
        <v>121682139.896792</v>
      </c>
      <c r="I115" s="903" t="n">
        <f aca="false">MIN(MAX(I112,0),H113*(1+$B$106))</f>
        <v>127417940.17536</v>
      </c>
      <c r="J115" s="903" t="n">
        <f aca="false">MIN(MAX(J112,0),I113*(1+$B$106))</f>
        <v>281683559.647908</v>
      </c>
    </row>
    <row r="116" customFormat="false" ht="15" hidden="false" customHeight="true" outlineLevel="0" collapsed="false">
      <c r="A116" s="1" t="s">
        <v>4636</v>
      </c>
      <c r="C116" s="903" t="n">
        <f aca="false">MAX(0,C112-C115)</f>
        <v>0</v>
      </c>
      <c r="D116" s="903" t="n">
        <f aca="false">MAX(0,D112-D115)</f>
        <v>0</v>
      </c>
      <c r="E116" s="903" t="n">
        <f aca="false">MAX(0,E112-E115)</f>
        <v>0</v>
      </c>
      <c r="F116" s="903" t="n">
        <f aca="false">MAX(0,F112-F115)</f>
        <v>0</v>
      </c>
      <c r="G116" s="903" t="n">
        <f aca="false">MAX(0,G112-G115)</f>
        <v>0</v>
      </c>
      <c r="H116" s="903" t="n">
        <f aca="false">MAX(0,H112-H115)</f>
        <v>0</v>
      </c>
      <c r="I116" s="903" t="n">
        <f aca="false">MAX(0,I112-I115)</f>
        <v>0</v>
      </c>
      <c r="J116" s="903" t="n">
        <f aca="false">MAX(0,J112-J115)</f>
        <v>2215790715.22231</v>
      </c>
    </row>
    <row r="117" customFormat="false" ht="15" hidden="false" customHeight="true" outlineLevel="0" collapsed="false">
      <c r="A117" s="163" t="s">
        <v>4637</v>
      </c>
      <c r="B117" s="774" t="n">
        <f aca="false">-$B$108</f>
        <v>-544634560.910868</v>
      </c>
      <c r="C117" s="774" t="n">
        <f aca="false">$B$104*C115+(1-$B$107)*C116</f>
        <v>6409591.24333983</v>
      </c>
      <c r="D117" s="774" t="n">
        <f aca="false">$B$104*D115+(1-$B$107)*D116</f>
        <v>59632908.8317014</v>
      </c>
      <c r="E117" s="774" t="n">
        <f aca="false">$B$104*E115+(1-$B$107)*E116</f>
        <v>88589348.5856175</v>
      </c>
      <c r="F117" s="774" t="n">
        <f aca="false">$B$104*F115+(1-$B$107)*F116</f>
        <v>99636173.8956665</v>
      </c>
      <c r="G117" s="774" t="n">
        <f aca="false">$B$104*G115+(1-$B$107)*G116</f>
        <v>104502061.586034</v>
      </c>
      <c r="H117" s="774" t="n">
        <f aca="false">$B$104*H115+(1-$B$107)*H116</f>
        <v>109513925.907113</v>
      </c>
      <c r="I117" s="774" t="n">
        <f aca="false">$B$104*I115+(1-$B$107)*I116</f>
        <v>114676146.157824</v>
      </c>
      <c r="J117" s="774" t="n">
        <f aca="false">$B$104*J115+(1-$B$107)*J116</f>
        <v>2026147775.86097</v>
      </c>
    </row>
    <row r="118" customFormat="false" ht="15" hidden="false" customHeight="true" outlineLevel="0" collapsed="false">
      <c r="A118" s="163" t="s">
        <v>4638</v>
      </c>
      <c r="B118" s="774" t="n">
        <f aca="false">-$B$109</f>
        <v>-60514951.2123187</v>
      </c>
      <c r="C118" s="774" t="n">
        <f aca="false">$B$105*C115+$B$107*C116</f>
        <v>712176.804815537</v>
      </c>
      <c r="D118" s="774" t="n">
        <f aca="false">$B$105*D115+$B$107*D116</f>
        <v>6625878.75907793</v>
      </c>
      <c r="E118" s="774" t="n">
        <f aca="false">$B$105*E115+$B$107*E116</f>
        <v>9843260.9539575</v>
      </c>
      <c r="F118" s="774" t="n">
        <f aca="false">$B$105*F115+$B$107*F116</f>
        <v>11070685.9884074</v>
      </c>
      <c r="G118" s="774" t="n">
        <f aca="false">$B$105*G115+$B$107*G116</f>
        <v>11611340.176226</v>
      </c>
      <c r="H118" s="774" t="n">
        <f aca="false">$B$105*H115+$B$107*H116</f>
        <v>12168213.9896792</v>
      </c>
      <c r="I118" s="774" t="n">
        <f aca="false">$B$105*I115+$B$107*I116</f>
        <v>12741794.017536</v>
      </c>
      <c r="J118" s="774" t="n">
        <f aca="false">$B$105*J115+$B$107*J116</f>
        <v>471326499.009253</v>
      </c>
    </row>
    <row r="119" customFormat="false" ht="15" hidden="false" customHeight="true" outlineLevel="0" collapsed="false">
      <c r="A119" s="905" t="s">
        <v>4639</v>
      </c>
      <c r="B119" s="906" t="n">
        <f aca="false">B117+B118-B112</f>
        <v>0</v>
      </c>
      <c r="C119" s="906" t="n">
        <f aca="false">C117+C118-C112</f>
        <v>0</v>
      </c>
      <c r="D119" s="906" t="n">
        <f aca="false">D117+D118-D112</f>
        <v>0</v>
      </c>
      <c r="E119" s="906" t="n">
        <f aca="false">E117+E118-E112</f>
        <v>0</v>
      </c>
      <c r="F119" s="906" t="n">
        <f aca="false">F117+F118-F112</f>
        <v>0</v>
      </c>
      <c r="G119" s="906" t="n">
        <f aca="false">G117+G118-G112</f>
        <v>0</v>
      </c>
      <c r="H119" s="906" t="n">
        <f aca="false">H117+H118-H112</f>
        <v>0</v>
      </c>
      <c r="I119" s="906" t="n">
        <f aca="false">I117+I118-I112</f>
        <v>0</v>
      </c>
      <c r="J119" s="906" t="n">
        <f aca="false">J117+J118-J112</f>
        <v>0</v>
      </c>
    </row>
    <row r="121" customFormat="false" ht="15" hidden="false" customHeight="true" outlineLevel="0" collapsed="false">
      <c r="A121" s="117" t="s">
        <v>4640</v>
      </c>
    </row>
    <row r="122" customFormat="false" ht="15" hidden="false" customHeight="true" outlineLevel="0" collapsed="false">
      <c r="B122" s="904" t="s">
        <v>4641</v>
      </c>
      <c r="C122" s="904" t="s">
        <v>4642</v>
      </c>
    </row>
    <row r="123" customFormat="false" ht="15" hidden="false" customHeight="true" outlineLevel="0" collapsed="false">
      <c r="A123" s="163" t="s">
        <v>4643</v>
      </c>
      <c r="B123" s="907" t="n">
        <f aca="false">IFERROR(IRR(B117:J117),"n/m")</f>
        <v>0.254124695687374</v>
      </c>
      <c r="C123" s="907" t="n">
        <f aca="false">IFERROR(IRR(B118:J118),"n/m")</f>
        <v>0.349549579610347</v>
      </c>
    </row>
    <row r="124" customFormat="false" ht="15" hidden="false" customHeight="true" outlineLevel="0" collapsed="false">
      <c r="A124" s="163" t="s">
        <v>4457</v>
      </c>
      <c r="B124" s="908" t="n">
        <f aca="false">SUM(C117:J117)/B108</f>
        <v>4.79056622426731</v>
      </c>
      <c r="C124" s="908" t="n">
        <f aca="false">SUM(C118:J118)/B109</f>
        <v>8.85896524675412</v>
      </c>
    </row>
    <row r="125" customFormat="false" ht="15" hidden="false" customHeight="true" outlineLevel="0" collapsed="false">
      <c r="A125" s="1" t="s">
        <v>4644</v>
      </c>
      <c r="B125" s="903" t="n">
        <f aca="false">B108</f>
        <v>544634560.910868</v>
      </c>
      <c r="C125" s="903" t="n">
        <f aca="false">B109</f>
        <v>60514951.2123187</v>
      </c>
    </row>
    <row r="126" customFormat="false" ht="15" hidden="false" customHeight="true" outlineLevel="0" collapsed="false">
      <c r="A126" s="1" t="s">
        <v>4645</v>
      </c>
      <c r="B126" s="903" t="n">
        <f aca="false">SUM(C117:J117)</f>
        <v>2609107932.06826</v>
      </c>
      <c r="C126" s="903" t="n">
        <f aca="false">SUM(C118:J118)</f>
        <v>536099849.698953</v>
      </c>
    </row>
    <row r="127" customFormat="false" ht="15" hidden="false" customHeight="true" outlineLevel="0" collapsed="false">
      <c r="A127" s="163" t="s">
        <v>4646</v>
      </c>
      <c r="B127" s="774" t="n">
        <f aca="false">B126-B125</f>
        <v>2064473371.15739</v>
      </c>
      <c r="C127" s="774" t="n">
        <f aca="false">C126-C125</f>
        <v>475584898.486634</v>
      </c>
    </row>
    <row r="129" customFormat="false" ht="15" hidden="false" customHeight="true" outlineLevel="0" collapsed="false">
      <c r="A129" s="1" t="s">
        <v>4647</v>
      </c>
      <c r="B129" s="774" t="n">
        <f aca="false">$B$107*SUM(C116:J116)</f>
        <v>443158143.044462</v>
      </c>
    </row>
    <row r="130" customFormat="false" ht="15" hidden="false" customHeight="true" outlineLevel="0" collapsed="false">
      <c r="A130" s="905" t="s">
        <v>4648</v>
      </c>
      <c r="B130" s="909" t="n">
        <f aca="false">IFERROR(IRR(B112:J112),"n/m")</f>
        <v>0.266511265789023</v>
      </c>
    </row>
  </sheetData>
  <mergeCells count="9">
    <mergeCell ref="A1:K1"/>
    <mergeCell ref="A3:K4"/>
    <mergeCell ref="A6:K6"/>
    <mergeCell ref="A19:K19"/>
    <mergeCell ref="A33:K33"/>
    <mergeCell ref="A45:K45"/>
    <mergeCell ref="A55:K55"/>
    <mergeCell ref="A63:K63"/>
    <mergeCell ref="A69:K69"/>
  </mergeCells>
  <conditionalFormatting sqref="F23:I26">
    <cfRule type="expression" priority="2" aboveAverage="0" equalAverage="0" bottom="0" percent="0" rank="0" text="" dxfId="29">
      <formula>F$22=$G$21</formula>
    </cfRule>
  </conditionalFormatting>
  <conditionalFormatting sqref="F29:I32">
    <cfRule type="expression" priority="3" aboveAverage="0" equalAverage="0" bottom="0" percent="0" rank="0" text="" dxfId="29">
      <formula>F$22=$G$21</formula>
    </cfRule>
  </conditionalFormatting>
  <dataValidations count="1">
    <dataValidation allowBlank="true" errorStyle="stop" operator="between" showDropDown="false" showErrorMessage="true" showInputMessage="true" sqref="G21" type="list">
      <formula1>"Downside,Base,Upside,Custom"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N1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421875" defaultRowHeight="15" zeroHeight="false" outlineLevelRow="0" outlineLevelCol="0"/>
  <cols>
    <col collapsed="false" customWidth="true" hidden="false" outlineLevel="0" max="1" min="1" style="1" width="47.29"/>
    <col collapsed="false" customWidth="true" hidden="false" outlineLevel="0" max="11" min="2" style="1" width="19"/>
  </cols>
  <sheetData>
    <row r="1" customFormat="false" ht="25.5" hidden="false" customHeight="true" outlineLevel="0" collapsed="false">
      <c r="A1" s="105" t="s">
        <v>4649</v>
      </c>
      <c r="B1" s="105"/>
      <c r="C1" s="105"/>
      <c r="D1" s="105"/>
      <c r="E1" s="105"/>
      <c r="F1" s="105"/>
      <c r="G1" s="105"/>
      <c r="H1" s="105"/>
      <c r="I1" s="105"/>
      <c r="J1" s="105"/>
      <c r="K1" s="105"/>
    </row>
    <row r="2" customFormat="false" ht="18" hidden="false" customHeight="true" outlineLevel="0" collapsed="false"/>
    <row r="3" customFormat="false" ht="31.5" hidden="false" customHeight="true" outlineLevel="0" collapsed="false">
      <c r="A3" s="812" t="s">
        <v>4650</v>
      </c>
      <c r="B3" s="812"/>
      <c r="C3" s="812"/>
      <c r="D3" s="812"/>
      <c r="E3" s="812"/>
      <c r="F3" s="812"/>
      <c r="G3" s="812"/>
      <c r="H3" s="812"/>
      <c r="I3" s="812"/>
      <c r="J3" s="812"/>
      <c r="K3" s="812"/>
    </row>
    <row r="4" customFormat="false" ht="18" hidden="false" customHeight="true" outlineLevel="0" collapsed="false">
      <c r="A4" s="812"/>
      <c r="B4" s="812"/>
      <c r="C4" s="812"/>
      <c r="D4" s="812"/>
      <c r="E4" s="812"/>
      <c r="F4" s="812"/>
      <c r="G4" s="812"/>
      <c r="H4" s="812"/>
      <c r="I4" s="812"/>
      <c r="J4" s="812"/>
      <c r="K4" s="812"/>
    </row>
    <row r="5" customFormat="false" ht="18" hidden="false" customHeight="true" outlineLevel="0" collapsed="false">
      <c r="M5" s="254" t="s">
        <v>4651</v>
      </c>
    </row>
    <row r="6" customFormat="false" ht="18" hidden="false" customHeight="true" outlineLevel="0" collapsed="false">
      <c r="A6" s="7" t="s">
        <v>4652</v>
      </c>
      <c r="B6" s="7"/>
      <c r="C6" s="7"/>
      <c r="D6" s="7"/>
      <c r="E6" s="7"/>
      <c r="F6" s="7"/>
      <c r="G6" s="7"/>
      <c r="H6" s="7"/>
      <c r="I6" s="7"/>
      <c r="J6" s="7"/>
      <c r="K6" s="7"/>
      <c r="M6" s="255" t="s">
        <v>4653</v>
      </c>
      <c r="N6" s="271" t="n">
        <f aca="false">C27</f>
        <v>76632970.7702869</v>
      </c>
    </row>
    <row r="7" customFormat="false" ht="18" hidden="false" customHeight="true" outlineLevel="0" collapsed="false">
      <c r="A7" s="60" t="s">
        <v>4654</v>
      </c>
      <c r="B7" s="853" t="n">
        <f aca="false">'Total Development Cost'!C35</f>
        <v>1512873780.30797</v>
      </c>
      <c r="M7" s="255" t="s">
        <v>4655</v>
      </c>
      <c r="N7" s="271" t="n">
        <f aca="false">D27</f>
        <v>135769990.312911</v>
      </c>
    </row>
    <row r="8" customFormat="false" ht="18" hidden="false" customHeight="true" outlineLevel="0" collapsed="false">
      <c r="A8" s="60" t="s">
        <v>4656</v>
      </c>
      <c r="B8" s="910" t="n">
        <f aca="false">'Campus Rollup'!D16</f>
        <v>90</v>
      </c>
      <c r="M8" s="255" t="s">
        <v>4657</v>
      </c>
      <c r="N8" s="271" t="n">
        <f aca="false">E27</f>
        <v>167943812.261707</v>
      </c>
    </row>
    <row r="9" customFormat="false" ht="18" hidden="false" customHeight="true" outlineLevel="0" collapsed="false">
      <c r="A9" s="60" t="s">
        <v>3296</v>
      </c>
      <c r="B9" s="911" t="n">
        <v>165</v>
      </c>
      <c r="M9" s="255" t="s">
        <v>4658</v>
      </c>
      <c r="N9" s="271" t="n">
        <f aca="false">F27</f>
        <v>180218062.606205</v>
      </c>
    </row>
    <row r="10" customFormat="false" ht="18" hidden="false" customHeight="true" outlineLevel="0" collapsed="false">
      <c r="A10" s="60" t="s">
        <v>4659</v>
      </c>
      <c r="B10" s="821" t="n">
        <v>0.03</v>
      </c>
      <c r="M10" s="255" t="s">
        <v>4660</v>
      </c>
      <c r="N10" s="271" t="n">
        <f aca="false">G27</f>
        <v>185624604.484392</v>
      </c>
    </row>
    <row r="11" customFormat="false" ht="18" hidden="false" customHeight="true" outlineLevel="0" collapsed="false">
      <c r="A11" s="60" t="s">
        <v>3295</v>
      </c>
      <c r="B11" s="823" t="n">
        <v>0.065</v>
      </c>
      <c r="M11" s="255" t="s">
        <v>4661</v>
      </c>
      <c r="N11" s="271" t="n">
        <f aca="false">H27</f>
        <v>191193342.618923</v>
      </c>
    </row>
    <row r="12" customFormat="false" ht="18" hidden="false" customHeight="true" outlineLevel="0" collapsed="false">
      <c r="A12" s="60" t="s">
        <v>4662</v>
      </c>
      <c r="B12" s="821" t="n">
        <v>0.015</v>
      </c>
      <c r="M12" s="255" t="s">
        <v>4663</v>
      </c>
      <c r="N12" s="271" t="n">
        <f aca="false">I27</f>
        <v>196929142.897491</v>
      </c>
    </row>
    <row r="13" customFormat="false" ht="18" hidden="false" customHeight="true" outlineLevel="0" collapsed="false">
      <c r="A13" s="60" t="s">
        <v>4664</v>
      </c>
      <c r="B13" s="821" t="n">
        <v>0.085</v>
      </c>
      <c r="M13" s="255" t="s">
        <v>4665</v>
      </c>
      <c r="N13" s="271" t="n">
        <f aca="false">J27</f>
        <v>202837017.184416</v>
      </c>
    </row>
    <row r="14" customFormat="false" ht="18" hidden="false" customHeight="true" outlineLevel="0" collapsed="false">
      <c r="A14" s="60" t="s">
        <v>4666</v>
      </c>
      <c r="B14" s="822" t="n">
        <v>0.95</v>
      </c>
    </row>
    <row r="15" customFormat="false" ht="18" hidden="false" customHeight="true" outlineLevel="0" collapsed="false">
      <c r="A15" s="60" t="s">
        <v>4667</v>
      </c>
      <c r="B15" s="822" t="n">
        <v>0.95</v>
      </c>
    </row>
    <row r="16" customFormat="false" ht="18" hidden="false" customHeight="true" outlineLevel="0" collapsed="false">
      <c r="A16" s="7" t="s">
        <v>4668</v>
      </c>
      <c r="B16" s="7"/>
      <c r="C16" s="7"/>
      <c r="D16" s="7"/>
      <c r="E16" s="7"/>
      <c r="F16" s="7"/>
      <c r="G16" s="7"/>
      <c r="H16" s="7"/>
      <c r="I16" s="7"/>
      <c r="J16" s="7"/>
      <c r="K16" s="7"/>
    </row>
    <row r="17" customFormat="false" ht="18" hidden="false" customHeight="true" outlineLevel="0" collapsed="false">
      <c r="A17" s="829" t="s">
        <v>4669</v>
      </c>
      <c r="B17" s="912"/>
      <c r="C17" s="884" t="n">
        <v>1</v>
      </c>
      <c r="D17" s="884" t="n">
        <v>2</v>
      </c>
      <c r="E17" s="884" t="n">
        <v>3</v>
      </c>
      <c r="F17" s="884" t="n">
        <v>4</v>
      </c>
      <c r="G17" s="884" t="n">
        <v>5</v>
      </c>
      <c r="H17" s="884" t="n">
        <v>6</v>
      </c>
      <c r="I17" s="884" t="n">
        <v>7</v>
      </c>
      <c r="J17" s="884" t="n">
        <v>8</v>
      </c>
      <c r="K17" s="912"/>
    </row>
    <row r="18" customFormat="false" ht="18" hidden="false" customHeight="true" outlineLevel="0" collapsed="false">
      <c r="A18" s="60" t="s">
        <v>4670</v>
      </c>
      <c r="C18" s="822" t="n">
        <v>0.55</v>
      </c>
      <c r="D18" s="822" t="n">
        <v>0.8</v>
      </c>
      <c r="E18" s="822" t="n">
        <v>0.92</v>
      </c>
      <c r="F18" s="822" t="n">
        <v>0.95</v>
      </c>
      <c r="G18" s="822" t="n">
        <v>0.95</v>
      </c>
      <c r="H18" s="822" t="n">
        <v>0.95</v>
      </c>
      <c r="I18" s="822" t="n">
        <v>0.95</v>
      </c>
      <c r="J18" s="822" t="n">
        <v>0.95</v>
      </c>
    </row>
    <row r="19" customFormat="false" ht="18" hidden="false" customHeight="true" outlineLevel="0" collapsed="false"/>
    <row r="20" customFormat="false" ht="18" hidden="false" customHeight="true" outlineLevel="0" collapsed="false">
      <c r="A20" s="7" t="s">
        <v>4671</v>
      </c>
      <c r="B20" s="7"/>
      <c r="C20" s="7"/>
      <c r="D20" s="7"/>
      <c r="E20" s="7"/>
      <c r="F20" s="7"/>
      <c r="G20" s="7"/>
      <c r="H20" s="7"/>
      <c r="I20" s="7"/>
      <c r="J20" s="7"/>
      <c r="K20" s="7"/>
    </row>
    <row r="21" customFormat="false" ht="18" hidden="false" customHeight="true" outlineLevel="0" collapsed="false">
      <c r="A21" s="829" t="s">
        <v>4572</v>
      </c>
      <c r="B21" s="884" t="s">
        <v>4573</v>
      </c>
      <c r="C21" s="884" t="n">
        <v>1</v>
      </c>
      <c r="D21" s="884" t="n">
        <v>2</v>
      </c>
      <c r="E21" s="884" t="n">
        <v>3</v>
      </c>
      <c r="F21" s="884" t="n">
        <v>4</v>
      </c>
      <c r="G21" s="884" t="n">
        <v>5</v>
      </c>
      <c r="H21" s="884" t="n">
        <v>6</v>
      </c>
      <c r="I21" s="884" t="n">
        <v>7</v>
      </c>
      <c r="J21" s="884" t="n">
        <v>8</v>
      </c>
      <c r="K21" s="884" t="s">
        <v>4672</v>
      </c>
    </row>
    <row r="22" customFormat="false" ht="18" hidden="false" customHeight="true" outlineLevel="0" collapsed="false">
      <c r="A22" s="60" t="s">
        <v>4673</v>
      </c>
      <c r="C22" s="913" t="n">
        <f aca="false">$B$8*1000*C18</f>
        <v>49500</v>
      </c>
      <c r="D22" s="913" t="n">
        <f aca="false">$B$8*1000*D18</f>
        <v>72000</v>
      </c>
      <c r="E22" s="913" t="n">
        <f aca="false">$B$8*1000*E18</f>
        <v>82800</v>
      </c>
      <c r="F22" s="913" t="n">
        <f aca="false">$B$8*1000*F18</f>
        <v>85500</v>
      </c>
      <c r="G22" s="913" t="n">
        <f aca="false">$B$8*1000*G18</f>
        <v>85500</v>
      </c>
      <c r="H22" s="913" t="n">
        <f aca="false">$B$8*1000*H18</f>
        <v>85500</v>
      </c>
      <c r="I22" s="913" t="n">
        <f aca="false">$B$8*1000*I18</f>
        <v>85500</v>
      </c>
      <c r="J22" s="913" t="n">
        <f aca="false">$B$8*1000*J18</f>
        <v>85500</v>
      </c>
    </row>
    <row r="23" customFormat="false" ht="18" hidden="false" customHeight="true" outlineLevel="0" collapsed="false">
      <c r="A23" s="60" t="s">
        <v>4674</v>
      </c>
      <c r="C23" s="914" t="n">
        <f aca="false">$B$9*(1+$B$10)^(C17-1)</f>
        <v>165</v>
      </c>
      <c r="D23" s="914" t="n">
        <f aca="false">$B$9*(1+$B$10)^(D17-1)</f>
        <v>169.95</v>
      </c>
      <c r="E23" s="914" t="n">
        <f aca="false">$B$9*(1+$B$10)^(E17-1)</f>
        <v>175.0485</v>
      </c>
      <c r="F23" s="914" t="n">
        <f aca="false">$B$9*(1+$B$10)^(F17-1)</f>
        <v>180.299955</v>
      </c>
      <c r="G23" s="914" t="n">
        <f aca="false">$B$9*(1+$B$10)^(G17-1)</f>
        <v>185.70895365</v>
      </c>
      <c r="H23" s="914" t="n">
        <f aca="false">$B$9*(1+$B$10)^(H17-1)</f>
        <v>191.2802222595</v>
      </c>
      <c r="I23" s="914" t="n">
        <f aca="false">$B$9*(1+$B$10)^(I17-1)</f>
        <v>197.018628927285</v>
      </c>
      <c r="J23" s="914" t="n">
        <f aca="false">$B$9*(1+$B$10)^(J17-1)</f>
        <v>202.929187795104</v>
      </c>
    </row>
    <row r="24" customFormat="false" ht="18" hidden="false" customHeight="true" outlineLevel="0" collapsed="false">
      <c r="A24" s="60" t="s">
        <v>4675</v>
      </c>
      <c r="C24" s="820" t="n">
        <f aca="false">C22*C23*12</f>
        <v>98010000</v>
      </c>
      <c r="D24" s="820" t="n">
        <f aca="false">D22*D23*12</f>
        <v>146836800</v>
      </c>
      <c r="E24" s="820" t="n">
        <f aca="false">E22*E23*12</f>
        <v>173928189.6</v>
      </c>
      <c r="F24" s="820" t="n">
        <f aca="false">F22*F23*12</f>
        <v>184987753.83</v>
      </c>
      <c r="G24" s="820" t="n">
        <f aca="false">G22*G23*12</f>
        <v>190537386.4449</v>
      </c>
      <c r="H24" s="820" t="n">
        <f aca="false">H22*H23*12</f>
        <v>196253508.038247</v>
      </c>
      <c r="I24" s="820" t="n">
        <f aca="false">I22*I23*12</f>
        <v>202141113.279394</v>
      </c>
      <c r="J24" s="820" t="n">
        <f aca="false">J22*J23*12</f>
        <v>208205346.677776</v>
      </c>
      <c r="K24" s="826" t="n">
        <f aca="false">SUM(C24:J24)</f>
        <v>1400900097.87032</v>
      </c>
    </row>
    <row r="25" customFormat="false" ht="18" hidden="false" customHeight="true" outlineLevel="0" collapsed="false">
      <c r="A25" s="60" t="s">
        <v>4676</v>
      </c>
      <c r="C25" s="820" t="n">
        <f aca="false">-('TCO 8-Year'!C26+'TCO 8-Year'!C27+'TCO 8-Year'!C28)</f>
        <v>-44768647.6014935</v>
      </c>
      <c r="D25" s="820" t="n">
        <f aca="false">-('TCO 8-Year'!D26+'TCO 8-Year'!D27+'TCO 8-Year'!D28)</f>
        <v>-46111707.0295383</v>
      </c>
      <c r="E25" s="915" t="n">
        <f aca="false">-('TCO 8-Year'!E26+'TCO 8-Year'!E27+'TCO 8-Year'!E28)</f>
        <v>-47495058.2404244</v>
      </c>
      <c r="F25" s="820" t="n">
        <f aca="false">-('TCO 8-Year'!F26+'TCO 8-Year'!F27+'TCO 8-Year'!F28)</f>
        <v>-48919909.9876372</v>
      </c>
      <c r="G25" s="820" t="n">
        <f aca="false">-('TCO 8-Year'!G26+'TCO 8-Year'!G27+'TCO 8-Year'!G28)</f>
        <v>-50387507.2872663</v>
      </c>
      <c r="H25" s="820" t="n">
        <f aca="false">-('TCO 8-Year'!H26+'TCO 8-Year'!H27+'TCO 8-Year'!H28)</f>
        <v>-51899132.5058843</v>
      </c>
      <c r="I25" s="820" t="n">
        <f aca="false">-('TCO 8-Year'!I26+'TCO 8-Year'!I27+'TCO 8-Year'!I28)</f>
        <v>-53456106.4810608</v>
      </c>
      <c r="J25" s="820" t="n">
        <f aca="false">-('TCO 8-Year'!J26+'TCO 8-Year'!J27+'TCO 8-Year'!J28)</f>
        <v>-55059789.6754926</v>
      </c>
      <c r="K25" s="826" t="n">
        <f aca="false">SUM(C25:J25)</f>
        <v>-398097858.808798</v>
      </c>
    </row>
    <row r="26" customFormat="false" ht="18" hidden="false" customHeight="true" outlineLevel="0" collapsed="false">
      <c r="A26" s="60" t="s">
        <v>4677</v>
      </c>
      <c r="C26" s="820" t="n">
        <f aca="false">-C25*$B$15*C18</f>
        <v>23391618.3717804</v>
      </c>
      <c r="D26" s="820" t="n">
        <f aca="false">-D25*$B$15*D18</f>
        <v>35044897.3424491</v>
      </c>
      <c r="E26" s="915" t="n">
        <f aca="false">-E25*$B$15*E18</f>
        <v>41510680.902131</v>
      </c>
      <c r="F26" s="820" t="n">
        <f aca="false">-F25*$B$15*F18</f>
        <v>44150218.7638425</v>
      </c>
      <c r="G26" s="820" t="n">
        <f aca="false">-G25*$B$15*G18</f>
        <v>45474725.3267578</v>
      </c>
      <c r="H26" s="820" t="n">
        <f aca="false">-H25*$B$15*H18</f>
        <v>46838967.0865606</v>
      </c>
      <c r="I26" s="820" t="n">
        <f aca="false">-I25*$B$15*I18</f>
        <v>48244136.0991574</v>
      </c>
      <c r="J26" s="820" t="n">
        <f aca="false">-J25*$B$15*J18</f>
        <v>49691460.1821321</v>
      </c>
      <c r="K26" s="826" t="n">
        <f aca="false">SUM(C26:J26)</f>
        <v>334346704.074811</v>
      </c>
    </row>
    <row r="27" customFormat="false" ht="18" hidden="false" customHeight="true" outlineLevel="0" collapsed="false">
      <c r="A27" s="106" t="s">
        <v>4678</v>
      </c>
      <c r="C27" s="916" t="n">
        <f aca="false">C24+C25+C26</f>
        <v>76632970.7702869</v>
      </c>
      <c r="D27" s="916" t="n">
        <f aca="false">D24+D25+D26</f>
        <v>135769990.312911</v>
      </c>
      <c r="E27" s="916" t="n">
        <f aca="false">E24+E25+E26</f>
        <v>167943812.261707</v>
      </c>
      <c r="F27" s="916" t="n">
        <f aca="false">F24+F25+F26</f>
        <v>180218062.606205</v>
      </c>
      <c r="G27" s="916" t="n">
        <f aca="false">G24+G25+G26</f>
        <v>185624604.484392</v>
      </c>
      <c r="H27" s="916" t="n">
        <f aca="false">H24+H25+H26</f>
        <v>191193342.618923</v>
      </c>
      <c r="I27" s="916" t="n">
        <f aca="false">I24+I25+I26</f>
        <v>196929142.897491</v>
      </c>
      <c r="J27" s="916" t="n">
        <f aca="false">J24+J25+J26</f>
        <v>202837017.184416</v>
      </c>
      <c r="K27" s="817" t="n">
        <f aca="false">SUM(C27:J27)</f>
        <v>1337148943.13633</v>
      </c>
    </row>
    <row r="28" customFormat="false" ht="18" hidden="false" customHeight="true" outlineLevel="0" collapsed="false">
      <c r="A28" s="60" t="s">
        <v>4679</v>
      </c>
      <c r="E28" s="254" t="s">
        <v>4680</v>
      </c>
      <c r="J28" s="820" t="n">
        <f aca="false">J27*(1+$B$10)/$B$11*(1-$B$12)</f>
        <v>3165973781.29922</v>
      </c>
    </row>
    <row r="29" customFormat="false" ht="18" hidden="false" customHeight="true" outlineLevel="0" collapsed="false">
      <c r="A29" s="106" t="s">
        <v>4681</v>
      </c>
      <c r="B29" s="826" t="n">
        <f aca="false">-$B$7</f>
        <v>-1512873780.30797</v>
      </c>
      <c r="C29" s="826" t="n">
        <f aca="false">C27</f>
        <v>76632970.7702869</v>
      </c>
      <c r="D29" s="826" t="n">
        <f aca="false">D27</f>
        <v>135769990.312911</v>
      </c>
      <c r="E29" s="826" t="n">
        <f aca="false">E27</f>
        <v>167943812.261707</v>
      </c>
      <c r="F29" s="826" t="n">
        <f aca="false">F27</f>
        <v>180218062.606205</v>
      </c>
      <c r="G29" s="826" t="n">
        <f aca="false">G27</f>
        <v>185624604.484392</v>
      </c>
      <c r="H29" s="826" t="n">
        <f aca="false">H27</f>
        <v>191193342.618923</v>
      </c>
      <c r="I29" s="826" t="n">
        <f aca="false">I27</f>
        <v>196929142.897491</v>
      </c>
      <c r="J29" s="826" t="n">
        <f aca="false">J27+J28</f>
        <v>3368810798.48363</v>
      </c>
    </row>
    <row r="30" customFormat="false" ht="18" hidden="false" customHeight="true" outlineLevel="0" collapsed="false">
      <c r="A30" s="60" t="s">
        <v>4682</v>
      </c>
      <c r="B30" s="820" t="n">
        <f aca="false">B29</f>
        <v>-1512873780.30797</v>
      </c>
      <c r="C30" s="820" t="n">
        <f aca="false">B30+C29</f>
        <v>-1436240809.53768</v>
      </c>
      <c r="D30" s="820" t="n">
        <f aca="false">C30+D29</f>
        <v>-1300470819.22477</v>
      </c>
      <c r="E30" s="820" t="n">
        <f aca="false">D30+E29</f>
        <v>-1132527006.96306</v>
      </c>
      <c r="F30" s="820" t="n">
        <f aca="false">E30+F29</f>
        <v>-952308944.356858</v>
      </c>
      <c r="G30" s="820" t="n">
        <f aca="false">F30+G29</f>
        <v>-766684339.872467</v>
      </c>
      <c r="H30" s="820" t="n">
        <f aca="false">G30+H29</f>
        <v>-575490997.253543</v>
      </c>
      <c r="I30" s="820" t="n">
        <f aca="false">H30+I29</f>
        <v>-378561854.356052</v>
      </c>
      <c r="J30" s="820" t="n">
        <f aca="false">I30+J29</f>
        <v>2990248944.12758</v>
      </c>
    </row>
    <row r="31" customFormat="false" ht="27.75" hidden="false" customHeight="true" outlineLevel="0" collapsed="false">
      <c r="A31" s="917" t="s">
        <v>4683</v>
      </c>
      <c r="B31" s="917"/>
      <c r="C31" s="917"/>
      <c r="D31" s="917"/>
      <c r="E31" s="917"/>
      <c r="F31" s="917"/>
      <c r="G31" s="917"/>
      <c r="H31" s="917"/>
      <c r="I31" s="917"/>
      <c r="J31" s="917"/>
      <c r="K31" s="917"/>
    </row>
    <row r="32" customFormat="false" ht="18" hidden="false" customHeight="true" outlineLevel="0" collapsed="false">
      <c r="A32" s="7" t="s">
        <v>4684</v>
      </c>
      <c r="B32" s="7"/>
      <c r="C32" s="7"/>
      <c r="D32" s="7"/>
      <c r="E32" s="7"/>
      <c r="F32" s="7"/>
      <c r="G32" s="7"/>
      <c r="H32" s="7"/>
      <c r="I32" s="7"/>
      <c r="J32" s="7"/>
      <c r="K32" s="7"/>
    </row>
    <row r="33" customFormat="false" ht="18" hidden="false" customHeight="true" outlineLevel="0" collapsed="false">
      <c r="A33" s="845" t="s">
        <v>4525</v>
      </c>
      <c r="B33" s="836" t="n">
        <f aca="false">IFERROR(IRR(B29:J29),"n/m")</f>
        <v>0.174414701484592</v>
      </c>
    </row>
    <row r="34" customFormat="false" ht="18" hidden="false" customHeight="true" outlineLevel="0" collapsed="false">
      <c r="A34" s="60" t="s">
        <v>4685</v>
      </c>
      <c r="B34" s="826" t="n">
        <f aca="false">NPV(B13,C29:J29)+B29</f>
        <v>1040538646.47805</v>
      </c>
    </row>
    <row r="35" customFormat="false" ht="18" hidden="false" customHeight="true" outlineLevel="0" collapsed="false">
      <c r="A35" s="60" t="s">
        <v>4686</v>
      </c>
      <c r="B35" s="885" t="n">
        <f aca="false">IF(B29=0,"n/m",SUM(C29:J29)/-B29)</f>
        <v>2.97653563902659</v>
      </c>
    </row>
    <row r="36" customFormat="false" ht="18" hidden="false" customHeight="true" outlineLevel="0" collapsed="false">
      <c r="A36" s="60" t="s">
        <v>4687</v>
      </c>
      <c r="B36" s="918" t="n">
        <f aca="false">IF(B39&lt;=0,"n/m",B7/B39)</f>
        <v>9.17309843102077</v>
      </c>
    </row>
    <row r="37" customFormat="false" ht="18" hidden="false" customHeight="true" outlineLevel="0" collapsed="false">
      <c r="A37" s="60" t="s">
        <v>3294</v>
      </c>
      <c r="B37" s="828" t="n">
        <f aca="false">C27/B7</f>
        <v>0.0506539089828678</v>
      </c>
    </row>
    <row r="38" customFormat="false" ht="18" hidden="false" customHeight="true" outlineLevel="0" collapsed="false">
      <c r="A38" s="845" t="s">
        <v>3293</v>
      </c>
      <c r="B38" s="836" t="n">
        <f aca="false">B39/B7</f>
        <v>0.109014419448317</v>
      </c>
    </row>
    <row r="39" customFormat="false" ht="18" hidden="false" customHeight="true" outlineLevel="0" collapsed="false">
      <c r="A39" s="60" t="s">
        <v>4688</v>
      </c>
      <c r="B39" s="826" t="n">
        <f aca="false">$B$8*1000*$B$9*12*$B$14-('TCO 8-Year'!$C$26+'TCO 8-Year'!$C$27+'TCO 8-Year'!$C$28)*(1-$B$15*$B$14)</f>
        <v>164925056.858854</v>
      </c>
    </row>
    <row r="40" customFormat="false" ht="18" hidden="false" customHeight="true" outlineLevel="0" collapsed="false">
      <c r="A40" s="60" t="s">
        <v>4689</v>
      </c>
      <c r="B40" s="826" t="n">
        <f aca="false">B39/B11</f>
        <v>2537308567.0593</v>
      </c>
    </row>
    <row r="41" customFormat="false" ht="18" hidden="false" customHeight="true" outlineLevel="0" collapsed="false">
      <c r="A41" s="60" t="s">
        <v>4690</v>
      </c>
      <c r="B41" s="826" t="n">
        <f aca="false">B40-B7</f>
        <v>1024434786.75133</v>
      </c>
    </row>
    <row r="42" customFormat="false" ht="18" hidden="false" customHeight="true" outlineLevel="0" collapsed="false">
      <c r="A42" s="60" t="s">
        <v>3300</v>
      </c>
      <c r="B42" s="828" t="n">
        <f aca="false">B41/B7</f>
        <v>0.677144914589498</v>
      </c>
    </row>
    <row r="43" customFormat="false" ht="18" hidden="false" customHeight="true" outlineLevel="0" collapsed="false">
      <c r="A43" s="845" t="s">
        <v>4691</v>
      </c>
      <c r="B43" s="887" t="str">
        <f aca="false">IF(ISNUMBER(B33),IF(B33&gt;=B13,"● Accept — clears hurdle","▲ Below hurdle — review"),"n/m")</f>
        <v>● Accept — clears hurdle</v>
      </c>
    </row>
    <row r="44" customFormat="false" ht="18" hidden="false" customHeight="true" outlineLevel="0" collapsed="false">
      <c r="A44" s="141" t="s">
        <v>4692</v>
      </c>
      <c r="B44" s="149"/>
      <c r="C44" s="149"/>
      <c r="D44" s="149"/>
      <c r="E44" s="149"/>
      <c r="F44" s="149"/>
      <c r="G44" s="149"/>
      <c r="H44" s="149"/>
      <c r="I44" s="149"/>
      <c r="J44" s="149"/>
      <c r="K44" s="149"/>
    </row>
    <row r="45" customFormat="false" ht="18" hidden="false" customHeight="true" outlineLevel="0" collapsed="false">
      <c r="A45" s="60" t="s">
        <v>4693</v>
      </c>
      <c r="B45" s="815" t="n">
        <f aca="false">'Capital Stack &amp; Returns'!B25</f>
        <v>907724268.184781</v>
      </c>
      <c r="C45" s="254" t="s">
        <v>4694</v>
      </c>
    </row>
    <row r="46" customFormat="false" ht="18" hidden="false" customHeight="true" outlineLevel="0" collapsed="false">
      <c r="A46" s="60" t="s">
        <v>3302</v>
      </c>
      <c r="B46" s="251" t="n">
        <f aca="false">'Capital Stack &amp; Returns'!B29</f>
        <v>0.6</v>
      </c>
    </row>
    <row r="47" customFormat="false" ht="18" hidden="false" customHeight="true" outlineLevel="0" collapsed="false">
      <c r="A47" s="60" t="s">
        <v>4507</v>
      </c>
      <c r="B47" s="251" t="n">
        <f aca="false">'Capital Stack &amp; Returns'!C29</f>
        <v>0.35775083880981</v>
      </c>
    </row>
    <row r="48" customFormat="false" ht="18" hidden="false" customHeight="true" outlineLevel="0" collapsed="false">
      <c r="A48" s="60" t="s">
        <v>4695</v>
      </c>
      <c r="B48" s="852" t="n">
        <f aca="false">'Capital Stack &amp; Returns'!B14</f>
        <v>0.065</v>
      </c>
    </row>
    <row r="49" customFormat="false" ht="18" hidden="false" customHeight="true" outlineLevel="0" collapsed="false">
      <c r="A49" s="60" t="s">
        <v>4565</v>
      </c>
      <c r="B49" s="815" t="n">
        <f aca="false">'Capital Stack &amp; Returns'!B28</f>
        <v>69511202.7221315</v>
      </c>
    </row>
    <row r="50" customFormat="false" ht="18" hidden="false" customHeight="true" outlineLevel="0" collapsed="false">
      <c r="A50" s="60" t="s">
        <v>4696</v>
      </c>
      <c r="B50" s="815" t="n">
        <f aca="false">'Capital Stack &amp; Returns'!B27</f>
        <v>605149512.123187</v>
      </c>
    </row>
    <row r="51" customFormat="false" ht="18" hidden="false" customHeight="true" outlineLevel="0" collapsed="false">
      <c r="A51" s="60" t="s">
        <v>4697</v>
      </c>
      <c r="B51" s="879" t="n">
        <f aca="false">C27/'Capital Stack &amp; Returns'!B28</f>
        <v>1.10245496796573</v>
      </c>
      <c r="C51" s="254" t="s">
        <v>4698</v>
      </c>
    </row>
    <row r="52" customFormat="false" ht="18" hidden="false" customHeight="true" outlineLevel="0" collapsed="false">
      <c r="A52" s="831" t="s">
        <v>3303</v>
      </c>
      <c r="B52" s="919" t="n">
        <f aca="false">'Capital Stack &amp; Returns'!B30</f>
        <v>2.37263995442772</v>
      </c>
    </row>
    <row r="53" customFormat="false" ht="18" hidden="false" customHeight="true" outlineLevel="0" collapsed="false">
      <c r="A53" s="60" t="s">
        <v>4699</v>
      </c>
      <c r="B53" s="846" t="n">
        <f aca="false">'Capital Stack &amp; Returns'!B12</f>
        <v>1.4</v>
      </c>
    </row>
    <row r="54" customFormat="false" ht="18" hidden="false" customHeight="true" outlineLevel="0" collapsed="false">
      <c r="A54" s="60" t="s">
        <v>3304</v>
      </c>
      <c r="B54" s="251" t="n">
        <f aca="false">'Capital Stack &amp; Returns'!B31</f>
        <v>0.181690699080529</v>
      </c>
      <c r="C54" s="254" t="s">
        <v>4700</v>
      </c>
    </row>
    <row r="55" customFormat="false" ht="18" hidden="false" customHeight="true" outlineLevel="0" collapsed="false">
      <c r="A55" s="831" t="s">
        <v>4701</v>
      </c>
      <c r="B55" s="836" t="n">
        <f aca="false">'Capital Stack &amp; Returns'!B46</f>
        <v>0.266511265789023</v>
      </c>
    </row>
    <row r="56" customFormat="false" ht="18" hidden="false" customHeight="true" outlineLevel="0" collapsed="false">
      <c r="A56" s="60" t="s">
        <v>4702</v>
      </c>
      <c r="B56" s="879" t="n">
        <f aca="false">'Capital Stack &amp; Returns'!B47</f>
        <v>5.19740612651599</v>
      </c>
    </row>
    <row r="57" customFormat="false" ht="18" hidden="false" customHeight="true" outlineLevel="0" collapsed="false"/>
    <row r="59" customFormat="false" ht="15" hidden="false" customHeight="true" outlineLevel="0" collapsed="false">
      <c r="A59" s="7" t="s">
        <v>4703</v>
      </c>
      <c r="B59" s="7"/>
      <c r="C59" s="7"/>
      <c r="D59" s="7"/>
      <c r="E59" s="7"/>
      <c r="F59" s="7"/>
      <c r="G59" s="7"/>
      <c r="H59" s="7"/>
      <c r="I59" s="7"/>
      <c r="J59" s="7"/>
      <c r="K59" s="7"/>
    </row>
    <row r="60" customFormat="false" ht="15" hidden="false" customHeight="true" outlineLevel="0" collapsed="false">
      <c r="A60" s="888" t="s">
        <v>4704</v>
      </c>
      <c r="B60" s="920" t="n">
        <f aca="false">$B$11-0.01</f>
        <v>0.055</v>
      </c>
      <c r="C60" s="920" t="n">
        <f aca="false">$B$11-0.005</f>
        <v>0.06</v>
      </c>
      <c r="D60" s="920" t="n">
        <f aca="false">$B$11</f>
        <v>0.065</v>
      </c>
      <c r="E60" s="920" t="n">
        <f aca="false">$B$11+0.005</f>
        <v>0.07</v>
      </c>
      <c r="F60" s="920" t="n">
        <f aca="false">$B$11+0.01</f>
        <v>0.075</v>
      </c>
    </row>
    <row r="61" customFormat="false" ht="15" hidden="false" customHeight="true" outlineLevel="0" collapsed="false">
      <c r="A61" s="827" t="n">
        <f aca="false">$B$9*0.85</f>
        <v>140.25</v>
      </c>
      <c r="B61" s="891" t="n">
        <f aca="false">K84</f>
        <v>0.162088149852326</v>
      </c>
      <c r="C61" s="891" t="n">
        <f aca="false">K85</f>
        <v>0.152604839771098</v>
      </c>
      <c r="D61" s="891" t="n">
        <f aca="false">K86</f>
        <v>0.144085702114222</v>
      </c>
      <c r="E61" s="891" t="n">
        <f aca="false">K87</f>
        <v>0.136374500941483</v>
      </c>
      <c r="F61" s="891" t="n">
        <f aca="false">K88</f>
        <v>0.129349024329329</v>
      </c>
    </row>
    <row r="62" customFormat="false" ht="15" hidden="false" customHeight="true" outlineLevel="0" collapsed="false">
      <c r="A62" s="827" t="n">
        <f aca="false">$B$9*0.925</f>
        <v>152.625</v>
      </c>
      <c r="B62" s="891" t="n">
        <f aca="false">K89</f>
        <v>0.177776108894367</v>
      </c>
      <c r="C62" s="891" t="n">
        <f aca="false">K90</f>
        <v>0.168252439475876</v>
      </c>
      <c r="D62" s="891" t="n">
        <f aca="false">K91</f>
        <v>0.159699663280857</v>
      </c>
      <c r="E62" s="891" t="n">
        <f aca="false">K92</f>
        <v>0.151960285703342</v>
      </c>
      <c r="F62" s="891" t="n">
        <f aca="false">K93</f>
        <v>0.144911127595196</v>
      </c>
    </row>
    <row r="63" customFormat="false" ht="15" hidden="false" customHeight="true" outlineLevel="0" collapsed="false">
      <c r="A63" s="827" t="n">
        <f aca="false">$B$9*1</f>
        <v>165</v>
      </c>
      <c r="B63" s="891" t="n">
        <f aca="false">K94</f>
        <v>0.192552994672478</v>
      </c>
      <c r="C63" s="891" t="n">
        <f aca="false">K95</f>
        <v>0.18299539787456</v>
      </c>
      <c r="D63" s="892" t="n">
        <f aca="false">K96</f>
        <v>0.174414701484592</v>
      </c>
      <c r="E63" s="891" t="n">
        <f aca="false">K97</f>
        <v>0.166652269799989</v>
      </c>
      <c r="F63" s="891" t="n">
        <f aca="false">K98</f>
        <v>0.159584048296427</v>
      </c>
    </row>
    <row r="64" customFormat="false" ht="15" hidden="false" customHeight="true" outlineLevel="0" collapsed="false">
      <c r="A64" s="827" t="n">
        <f aca="false">$B$9*1.075</f>
        <v>177.375</v>
      </c>
      <c r="B64" s="891" t="n">
        <f aca="false">K99</f>
        <v>0.20654589056646</v>
      </c>
      <c r="C64" s="891" t="n">
        <f aca="false">K100</f>
        <v>0.196959878509819</v>
      </c>
      <c r="D64" s="891" t="n">
        <f aca="false">K101</f>
        <v>0.188356159971459</v>
      </c>
      <c r="E64" s="891" t="n">
        <f aca="false">K102</f>
        <v>0.180575059335475</v>
      </c>
      <c r="F64" s="891" t="n">
        <f aca="false">K103</f>
        <v>0.17349172575492</v>
      </c>
    </row>
    <row r="65" customFormat="false" ht="15" hidden="false" customHeight="true" outlineLevel="0" collapsed="false">
      <c r="A65" s="827" t="n">
        <f aca="false">$B$9*1.15</f>
        <v>189.75</v>
      </c>
      <c r="B65" s="891" t="n">
        <f aca="false">K104</f>
        <v>0.219856680876239</v>
      </c>
      <c r="C65" s="891" t="n">
        <f aca="false">K105</f>
        <v>0.210247034405475</v>
      </c>
      <c r="D65" s="891" t="n">
        <f aca="false">K106</f>
        <v>0.201624539858219</v>
      </c>
      <c r="E65" s="891" t="n">
        <f aca="false">K107</f>
        <v>0.193828569811064</v>
      </c>
      <c r="F65" s="891" t="n">
        <f aca="false">K108</f>
        <v>0.186733545937925</v>
      </c>
    </row>
    <row r="66" customFormat="false" ht="15" hidden="false" customHeight="true" outlineLevel="0" collapsed="false"/>
    <row r="67" customFormat="false" ht="15" hidden="false" customHeight="true" outlineLevel="0" collapsed="false">
      <c r="A67" s="7" t="s">
        <v>4446</v>
      </c>
      <c r="B67" s="7"/>
      <c r="C67" s="7"/>
      <c r="D67" s="7"/>
      <c r="E67" s="7"/>
      <c r="F67" s="7"/>
      <c r="G67" s="7"/>
      <c r="H67" s="7"/>
      <c r="I67" s="7"/>
      <c r="J67" s="7"/>
      <c r="K67" s="7"/>
    </row>
    <row r="68" customFormat="false" ht="15" hidden="false" customHeight="true" outlineLevel="0" collapsed="false">
      <c r="A68" s="60" t="s">
        <v>4705</v>
      </c>
      <c r="B68" s="837" t="str">
        <f aca="false">IF(ROUND(B7-'Total Development Cost'!C35,0)=0,"✅ Tie","❌ Off")</f>
        <v>✅ Tie</v>
      </c>
    </row>
    <row r="69" customFormat="false" ht="15" hidden="false" customHeight="true" outlineLevel="0" collapsed="false">
      <c r="A69" s="60" t="s">
        <v>4706</v>
      </c>
      <c r="B69" s="837" t="str">
        <f aca="false">IF(ROUND(B29+B7,0)=0,"✅ Tie","❌ Off")</f>
        <v>✅ Tie</v>
      </c>
    </row>
    <row r="70" customFormat="false" ht="15" hidden="false" customHeight="true" outlineLevel="0" collapsed="false">
      <c r="A70" s="60" t="s">
        <v>4707</v>
      </c>
      <c r="B70" s="837" t="str">
        <f aca="false">IF(ROUND(D63-B33,4)=0,"✅ Tie","❌ Off")</f>
        <v>✅ Tie</v>
      </c>
    </row>
    <row r="71" customFormat="false" ht="15" hidden="false" customHeight="true" outlineLevel="0" collapsed="false"/>
    <row r="72" customFormat="false" ht="15" hidden="false" customHeight="true" outlineLevel="0" collapsed="false"/>
    <row r="73" customFormat="false" ht="15" hidden="false" customHeight="true" outlineLevel="0" collapsed="false">
      <c r="A73" s="921" t="s">
        <v>4708</v>
      </c>
      <c r="B73" s="921"/>
      <c r="C73" s="921"/>
      <c r="D73" s="921"/>
      <c r="E73" s="921"/>
      <c r="F73" s="921"/>
      <c r="G73" s="921"/>
      <c r="H73" s="921"/>
      <c r="I73" s="921"/>
      <c r="J73" s="921"/>
      <c r="K73" s="921"/>
    </row>
    <row r="74" customFormat="false" ht="15" hidden="false" customHeight="true" outlineLevel="0" collapsed="false"/>
    <row r="75" customFormat="false" ht="15" hidden="false" customHeight="true" outlineLevel="0" collapsed="false">
      <c r="A75" s="255" t="s">
        <v>4709</v>
      </c>
    </row>
    <row r="76" customFormat="false" ht="15" hidden="false" customHeight="true" outlineLevel="0" collapsed="false">
      <c r="A76" s="922" t="s">
        <v>4710</v>
      </c>
      <c r="B76" s="922" t="s">
        <v>4711</v>
      </c>
      <c r="C76" s="923" t="n">
        <v>1</v>
      </c>
      <c r="D76" s="923" t="n">
        <v>2</v>
      </c>
      <c r="E76" s="923" t="n">
        <v>3</v>
      </c>
      <c r="F76" s="923" t="n">
        <v>4</v>
      </c>
      <c r="G76" s="923" t="n">
        <v>5</v>
      </c>
      <c r="H76" s="923" t="n">
        <v>6</v>
      </c>
      <c r="I76" s="923" t="n">
        <v>7</v>
      </c>
      <c r="J76" s="923" t="n">
        <v>8</v>
      </c>
    </row>
    <row r="77" customFormat="false" ht="15" hidden="false" customHeight="true" outlineLevel="0" collapsed="false">
      <c r="A77" s="894" t="s">
        <v>4712</v>
      </c>
      <c r="B77" s="924" t="n">
        <f aca="false">$B$9*0.85</f>
        <v>140.25</v>
      </c>
      <c r="C77" s="925" t="n">
        <f aca="false">C$22*$B77*(1+$B$10)^(C$17-1)*12+C$25+C$26</f>
        <v>61931470.7702869</v>
      </c>
      <c r="D77" s="925" t="n">
        <f aca="false">D$22*$B77*(1+$B$10)^(D$17-1)*12+D$25+D$26</f>
        <v>113744470.312911</v>
      </c>
      <c r="E77" s="925" t="n">
        <f aca="false">E$22*$B77*(1+$B$10)^(E$17-1)*12+E$25+E$26</f>
        <v>141854583.821707</v>
      </c>
      <c r="F77" s="925" t="n">
        <f aca="false">F$22*$B77*(1+$B$10)^(F$17-1)*12+F$25+F$26</f>
        <v>152469899.531705</v>
      </c>
      <c r="G77" s="925" t="n">
        <f aca="false">G$22*$B77*(1+$B$10)^(G$17-1)*12+G$25+G$26</f>
        <v>157043996.517657</v>
      </c>
      <c r="H77" s="925" t="n">
        <f aca="false">H$22*$B77*(1+$B$10)^(H$17-1)*12+H$25+H$26</f>
        <v>161755316.413186</v>
      </c>
      <c r="I77" s="925" t="n">
        <f aca="false">I$22*$B77*(1+$B$10)^(I$17-1)*12+I$25+I$26</f>
        <v>166607975.905582</v>
      </c>
      <c r="J77" s="925" t="n">
        <f aca="false">J$22*$B77*(1+$B$10)^(J$17-1)*12+J$25+J$26</f>
        <v>171606215.182749</v>
      </c>
    </row>
    <row r="78" customFormat="false" ht="15" hidden="false" customHeight="true" outlineLevel="0" collapsed="false">
      <c r="A78" s="894" t="s">
        <v>4713</v>
      </c>
      <c r="B78" s="924" t="n">
        <f aca="false">$B$9*0.925</f>
        <v>152.625</v>
      </c>
      <c r="C78" s="925" t="n">
        <f aca="false">C$22*$B78*(1+$B$10)^(C$17-1)*12+C$25+C$26</f>
        <v>69282220.7702869</v>
      </c>
      <c r="D78" s="925" t="n">
        <f aca="false">D$22*$B78*(1+$B$10)^(D$17-1)*12+D$25+D$26</f>
        <v>124757230.312911</v>
      </c>
      <c r="E78" s="925" t="n">
        <f aca="false">E$22*$B78*(1+$B$10)^(E$17-1)*12+E$25+E$26</f>
        <v>154899198.041707</v>
      </c>
      <c r="F78" s="925" t="n">
        <f aca="false">F$22*$B78*(1+$B$10)^(F$17-1)*12+F$25+F$26</f>
        <v>166343981.068955</v>
      </c>
      <c r="G78" s="925" t="n">
        <f aca="false">G$22*$B78*(1+$B$10)^(G$17-1)*12+G$25+G$26</f>
        <v>171334300.501024</v>
      </c>
      <c r="H78" s="925" t="n">
        <f aca="false">H$22*$B78*(1+$B$10)^(H$17-1)*12+H$25+H$26</f>
        <v>176474329.516055</v>
      </c>
      <c r="I78" s="925" t="n">
        <f aca="false">I$22*$B78*(1+$B$10)^(I$17-1)*12+I$25+I$26</f>
        <v>181768559.401536</v>
      </c>
      <c r="J78" s="925" t="n">
        <f aca="false">J$22*$B78*(1+$B$10)^(J$17-1)*12+J$25+J$26</f>
        <v>187221616.183583</v>
      </c>
    </row>
    <row r="79" customFormat="false" ht="15" hidden="false" customHeight="true" outlineLevel="0" collapsed="false">
      <c r="A79" s="894" t="s">
        <v>4714</v>
      </c>
      <c r="B79" s="924" t="n">
        <f aca="false">$B$9*1</f>
        <v>165</v>
      </c>
      <c r="C79" s="925" t="n">
        <f aca="false">C$22*$B79*(1+$B$10)^(C$17-1)*12+C$25+C$26</f>
        <v>76632970.7702869</v>
      </c>
      <c r="D79" s="925" t="n">
        <f aca="false">D$22*$B79*(1+$B$10)^(D$17-1)*12+D$25+D$26</f>
        <v>135769990.312911</v>
      </c>
      <c r="E79" s="925" t="n">
        <f aca="false">E$22*$B79*(1+$B$10)^(E$17-1)*12+E$25+E$26</f>
        <v>167943812.261707</v>
      </c>
      <c r="F79" s="925" t="n">
        <f aca="false">F$22*$B79*(1+$B$10)^(F$17-1)*12+F$25+F$26</f>
        <v>180218062.606205</v>
      </c>
      <c r="G79" s="925" t="n">
        <f aca="false">G$22*$B79*(1+$B$10)^(G$17-1)*12+G$25+G$26</f>
        <v>185624604.484392</v>
      </c>
      <c r="H79" s="925" t="n">
        <f aca="false">H$22*$B79*(1+$B$10)^(H$17-1)*12+H$25+H$26</f>
        <v>191193342.618923</v>
      </c>
      <c r="I79" s="925" t="n">
        <f aca="false">I$22*$B79*(1+$B$10)^(I$17-1)*12+I$25+I$26</f>
        <v>196929142.897491</v>
      </c>
      <c r="J79" s="925" t="n">
        <f aca="false">J$22*$B79*(1+$B$10)^(J$17-1)*12+J$25+J$26</f>
        <v>202837017.184416</v>
      </c>
    </row>
    <row r="80" customFormat="false" ht="15" hidden="false" customHeight="true" outlineLevel="0" collapsed="false">
      <c r="A80" s="894" t="s">
        <v>4715</v>
      </c>
      <c r="B80" s="924" t="n">
        <f aca="false">$B$9*1.075</f>
        <v>177.375</v>
      </c>
      <c r="C80" s="925" t="n">
        <f aca="false">C$22*$B80*(1+$B$10)^(C$17-1)*12+C$25+C$26</f>
        <v>83983720.7702869</v>
      </c>
      <c r="D80" s="925" t="n">
        <f aca="false">D$22*$B80*(1+$B$10)^(D$17-1)*12+D$25+D$26</f>
        <v>146782750.312911</v>
      </c>
      <c r="E80" s="925" t="n">
        <f aca="false">E$22*$B80*(1+$B$10)^(E$17-1)*12+E$25+E$26</f>
        <v>180988426.481707</v>
      </c>
      <c r="F80" s="925" t="n">
        <f aca="false">F$22*$B80*(1+$B$10)^(F$17-1)*12+F$25+F$26</f>
        <v>194092144.143455</v>
      </c>
      <c r="G80" s="925" t="n">
        <f aca="false">G$22*$B80*(1+$B$10)^(G$17-1)*12+G$25+G$26</f>
        <v>199914908.467759</v>
      </c>
      <c r="H80" s="925" t="n">
        <f aca="false">H$22*$B80*(1+$B$10)^(H$17-1)*12+H$25+H$26</f>
        <v>205912355.721792</v>
      </c>
      <c r="I80" s="925" t="n">
        <f aca="false">I$22*$B80*(1+$B$10)^(I$17-1)*12+I$25+I$26</f>
        <v>212089726.393446</v>
      </c>
      <c r="J80" s="925" t="n">
        <f aca="false">J$22*$B80*(1+$B$10)^(J$17-1)*12+J$25+J$26</f>
        <v>218452418.185249</v>
      </c>
    </row>
    <row r="81" customFormat="false" ht="15" hidden="false" customHeight="true" outlineLevel="0" collapsed="false">
      <c r="A81" s="894" t="s">
        <v>4716</v>
      </c>
      <c r="B81" s="924" t="n">
        <f aca="false">$B$9*1.15</f>
        <v>189.75</v>
      </c>
      <c r="C81" s="925" t="n">
        <f aca="false">C$22*$B81*(1+$B$10)^(C$17-1)*12+C$25+C$26</f>
        <v>91334470.7702869</v>
      </c>
      <c r="D81" s="925" t="n">
        <f aca="false">D$22*$B81*(1+$B$10)^(D$17-1)*12+D$25+D$26</f>
        <v>157795510.312911</v>
      </c>
      <c r="E81" s="925" t="n">
        <f aca="false">E$22*$B81*(1+$B$10)^(E$17-1)*12+E$25+E$26</f>
        <v>194033040.701706</v>
      </c>
      <c r="F81" s="925" t="n">
        <f aca="false">F$22*$B81*(1+$B$10)^(F$17-1)*12+F$25+F$26</f>
        <v>207966225.680705</v>
      </c>
      <c r="G81" s="925" t="n">
        <f aca="false">G$22*$B81*(1+$B$10)^(G$17-1)*12+G$25+G$26</f>
        <v>214205212.451127</v>
      </c>
      <c r="H81" s="925" t="n">
        <f aca="false">H$22*$B81*(1+$B$10)^(H$17-1)*12+H$25+H$26</f>
        <v>220631368.82466</v>
      </c>
      <c r="I81" s="925" t="n">
        <f aca="false">I$22*$B81*(1+$B$10)^(I$17-1)*12+I$25+I$26</f>
        <v>227250309.8894</v>
      </c>
      <c r="J81" s="925" t="n">
        <f aca="false">J$22*$B81*(1+$B$10)^(J$17-1)*12+J$25+J$26</f>
        <v>234067819.186082</v>
      </c>
    </row>
    <row r="82" customFormat="false" ht="15" hidden="false" customHeight="true" outlineLevel="0" collapsed="false"/>
    <row r="83" customFormat="false" ht="15" hidden="false" customHeight="true" outlineLevel="0" collapsed="false">
      <c r="A83" s="255" t="s">
        <v>4717</v>
      </c>
    </row>
    <row r="84" customFormat="false" ht="15" hidden="false" customHeight="true" outlineLevel="0" collapsed="false">
      <c r="A84" s="894" t="s">
        <v>4718</v>
      </c>
      <c r="B84" s="895" t="n">
        <f aca="false">-$B$7</f>
        <v>-1512873780.30797</v>
      </c>
      <c r="C84" s="895" t="n">
        <f aca="false">C77</f>
        <v>61931470.7702869</v>
      </c>
      <c r="D84" s="895" t="n">
        <f aca="false">D77</f>
        <v>113744470.312911</v>
      </c>
      <c r="E84" s="895" t="n">
        <f aca="false">E77</f>
        <v>141854583.821707</v>
      </c>
      <c r="F84" s="895" t="n">
        <f aca="false">F77</f>
        <v>152469899.531705</v>
      </c>
      <c r="G84" s="895" t="n">
        <f aca="false">G77</f>
        <v>157043996.517657</v>
      </c>
      <c r="H84" s="895" t="n">
        <f aca="false">H77</f>
        <v>161755316.413186</v>
      </c>
      <c r="I84" s="895" t="n">
        <f aca="false">I77</f>
        <v>166607975.905582</v>
      </c>
      <c r="J84" s="895" t="n">
        <f aca="false">J77+J77*(1+$B$10)/($B$11-0.01)*(1-$B$12)</f>
        <v>3337116862.70381</v>
      </c>
      <c r="K84" s="896" t="n">
        <f aca="false">IFERROR(IRR(B84:J84),"n/m")</f>
        <v>0.162088149852326</v>
      </c>
    </row>
    <row r="85" customFormat="false" ht="15" hidden="false" customHeight="true" outlineLevel="0" collapsed="false">
      <c r="A85" s="894" t="s">
        <v>4719</v>
      </c>
      <c r="B85" s="895" t="n">
        <f aca="false">-$B$7</f>
        <v>-1512873780.30797</v>
      </c>
      <c r="C85" s="895" t="n">
        <f aca="false">C77</f>
        <v>61931470.7702869</v>
      </c>
      <c r="D85" s="895" t="n">
        <f aca="false">D77</f>
        <v>113744470.312911</v>
      </c>
      <c r="E85" s="895" t="n">
        <f aca="false">E77</f>
        <v>141854583.821707</v>
      </c>
      <c r="F85" s="895" t="n">
        <f aca="false">F77</f>
        <v>152469899.531705</v>
      </c>
      <c r="G85" s="895" t="n">
        <f aca="false">G77</f>
        <v>157043996.517657</v>
      </c>
      <c r="H85" s="895" t="n">
        <f aca="false">H77</f>
        <v>161755316.413186</v>
      </c>
      <c r="I85" s="895" t="n">
        <f aca="false">I77</f>
        <v>166607975.905582</v>
      </c>
      <c r="J85" s="895" t="n">
        <f aca="false">J77+J77*(1+$B$10)/($B$11-0.005)*(1-$B$12)</f>
        <v>3073324308.74372</v>
      </c>
      <c r="K85" s="896" t="n">
        <f aca="false">IFERROR(IRR(B85:J85),"n/m")</f>
        <v>0.152604839771098</v>
      </c>
    </row>
    <row r="86" customFormat="false" ht="15" hidden="false" customHeight="true" outlineLevel="0" collapsed="false">
      <c r="A86" s="894" t="s">
        <v>4720</v>
      </c>
      <c r="B86" s="895" t="n">
        <f aca="false">-$B$7</f>
        <v>-1512873780.30797</v>
      </c>
      <c r="C86" s="895" t="n">
        <f aca="false">C77</f>
        <v>61931470.7702869</v>
      </c>
      <c r="D86" s="895" t="n">
        <f aca="false">D77</f>
        <v>113744470.312911</v>
      </c>
      <c r="E86" s="895" t="n">
        <f aca="false">E77</f>
        <v>141854583.821707</v>
      </c>
      <c r="F86" s="895" t="n">
        <f aca="false">F77</f>
        <v>152469899.531705</v>
      </c>
      <c r="G86" s="895" t="n">
        <f aca="false">G77</f>
        <v>157043996.517657</v>
      </c>
      <c r="H86" s="895" t="n">
        <f aca="false">H77</f>
        <v>161755316.413186</v>
      </c>
      <c r="I86" s="895" t="n">
        <f aca="false">I77</f>
        <v>166607975.905582</v>
      </c>
      <c r="J86" s="895" t="n">
        <f aca="false">J77+J77*(1+$B$10)/($B$11+0)*(1-$B$12)</f>
        <v>2850115224.62365</v>
      </c>
      <c r="K86" s="896" t="n">
        <f aca="false">IFERROR(IRR(B86:J86),"n/m")</f>
        <v>0.144085702114222</v>
      </c>
    </row>
    <row r="87" customFormat="false" ht="15" hidden="false" customHeight="true" outlineLevel="0" collapsed="false">
      <c r="A87" s="894" t="s">
        <v>4721</v>
      </c>
      <c r="B87" s="895" t="n">
        <f aca="false">-$B$7</f>
        <v>-1512873780.30797</v>
      </c>
      <c r="C87" s="895" t="n">
        <f aca="false">C77</f>
        <v>61931470.7702869</v>
      </c>
      <c r="D87" s="895" t="n">
        <f aca="false">D77</f>
        <v>113744470.312911</v>
      </c>
      <c r="E87" s="895" t="n">
        <f aca="false">E77</f>
        <v>141854583.821707</v>
      </c>
      <c r="F87" s="895" t="n">
        <f aca="false">F77</f>
        <v>152469899.531705</v>
      </c>
      <c r="G87" s="895" t="n">
        <f aca="false">G77</f>
        <v>157043996.517657</v>
      </c>
      <c r="H87" s="895" t="n">
        <f aca="false">H77</f>
        <v>161755316.413186</v>
      </c>
      <c r="I87" s="895" t="n">
        <f aca="false">I77</f>
        <v>166607975.905582</v>
      </c>
      <c r="J87" s="895" t="n">
        <f aca="false">J77+J77*(1+$B$10)/($B$11+0.005)*(1-$B$12)</f>
        <v>2658793152.52073</v>
      </c>
      <c r="K87" s="896" t="n">
        <f aca="false">IFERROR(IRR(B87:J87),"n/m")</f>
        <v>0.136374500941483</v>
      </c>
    </row>
    <row r="88" customFormat="false" ht="15" hidden="false" customHeight="true" outlineLevel="0" collapsed="false">
      <c r="A88" s="894" t="s">
        <v>4722</v>
      </c>
      <c r="B88" s="895" t="n">
        <f aca="false">-$B$7</f>
        <v>-1512873780.30797</v>
      </c>
      <c r="C88" s="895" t="n">
        <f aca="false">C77</f>
        <v>61931470.7702869</v>
      </c>
      <c r="D88" s="895" t="n">
        <f aca="false">D77</f>
        <v>113744470.312911</v>
      </c>
      <c r="E88" s="895" t="n">
        <f aca="false">E77</f>
        <v>141854583.821707</v>
      </c>
      <c r="F88" s="895" t="n">
        <f aca="false">F77</f>
        <v>152469899.531705</v>
      </c>
      <c r="G88" s="895" t="n">
        <f aca="false">G77</f>
        <v>157043996.517657</v>
      </c>
      <c r="H88" s="895" t="n">
        <f aca="false">H77</f>
        <v>161755316.413186</v>
      </c>
      <c r="I88" s="895" t="n">
        <f aca="false">I77</f>
        <v>166607975.905582</v>
      </c>
      <c r="J88" s="895" t="n">
        <f aca="false">J77+J77*(1+$B$10)/($B$11+0.01)*(1-$B$12)</f>
        <v>2492980690.03153</v>
      </c>
      <c r="K88" s="896" t="n">
        <f aca="false">IFERROR(IRR(B88:J88),"n/m")</f>
        <v>0.129349024329329</v>
      </c>
    </row>
    <row r="89" customFormat="false" ht="15" hidden="false" customHeight="true" outlineLevel="0" collapsed="false">
      <c r="A89" s="894" t="s">
        <v>4723</v>
      </c>
      <c r="B89" s="895" t="n">
        <f aca="false">-$B$7</f>
        <v>-1512873780.30797</v>
      </c>
      <c r="C89" s="895" t="n">
        <f aca="false">C78</f>
        <v>69282220.7702869</v>
      </c>
      <c r="D89" s="895" t="n">
        <f aca="false">D78</f>
        <v>124757230.312911</v>
      </c>
      <c r="E89" s="895" t="n">
        <f aca="false">E78</f>
        <v>154899198.041707</v>
      </c>
      <c r="F89" s="895" t="n">
        <f aca="false">F78</f>
        <v>166343981.068955</v>
      </c>
      <c r="G89" s="895" t="n">
        <f aca="false">G78</f>
        <v>171334300.501024</v>
      </c>
      <c r="H89" s="895" t="n">
        <f aca="false">H78</f>
        <v>176474329.516055</v>
      </c>
      <c r="I89" s="895" t="n">
        <f aca="false">I78</f>
        <v>181768559.401536</v>
      </c>
      <c r="J89" s="895" t="n">
        <f aca="false">J78+J78*(1+$B$10)/($B$11-0.01)*(1-$B$12)</f>
        <v>3640779628.89365</v>
      </c>
      <c r="K89" s="896" t="n">
        <f aca="false">IFERROR(IRR(B89:J89),"n/m")</f>
        <v>0.177776108894367</v>
      </c>
    </row>
    <row r="90" customFormat="false" ht="15" hidden="false" customHeight="true" outlineLevel="0" collapsed="false">
      <c r="A90" s="894" t="s">
        <v>4724</v>
      </c>
      <c r="B90" s="895" t="n">
        <f aca="false">-$B$7</f>
        <v>-1512873780.30797</v>
      </c>
      <c r="C90" s="895" t="n">
        <f aca="false">C78</f>
        <v>69282220.7702869</v>
      </c>
      <c r="D90" s="895" t="n">
        <f aca="false">D78</f>
        <v>124757230.312911</v>
      </c>
      <c r="E90" s="895" t="n">
        <f aca="false">E78</f>
        <v>154899198.041707</v>
      </c>
      <c r="F90" s="895" t="n">
        <f aca="false">F78</f>
        <v>166343981.068955</v>
      </c>
      <c r="G90" s="895" t="n">
        <f aca="false">G78</f>
        <v>171334300.501024</v>
      </c>
      <c r="H90" s="895" t="n">
        <f aca="false">H78</f>
        <v>176474329.516055</v>
      </c>
      <c r="I90" s="895" t="n">
        <f aca="false">I78</f>
        <v>181768559.401536</v>
      </c>
      <c r="J90" s="895" t="n">
        <f aca="false">J78+J78*(1+$B$10)/($B$11-0.005)*(1-$B$12)</f>
        <v>3352983127.83448</v>
      </c>
      <c r="K90" s="896" t="n">
        <f aca="false">IFERROR(IRR(B90:J90),"n/m")</f>
        <v>0.168252439475876</v>
      </c>
    </row>
    <row r="91" customFormat="false" ht="15" hidden="false" customHeight="true" outlineLevel="0" collapsed="false">
      <c r="A91" s="894" t="s">
        <v>4725</v>
      </c>
      <c r="B91" s="895" t="n">
        <f aca="false">-$B$7</f>
        <v>-1512873780.30797</v>
      </c>
      <c r="C91" s="895" t="n">
        <f aca="false">C78</f>
        <v>69282220.7702869</v>
      </c>
      <c r="D91" s="895" t="n">
        <f aca="false">D78</f>
        <v>124757230.312911</v>
      </c>
      <c r="E91" s="895" t="n">
        <f aca="false">E78</f>
        <v>154899198.041707</v>
      </c>
      <c r="F91" s="895" t="n">
        <f aca="false">F78</f>
        <v>166343981.068955</v>
      </c>
      <c r="G91" s="895" t="n">
        <f aca="false">G78</f>
        <v>171334300.501024</v>
      </c>
      <c r="H91" s="895" t="n">
        <f aca="false">H78</f>
        <v>176474329.516055</v>
      </c>
      <c r="I91" s="895" t="n">
        <f aca="false">I78</f>
        <v>181768559.401536</v>
      </c>
      <c r="J91" s="895" t="n">
        <f aca="false">J78+J78*(1+$B$10)/($B$11+0)*(1-$B$12)</f>
        <v>3109463011.55364</v>
      </c>
      <c r="K91" s="896" t="n">
        <f aca="false">IFERROR(IRR(B91:J91),"n/m")</f>
        <v>0.159699663280857</v>
      </c>
    </row>
    <row r="92" customFormat="false" ht="15" hidden="false" customHeight="true" outlineLevel="0" collapsed="false">
      <c r="A92" s="894" t="s">
        <v>4726</v>
      </c>
      <c r="B92" s="895" t="n">
        <f aca="false">-$B$7</f>
        <v>-1512873780.30797</v>
      </c>
      <c r="C92" s="895" t="n">
        <f aca="false">C78</f>
        <v>69282220.7702869</v>
      </c>
      <c r="D92" s="895" t="n">
        <f aca="false">D78</f>
        <v>124757230.312911</v>
      </c>
      <c r="E92" s="895" t="n">
        <f aca="false">E78</f>
        <v>154899198.041707</v>
      </c>
      <c r="F92" s="895" t="n">
        <f aca="false">F78</f>
        <v>166343981.068955</v>
      </c>
      <c r="G92" s="895" t="n">
        <f aca="false">G78</f>
        <v>171334300.501024</v>
      </c>
      <c r="H92" s="895" t="n">
        <f aca="false">H78</f>
        <v>176474329.516055</v>
      </c>
      <c r="I92" s="895" t="n">
        <f aca="false">I78</f>
        <v>181768559.401536</v>
      </c>
      <c r="J92" s="895" t="n">
        <f aca="false">J78+J78*(1+$B$10)/($B$11+0.005)*(1-$B$12)</f>
        <v>2900731483.31292</v>
      </c>
      <c r="K92" s="896" t="n">
        <f aca="false">IFERROR(IRR(B92:J92),"n/m")</f>
        <v>0.151960285703342</v>
      </c>
    </row>
    <row r="93" customFormat="false" ht="15" hidden="false" customHeight="true" outlineLevel="0" collapsed="false">
      <c r="A93" s="894" t="s">
        <v>4727</v>
      </c>
      <c r="B93" s="895" t="n">
        <f aca="false">-$B$7</f>
        <v>-1512873780.30797</v>
      </c>
      <c r="C93" s="895" t="n">
        <f aca="false">C78</f>
        <v>69282220.7702869</v>
      </c>
      <c r="D93" s="895" t="n">
        <f aca="false">D78</f>
        <v>124757230.312911</v>
      </c>
      <c r="E93" s="895" t="n">
        <f aca="false">E78</f>
        <v>154899198.041707</v>
      </c>
      <c r="F93" s="895" t="n">
        <f aca="false">F78</f>
        <v>166343981.068955</v>
      </c>
      <c r="G93" s="895" t="n">
        <f aca="false">G78</f>
        <v>171334300.501024</v>
      </c>
      <c r="H93" s="895" t="n">
        <f aca="false">H78</f>
        <v>176474329.516055</v>
      </c>
      <c r="I93" s="895" t="n">
        <f aca="false">I78</f>
        <v>181768559.401536</v>
      </c>
      <c r="J93" s="895" t="n">
        <f aca="false">J78+J78*(1+$B$10)/($B$11+0.01)*(1-$B$12)</f>
        <v>2719830825.5043</v>
      </c>
      <c r="K93" s="896" t="n">
        <f aca="false">IFERROR(IRR(B93:J93),"n/m")</f>
        <v>0.144911127595196</v>
      </c>
    </row>
    <row r="94" customFormat="false" ht="15" hidden="false" customHeight="true" outlineLevel="0" collapsed="false">
      <c r="A94" s="894" t="s">
        <v>4728</v>
      </c>
      <c r="B94" s="895" t="n">
        <f aca="false">-$B$7</f>
        <v>-1512873780.30797</v>
      </c>
      <c r="C94" s="895" t="n">
        <f aca="false">C79</f>
        <v>76632970.7702869</v>
      </c>
      <c r="D94" s="895" t="n">
        <f aca="false">D79</f>
        <v>135769990.312911</v>
      </c>
      <c r="E94" s="895" t="n">
        <f aca="false">E79</f>
        <v>167943812.261707</v>
      </c>
      <c r="F94" s="895" t="n">
        <f aca="false">F79</f>
        <v>180218062.606205</v>
      </c>
      <c r="G94" s="895" t="n">
        <f aca="false">G79</f>
        <v>185624604.484392</v>
      </c>
      <c r="H94" s="895" t="n">
        <f aca="false">H79</f>
        <v>191193342.618923</v>
      </c>
      <c r="I94" s="895" t="n">
        <f aca="false">I79</f>
        <v>196929142.897491</v>
      </c>
      <c r="J94" s="895" t="n">
        <f aca="false">J79+J79*(1+$B$10)/($B$11-0.01)*(1-$B$12)</f>
        <v>3944442395.08349</v>
      </c>
      <c r="K94" s="896" t="n">
        <f aca="false">IFERROR(IRR(B94:J94),"n/m")</f>
        <v>0.192552994672478</v>
      </c>
    </row>
    <row r="95" customFormat="false" ht="15" hidden="false" customHeight="true" outlineLevel="0" collapsed="false">
      <c r="A95" s="894" t="s">
        <v>4729</v>
      </c>
      <c r="B95" s="895" t="n">
        <f aca="false">-$B$7</f>
        <v>-1512873780.30797</v>
      </c>
      <c r="C95" s="895" t="n">
        <f aca="false">C79</f>
        <v>76632970.7702869</v>
      </c>
      <c r="D95" s="895" t="n">
        <f aca="false">D79</f>
        <v>135769990.312911</v>
      </c>
      <c r="E95" s="895" t="n">
        <f aca="false">E79</f>
        <v>167943812.261707</v>
      </c>
      <c r="F95" s="895" t="n">
        <f aca="false">F79</f>
        <v>180218062.606205</v>
      </c>
      <c r="G95" s="895" t="n">
        <f aca="false">G79</f>
        <v>185624604.484392</v>
      </c>
      <c r="H95" s="895" t="n">
        <f aca="false">H79</f>
        <v>191193342.618923</v>
      </c>
      <c r="I95" s="895" t="n">
        <f aca="false">I79</f>
        <v>196929142.897491</v>
      </c>
      <c r="J95" s="895" t="n">
        <f aca="false">J79+J79*(1+$B$10)/($B$11-0.005)*(1-$B$12)</f>
        <v>3632641946.92523</v>
      </c>
      <c r="K95" s="896" t="n">
        <f aca="false">IFERROR(IRR(B95:J95),"n/m")</f>
        <v>0.18299539787456</v>
      </c>
    </row>
    <row r="96" customFormat="false" ht="15" hidden="false" customHeight="true" outlineLevel="0" collapsed="false">
      <c r="A96" s="894" t="s">
        <v>4730</v>
      </c>
      <c r="B96" s="895" t="n">
        <f aca="false">-$B$7</f>
        <v>-1512873780.30797</v>
      </c>
      <c r="C96" s="895" t="n">
        <f aca="false">C79</f>
        <v>76632970.7702869</v>
      </c>
      <c r="D96" s="895" t="n">
        <f aca="false">D79</f>
        <v>135769990.312911</v>
      </c>
      <c r="E96" s="895" t="n">
        <f aca="false">E79</f>
        <v>167943812.261707</v>
      </c>
      <c r="F96" s="895" t="n">
        <f aca="false">F79</f>
        <v>180218062.606205</v>
      </c>
      <c r="G96" s="895" t="n">
        <f aca="false">G79</f>
        <v>185624604.484392</v>
      </c>
      <c r="H96" s="895" t="n">
        <f aca="false">H79</f>
        <v>191193342.618923</v>
      </c>
      <c r="I96" s="895" t="n">
        <f aca="false">I79</f>
        <v>196929142.897491</v>
      </c>
      <c r="J96" s="895" t="n">
        <f aca="false">J79+J79*(1+$B$10)/($B$11+0)*(1-$B$12)</f>
        <v>3368810798.48363</v>
      </c>
      <c r="K96" s="896" t="n">
        <f aca="false">IFERROR(IRR(B96:J96),"n/m")</f>
        <v>0.174414701484592</v>
      </c>
    </row>
    <row r="97" customFormat="false" ht="15" hidden="false" customHeight="true" outlineLevel="0" collapsed="false">
      <c r="A97" s="894" t="s">
        <v>4731</v>
      </c>
      <c r="B97" s="895" t="n">
        <f aca="false">-$B$7</f>
        <v>-1512873780.30797</v>
      </c>
      <c r="C97" s="895" t="n">
        <f aca="false">C79</f>
        <v>76632970.7702869</v>
      </c>
      <c r="D97" s="895" t="n">
        <f aca="false">D79</f>
        <v>135769990.312911</v>
      </c>
      <c r="E97" s="895" t="n">
        <f aca="false">E79</f>
        <v>167943812.261707</v>
      </c>
      <c r="F97" s="895" t="n">
        <f aca="false">F79</f>
        <v>180218062.606205</v>
      </c>
      <c r="G97" s="895" t="n">
        <f aca="false">G79</f>
        <v>185624604.484392</v>
      </c>
      <c r="H97" s="895" t="n">
        <f aca="false">H79</f>
        <v>191193342.618923</v>
      </c>
      <c r="I97" s="895" t="n">
        <f aca="false">I79</f>
        <v>196929142.897491</v>
      </c>
      <c r="J97" s="895" t="n">
        <f aca="false">J79+J79*(1+$B$10)/($B$11+0.005)*(1-$B$12)</f>
        <v>3142669814.10512</v>
      </c>
      <c r="K97" s="896" t="n">
        <f aca="false">IFERROR(IRR(B97:J97),"n/m")</f>
        <v>0.166652269799989</v>
      </c>
    </row>
    <row r="98" customFormat="false" ht="15" hidden="false" customHeight="true" outlineLevel="0" collapsed="false">
      <c r="A98" s="894" t="s">
        <v>4732</v>
      </c>
      <c r="B98" s="895" t="n">
        <f aca="false">-$B$7</f>
        <v>-1512873780.30797</v>
      </c>
      <c r="C98" s="895" t="n">
        <f aca="false">C79</f>
        <v>76632970.7702869</v>
      </c>
      <c r="D98" s="895" t="n">
        <f aca="false">D79</f>
        <v>135769990.312911</v>
      </c>
      <c r="E98" s="895" t="n">
        <f aca="false">E79</f>
        <v>167943812.261707</v>
      </c>
      <c r="F98" s="895" t="n">
        <f aca="false">F79</f>
        <v>180218062.606205</v>
      </c>
      <c r="G98" s="895" t="n">
        <f aca="false">G79</f>
        <v>185624604.484392</v>
      </c>
      <c r="H98" s="895" t="n">
        <f aca="false">H79</f>
        <v>191193342.618923</v>
      </c>
      <c r="I98" s="895" t="n">
        <f aca="false">I79</f>
        <v>196929142.897491</v>
      </c>
      <c r="J98" s="895" t="n">
        <f aca="false">J79+J79*(1+$B$10)/($B$11+0.01)*(1-$B$12)</f>
        <v>2946680960.97707</v>
      </c>
      <c r="K98" s="896" t="n">
        <f aca="false">IFERROR(IRR(B98:J98),"n/m")</f>
        <v>0.159584048296427</v>
      </c>
    </row>
    <row r="99" customFormat="false" ht="15" hidden="false" customHeight="true" outlineLevel="0" collapsed="false">
      <c r="A99" s="894" t="s">
        <v>4733</v>
      </c>
      <c r="B99" s="895" t="n">
        <f aca="false">-$B$7</f>
        <v>-1512873780.30797</v>
      </c>
      <c r="C99" s="895" t="n">
        <f aca="false">C80</f>
        <v>83983720.7702869</v>
      </c>
      <c r="D99" s="895" t="n">
        <f aca="false">D80</f>
        <v>146782750.312911</v>
      </c>
      <c r="E99" s="895" t="n">
        <f aca="false">E80</f>
        <v>180988426.481707</v>
      </c>
      <c r="F99" s="895" t="n">
        <f aca="false">F80</f>
        <v>194092144.143455</v>
      </c>
      <c r="G99" s="895" t="n">
        <f aca="false">G80</f>
        <v>199914908.467759</v>
      </c>
      <c r="H99" s="895" t="n">
        <f aca="false">H80</f>
        <v>205912355.721792</v>
      </c>
      <c r="I99" s="895" t="n">
        <f aca="false">I80</f>
        <v>212089726.393446</v>
      </c>
      <c r="J99" s="895" t="n">
        <f aca="false">J80+J80*(1+$B$10)/($B$11-0.01)*(1-$B$12)</f>
        <v>4248105161.27333</v>
      </c>
      <c r="K99" s="896" t="n">
        <f aca="false">IFERROR(IRR(B99:J99),"n/m")</f>
        <v>0.20654589056646</v>
      </c>
    </row>
    <row r="100" customFormat="false" ht="15" hidden="false" customHeight="true" outlineLevel="0" collapsed="false">
      <c r="A100" s="894" t="s">
        <v>4734</v>
      </c>
      <c r="B100" s="895" t="n">
        <f aca="false">-$B$7</f>
        <v>-1512873780.30797</v>
      </c>
      <c r="C100" s="895" t="n">
        <f aca="false">C80</f>
        <v>83983720.7702869</v>
      </c>
      <c r="D100" s="895" t="n">
        <f aca="false">D80</f>
        <v>146782750.312911</v>
      </c>
      <c r="E100" s="895" t="n">
        <f aca="false">E80</f>
        <v>180988426.481707</v>
      </c>
      <c r="F100" s="895" t="n">
        <f aca="false">F80</f>
        <v>194092144.143455</v>
      </c>
      <c r="G100" s="895" t="n">
        <f aca="false">G80</f>
        <v>199914908.467759</v>
      </c>
      <c r="H100" s="895" t="n">
        <f aca="false">H80</f>
        <v>205912355.721792</v>
      </c>
      <c r="I100" s="895" t="n">
        <f aca="false">I80</f>
        <v>212089726.393446</v>
      </c>
      <c r="J100" s="895" t="n">
        <f aca="false">J80+J80*(1+$B$10)/($B$11-0.005)*(1-$B$12)</f>
        <v>3912300766.01599</v>
      </c>
      <c r="K100" s="896" t="n">
        <f aca="false">IFERROR(IRR(B100:J100),"n/m")</f>
        <v>0.196959878509819</v>
      </c>
    </row>
    <row r="101" customFormat="false" ht="15" hidden="false" customHeight="true" outlineLevel="0" collapsed="false">
      <c r="A101" s="894" t="s">
        <v>4735</v>
      </c>
      <c r="B101" s="895" t="n">
        <f aca="false">-$B$7</f>
        <v>-1512873780.30797</v>
      </c>
      <c r="C101" s="895" t="n">
        <f aca="false">C80</f>
        <v>83983720.7702869</v>
      </c>
      <c r="D101" s="895" t="n">
        <f aca="false">D80</f>
        <v>146782750.312911</v>
      </c>
      <c r="E101" s="895" t="n">
        <f aca="false">E80</f>
        <v>180988426.481707</v>
      </c>
      <c r="F101" s="895" t="n">
        <f aca="false">F80</f>
        <v>194092144.143455</v>
      </c>
      <c r="G101" s="895" t="n">
        <f aca="false">G80</f>
        <v>199914908.467759</v>
      </c>
      <c r="H101" s="895" t="n">
        <f aca="false">H80</f>
        <v>205912355.721792</v>
      </c>
      <c r="I101" s="895" t="n">
        <f aca="false">I80</f>
        <v>212089726.393446</v>
      </c>
      <c r="J101" s="895" t="n">
        <f aca="false">J80+J80*(1+$B$10)/($B$11+0)*(1-$B$12)</f>
        <v>3628158585.41362</v>
      </c>
      <c r="K101" s="896" t="n">
        <f aca="false">IFERROR(IRR(B101:J101),"n/m")</f>
        <v>0.188356159971459</v>
      </c>
    </row>
    <row r="102" customFormat="false" ht="15" hidden="false" customHeight="true" outlineLevel="0" collapsed="false">
      <c r="A102" s="894" t="s">
        <v>4736</v>
      </c>
      <c r="B102" s="895" t="n">
        <f aca="false">-$B$7</f>
        <v>-1512873780.30797</v>
      </c>
      <c r="C102" s="895" t="n">
        <f aca="false">C80</f>
        <v>83983720.7702869</v>
      </c>
      <c r="D102" s="895" t="n">
        <f aca="false">D80</f>
        <v>146782750.312911</v>
      </c>
      <c r="E102" s="895" t="n">
        <f aca="false">E80</f>
        <v>180988426.481707</v>
      </c>
      <c r="F102" s="895" t="n">
        <f aca="false">F80</f>
        <v>194092144.143455</v>
      </c>
      <c r="G102" s="895" t="n">
        <f aca="false">G80</f>
        <v>199914908.467759</v>
      </c>
      <c r="H102" s="895" t="n">
        <f aca="false">H80</f>
        <v>205912355.721792</v>
      </c>
      <c r="I102" s="895" t="n">
        <f aca="false">I80</f>
        <v>212089726.393446</v>
      </c>
      <c r="J102" s="895" t="n">
        <f aca="false">J80+J80*(1+$B$10)/($B$11+0.005)*(1-$B$12)</f>
        <v>3384608144.89731</v>
      </c>
      <c r="K102" s="896" t="n">
        <f aca="false">IFERROR(IRR(B102:J102),"n/m")</f>
        <v>0.180575059335475</v>
      </c>
    </row>
    <row r="103" customFormat="false" ht="15" hidden="false" customHeight="true" outlineLevel="0" collapsed="false">
      <c r="A103" s="894" t="s">
        <v>4737</v>
      </c>
      <c r="B103" s="895" t="n">
        <f aca="false">-$B$7</f>
        <v>-1512873780.30797</v>
      </c>
      <c r="C103" s="895" t="n">
        <f aca="false">C80</f>
        <v>83983720.7702869</v>
      </c>
      <c r="D103" s="895" t="n">
        <f aca="false">D80</f>
        <v>146782750.312911</v>
      </c>
      <c r="E103" s="895" t="n">
        <f aca="false">E80</f>
        <v>180988426.481707</v>
      </c>
      <c r="F103" s="895" t="n">
        <f aca="false">F80</f>
        <v>194092144.143455</v>
      </c>
      <c r="G103" s="895" t="n">
        <f aca="false">G80</f>
        <v>199914908.467759</v>
      </c>
      <c r="H103" s="895" t="n">
        <f aca="false">H80</f>
        <v>205912355.721792</v>
      </c>
      <c r="I103" s="895" t="n">
        <f aca="false">I80</f>
        <v>212089726.393446</v>
      </c>
      <c r="J103" s="895" t="n">
        <f aca="false">J80+J80*(1+$B$10)/($B$11+0.01)*(1-$B$12)</f>
        <v>3173531096.44984</v>
      </c>
      <c r="K103" s="896" t="n">
        <f aca="false">IFERROR(IRR(B103:J103),"n/m")</f>
        <v>0.17349172575492</v>
      </c>
    </row>
    <row r="104" customFormat="false" ht="15" hidden="false" customHeight="true" outlineLevel="0" collapsed="false">
      <c r="A104" s="894" t="s">
        <v>4738</v>
      </c>
      <c r="B104" s="895" t="n">
        <f aca="false">-$B$7</f>
        <v>-1512873780.30797</v>
      </c>
      <c r="C104" s="895" t="n">
        <f aca="false">C81</f>
        <v>91334470.7702869</v>
      </c>
      <c r="D104" s="895" t="n">
        <f aca="false">D81</f>
        <v>157795510.312911</v>
      </c>
      <c r="E104" s="895" t="n">
        <f aca="false">E81</f>
        <v>194033040.701706</v>
      </c>
      <c r="F104" s="895" t="n">
        <f aca="false">F81</f>
        <v>207966225.680705</v>
      </c>
      <c r="G104" s="895" t="n">
        <f aca="false">G81</f>
        <v>214205212.451127</v>
      </c>
      <c r="H104" s="895" t="n">
        <f aca="false">H81</f>
        <v>220631368.82466</v>
      </c>
      <c r="I104" s="895" t="n">
        <f aca="false">I81</f>
        <v>227250309.8894</v>
      </c>
      <c r="J104" s="895" t="n">
        <f aca="false">J81+J81*(1+$B$10)/($B$11-0.01)*(1-$B$12)</f>
        <v>4551767927.46317</v>
      </c>
      <c r="K104" s="896" t="n">
        <f aca="false">IFERROR(IRR(B104:J104),"n/m")</f>
        <v>0.219856680876239</v>
      </c>
    </row>
    <row r="105" customFormat="false" ht="15" hidden="false" customHeight="true" outlineLevel="0" collapsed="false">
      <c r="A105" s="894" t="s">
        <v>4739</v>
      </c>
      <c r="B105" s="895" t="n">
        <f aca="false">-$B$7</f>
        <v>-1512873780.30797</v>
      </c>
      <c r="C105" s="895" t="n">
        <f aca="false">C81</f>
        <v>91334470.7702869</v>
      </c>
      <c r="D105" s="895" t="n">
        <f aca="false">D81</f>
        <v>157795510.312911</v>
      </c>
      <c r="E105" s="895" t="n">
        <f aca="false">E81</f>
        <v>194033040.701706</v>
      </c>
      <c r="F105" s="895" t="n">
        <f aca="false">F81</f>
        <v>207966225.680705</v>
      </c>
      <c r="G105" s="895" t="n">
        <f aca="false">G81</f>
        <v>214205212.451127</v>
      </c>
      <c r="H105" s="895" t="n">
        <f aca="false">H81</f>
        <v>220631368.82466</v>
      </c>
      <c r="I105" s="895" t="n">
        <f aca="false">I81</f>
        <v>227250309.8894</v>
      </c>
      <c r="J105" s="895" t="n">
        <f aca="false">J81+J81*(1+$B$10)/($B$11-0.005)*(1-$B$12)</f>
        <v>4191959585.10674</v>
      </c>
      <c r="K105" s="896" t="n">
        <f aca="false">IFERROR(IRR(B105:J105),"n/m")</f>
        <v>0.210247034405475</v>
      </c>
    </row>
    <row r="106" customFormat="false" ht="15" hidden="false" customHeight="true" outlineLevel="0" collapsed="false">
      <c r="A106" s="894" t="s">
        <v>4740</v>
      </c>
      <c r="B106" s="895" t="n">
        <f aca="false">-$B$7</f>
        <v>-1512873780.30797</v>
      </c>
      <c r="C106" s="895" t="n">
        <f aca="false">C81</f>
        <v>91334470.7702869</v>
      </c>
      <c r="D106" s="895" t="n">
        <f aca="false">D81</f>
        <v>157795510.312911</v>
      </c>
      <c r="E106" s="895" t="n">
        <f aca="false">E81</f>
        <v>194033040.701706</v>
      </c>
      <c r="F106" s="895" t="n">
        <f aca="false">F81</f>
        <v>207966225.680705</v>
      </c>
      <c r="G106" s="895" t="n">
        <f aca="false">G81</f>
        <v>214205212.451127</v>
      </c>
      <c r="H106" s="895" t="n">
        <f aca="false">H81</f>
        <v>220631368.82466</v>
      </c>
      <c r="I106" s="895" t="n">
        <f aca="false">I81</f>
        <v>227250309.8894</v>
      </c>
      <c r="J106" s="895" t="n">
        <f aca="false">J81+J81*(1+$B$10)/($B$11+0)*(1-$B$12)</f>
        <v>3887506372.34362</v>
      </c>
      <c r="K106" s="896" t="n">
        <f aca="false">IFERROR(IRR(B106:J106),"n/m")</f>
        <v>0.201624539858219</v>
      </c>
    </row>
    <row r="107" customFormat="false" ht="15" hidden="false" customHeight="true" outlineLevel="0" collapsed="false">
      <c r="A107" s="894" t="s">
        <v>4741</v>
      </c>
      <c r="B107" s="895" t="n">
        <f aca="false">-$B$7</f>
        <v>-1512873780.30797</v>
      </c>
      <c r="C107" s="895" t="n">
        <f aca="false">C81</f>
        <v>91334470.7702869</v>
      </c>
      <c r="D107" s="895" t="n">
        <f aca="false">D81</f>
        <v>157795510.312911</v>
      </c>
      <c r="E107" s="895" t="n">
        <f aca="false">E81</f>
        <v>194033040.701706</v>
      </c>
      <c r="F107" s="895" t="n">
        <f aca="false">F81</f>
        <v>207966225.680705</v>
      </c>
      <c r="G107" s="895" t="n">
        <f aca="false">G81</f>
        <v>214205212.451127</v>
      </c>
      <c r="H107" s="895" t="n">
        <f aca="false">H81</f>
        <v>220631368.82466</v>
      </c>
      <c r="I107" s="895" t="n">
        <f aca="false">I81</f>
        <v>227250309.8894</v>
      </c>
      <c r="J107" s="895" t="n">
        <f aca="false">J81+J81*(1+$B$10)/($B$11+0.005)*(1-$B$12)</f>
        <v>3626546475.68951</v>
      </c>
      <c r="K107" s="896" t="n">
        <f aca="false">IFERROR(IRR(B107:J107),"n/m")</f>
        <v>0.193828569811064</v>
      </c>
    </row>
    <row r="108" customFormat="false" ht="15" hidden="false" customHeight="true" outlineLevel="0" collapsed="false">
      <c r="A108" s="894" t="s">
        <v>4742</v>
      </c>
      <c r="B108" s="895" t="n">
        <f aca="false">-$B$7</f>
        <v>-1512873780.30797</v>
      </c>
      <c r="C108" s="895" t="n">
        <f aca="false">C81</f>
        <v>91334470.7702869</v>
      </c>
      <c r="D108" s="895" t="n">
        <f aca="false">D81</f>
        <v>157795510.312911</v>
      </c>
      <c r="E108" s="895" t="n">
        <f aca="false">E81</f>
        <v>194033040.701706</v>
      </c>
      <c r="F108" s="895" t="n">
        <f aca="false">F81</f>
        <v>207966225.680705</v>
      </c>
      <c r="G108" s="895" t="n">
        <f aca="false">G81</f>
        <v>214205212.451127</v>
      </c>
      <c r="H108" s="895" t="n">
        <f aca="false">H81</f>
        <v>220631368.82466</v>
      </c>
      <c r="I108" s="895" t="n">
        <f aca="false">I81</f>
        <v>227250309.8894</v>
      </c>
      <c r="J108" s="895" t="n">
        <f aca="false">J81+J81*(1+$B$10)/($B$11+0.01)*(1-$B$12)</f>
        <v>3400381231.92261</v>
      </c>
      <c r="K108" s="896" t="n">
        <f aca="false">IFERROR(IRR(B108:J108),"n/m")</f>
        <v>0.186733545937925</v>
      </c>
    </row>
  </sheetData>
  <mergeCells count="10">
    <mergeCell ref="A1:K1"/>
    <mergeCell ref="A3:K4"/>
    <mergeCell ref="A6:K6"/>
    <mergeCell ref="A16:K16"/>
    <mergeCell ref="A20:K20"/>
    <mergeCell ref="A31:K31"/>
    <mergeCell ref="A32:K32"/>
    <mergeCell ref="A59:K59"/>
    <mergeCell ref="A67:K67"/>
    <mergeCell ref="A73:K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K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6" activeCellId="0" sqref="B16"/>
    </sheetView>
  </sheetViews>
  <sheetFormatPr defaultColWidth="8.57421875" defaultRowHeight="15" zeroHeight="false" outlineLevelRow="0" outlineLevelCol="0"/>
  <cols>
    <col collapsed="false" customWidth="true" hidden="false" outlineLevel="0" max="1" min="1" style="1" width="55.29"/>
    <col collapsed="false" customWidth="true" hidden="false" outlineLevel="0" max="9" min="2" style="1" width="17.57"/>
    <col collapsed="false" customWidth="true" hidden="false" outlineLevel="0" max="10" min="10" style="1" width="14"/>
    <col collapsed="false" customWidth="true" hidden="false" outlineLevel="0" max="11" min="11" style="1" width="12"/>
  </cols>
  <sheetData>
    <row r="1" customFormat="false" ht="25.5" hidden="false" customHeight="true" outlineLevel="0" collapsed="false">
      <c r="A1" s="105" t="s">
        <v>4743</v>
      </c>
      <c r="B1" s="105"/>
      <c r="C1" s="105"/>
      <c r="D1" s="105"/>
      <c r="E1" s="105"/>
      <c r="F1" s="105"/>
      <c r="G1" s="105"/>
      <c r="H1" s="105"/>
      <c r="I1" s="105"/>
    </row>
    <row r="2" customFormat="false" ht="18" hidden="false" customHeight="true" outlineLevel="0" collapsed="false"/>
    <row r="3" customFormat="false" ht="18" hidden="false" customHeight="true" outlineLevel="0" collapsed="false">
      <c r="A3" s="812" t="s">
        <v>4744</v>
      </c>
      <c r="B3" s="812"/>
      <c r="C3" s="812"/>
      <c r="D3" s="812"/>
      <c r="E3" s="812"/>
      <c r="F3" s="812"/>
      <c r="G3" s="812"/>
      <c r="H3" s="812"/>
      <c r="I3" s="812"/>
    </row>
    <row r="4" customFormat="false" ht="18" hidden="false" customHeight="true" outlineLevel="0" collapsed="false">
      <c r="A4" s="812"/>
      <c r="B4" s="812"/>
      <c r="C4" s="812"/>
      <c r="D4" s="812"/>
      <c r="E4" s="812"/>
      <c r="F4" s="812"/>
      <c r="G4" s="812"/>
      <c r="H4" s="812"/>
      <c r="I4" s="812"/>
    </row>
    <row r="5" customFormat="false" ht="18" hidden="false" customHeight="true" outlineLevel="0" collapsed="false"/>
    <row r="6" customFormat="false" ht="18" hidden="false" customHeight="true" outlineLevel="0" collapsed="false">
      <c r="A6" s="7" t="s">
        <v>4745</v>
      </c>
      <c r="B6" s="7"/>
      <c r="C6" s="7"/>
      <c r="D6" s="7"/>
      <c r="E6" s="7"/>
      <c r="F6" s="7"/>
      <c r="G6" s="7"/>
      <c r="H6" s="7"/>
      <c r="I6" s="7"/>
    </row>
    <row r="7" customFormat="false" ht="18" hidden="false" customHeight="true" outlineLevel="0" collapsed="false">
      <c r="A7" s="60" t="s">
        <v>4746</v>
      </c>
      <c r="B7" s="815" t="n">
        <f aca="false">'Investment Pro Forma'!B7</f>
        <v>1512873780.30797</v>
      </c>
    </row>
    <row r="8" customFormat="false" ht="18" hidden="false" customHeight="true" outlineLevel="0" collapsed="false">
      <c r="A8" s="60" t="s">
        <v>4747</v>
      </c>
      <c r="B8" s="815" t="n">
        <f aca="false">'Investment Pro Forma'!B39</f>
        <v>164925056.858854</v>
      </c>
    </row>
    <row r="9" customFormat="false" ht="18" hidden="false" customHeight="true" outlineLevel="0" collapsed="false">
      <c r="A9" s="60" t="s">
        <v>4748</v>
      </c>
      <c r="B9" s="251" t="n">
        <f aca="false">'Investment Pro Forma'!B38</f>
        <v>0.109014419448317</v>
      </c>
    </row>
    <row r="10" customFormat="false" ht="18" hidden="false" customHeight="true" outlineLevel="0" collapsed="false">
      <c r="A10" s="60" t="s">
        <v>4749</v>
      </c>
      <c r="B10" s="251" t="n">
        <f aca="false">'Investment Pro Forma'!B33</f>
        <v>0.174414701484592</v>
      </c>
    </row>
    <row r="11" customFormat="false" ht="18" hidden="false" customHeight="true" outlineLevel="0" collapsed="false">
      <c r="A11" s="60" t="s">
        <v>4750</v>
      </c>
      <c r="B11" s="815" t="n">
        <f aca="false">'Investment Pro Forma'!B34</f>
        <v>1040538646.47805</v>
      </c>
    </row>
    <row r="12" customFormat="false" ht="18" hidden="false" customHeight="true" outlineLevel="0" collapsed="false"/>
    <row r="13" customFormat="false" ht="18" hidden="false" customHeight="true" outlineLevel="0" collapsed="false">
      <c r="A13" s="7" t="s">
        <v>4751</v>
      </c>
      <c r="B13" s="7"/>
      <c r="C13" s="7"/>
      <c r="D13" s="7"/>
      <c r="E13" s="7"/>
      <c r="F13" s="7"/>
      <c r="G13" s="7"/>
      <c r="H13" s="7"/>
      <c r="I13" s="7"/>
    </row>
    <row r="14" customFormat="false" ht="18" hidden="false" customHeight="true" outlineLevel="0" collapsed="false">
      <c r="A14" s="60" t="s">
        <v>4752</v>
      </c>
      <c r="B14" s="815" t="n">
        <f aca="false">'Cash Flow &amp; EVM'!B16</f>
        <v>0</v>
      </c>
      <c r="C14" s="254" t="s">
        <v>4753</v>
      </c>
    </row>
    <row r="15" customFormat="false" ht="18" hidden="false" customHeight="true" outlineLevel="0" collapsed="false">
      <c r="A15" s="60" t="s">
        <v>4754</v>
      </c>
      <c r="B15" s="826" t="n">
        <f aca="false">-B14</f>
        <v>-0</v>
      </c>
    </row>
    <row r="16" customFormat="false" ht="18" hidden="false" customHeight="true" outlineLevel="0" collapsed="false">
      <c r="A16" s="60" t="s">
        <v>4755</v>
      </c>
      <c r="B16" s="826" t="n">
        <f aca="false">SUMIFS('Variance Tracker'!E4:E27,'Variance Tracker'!D4:D27,"&gt;0")</f>
        <v>0</v>
      </c>
      <c r="C16" s="254" t="s">
        <v>4756</v>
      </c>
    </row>
    <row r="17" customFormat="false" ht="18" hidden="false" customHeight="true" outlineLevel="0" collapsed="false">
      <c r="A17" s="60" t="s">
        <v>4757</v>
      </c>
      <c r="B17" s="826" t="n">
        <f aca="false">-B16</f>
        <v>-0</v>
      </c>
    </row>
    <row r="18" customFormat="false" ht="18" hidden="false" customHeight="true" outlineLevel="0" collapsed="false">
      <c r="A18" s="60" t="s">
        <v>4758</v>
      </c>
      <c r="B18" s="818" t="n">
        <v>10000000</v>
      </c>
    </row>
    <row r="19" customFormat="false" ht="18" hidden="false" customHeight="true" outlineLevel="0" collapsed="false"/>
    <row r="20" customFormat="false" ht="18" hidden="false" customHeight="true" outlineLevel="0" collapsed="false">
      <c r="A20" s="7" t="s">
        <v>4759</v>
      </c>
      <c r="B20" s="7"/>
      <c r="C20" s="7"/>
      <c r="D20" s="7"/>
      <c r="E20" s="7"/>
      <c r="F20" s="7"/>
      <c r="G20" s="7"/>
      <c r="H20" s="7"/>
      <c r="I20" s="7"/>
    </row>
    <row r="21" customFormat="false" ht="18" hidden="false" customHeight="true" outlineLevel="0" collapsed="false">
      <c r="A21" s="926" t="s">
        <v>118</v>
      </c>
      <c r="B21" s="927" t="s">
        <v>4760</v>
      </c>
      <c r="C21" s="927" t="s">
        <v>4761</v>
      </c>
      <c r="D21" s="927" t="s">
        <v>4762</v>
      </c>
      <c r="E21" s="927" t="s">
        <v>4763</v>
      </c>
      <c r="F21" s="927" t="s">
        <v>4525</v>
      </c>
      <c r="G21" s="927" t="s">
        <v>4764</v>
      </c>
      <c r="H21" s="927" t="s">
        <v>4685</v>
      </c>
      <c r="I21" s="927" t="s">
        <v>4765</v>
      </c>
    </row>
    <row r="22" customFormat="false" ht="18" hidden="false" customHeight="true" outlineLevel="0" collapsed="false">
      <c r="A22" s="60" t="s">
        <v>4766</v>
      </c>
      <c r="B22" s="820" t="n">
        <f aca="false">-0.05*$B$7</f>
        <v>-75643689.0153984</v>
      </c>
      <c r="C22" s="820" t="n">
        <f aca="false">$B$7+B22</f>
        <v>1437230091.29257</v>
      </c>
      <c r="D22" s="81" t="n">
        <f aca="false">$B$8/C22</f>
        <v>0.114752020471913</v>
      </c>
      <c r="E22" s="928" t="n">
        <f aca="false">(D22-$B$9)*10000</f>
        <v>57.3760102359568</v>
      </c>
      <c r="F22" s="81" t="n">
        <f aca="false">K46</f>
        <v>0.183880576631582</v>
      </c>
      <c r="G22" s="928" t="n">
        <f aca="false">IF(ISNUMBER(F22),(F22-$B$10)*10000,"n/m")</f>
        <v>94.6587514699032</v>
      </c>
      <c r="H22" s="820" t="n">
        <f aca="false">$B$11-B22</f>
        <v>1116182335.49344</v>
      </c>
      <c r="I22" s="820" t="n">
        <f aca="false">-B22</f>
        <v>75643689.0153984</v>
      </c>
    </row>
    <row r="23" customFormat="false" ht="18" hidden="false" customHeight="true" outlineLevel="0" collapsed="false">
      <c r="A23" s="60" t="s">
        <v>4767</v>
      </c>
      <c r="B23" s="820" t="n">
        <f aca="false">-0.025*$B$7</f>
        <v>-37821844.5076992</v>
      </c>
      <c r="C23" s="820" t="n">
        <f aca="false">$B$7+B23</f>
        <v>1475051935.80027</v>
      </c>
      <c r="D23" s="81" t="n">
        <f aca="false">$B$8/C23</f>
        <v>0.111809660972633</v>
      </c>
      <c r="E23" s="928" t="n">
        <f aca="false">(D23-$B$9)*10000</f>
        <v>27.9524152431584</v>
      </c>
      <c r="F23" s="81" t="n">
        <f aca="false">K47</f>
        <v>0.179069385658713</v>
      </c>
      <c r="G23" s="928" t="n">
        <f aca="false">IF(ISNUMBER(F23),(F23-$B$10)*10000,"n/m")</f>
        <v>46.5468417412177</v>
      </c>
      <c r="H23" s="820" t="n">
        <f aca="false">$B$11-B23</f>
        <v>1078360490.98574</v>
      </c>
      <c r="I23" s="820" t="n">
        <f aca="false">-B23</f>
        <v>37821844.5076992</v>
      </c>
    </row>
    <row r="24" customFormat="false" ht="18" hidden="false" customHeight="true" outlineLevel="0" collapsed="false">
      <c r="A24" s="831" t="s">
        <v>4768</v>
      </c>
      <c r="B24" s="929" t="n">
        <f aca="false">0</f>
        <v>0</v>
      </c>
      <c r="C24" s="929" t="n">
        <f aca="false">$B$7+B24</f>
        <v>1512873780.30797</v>
      </c>
      <c r="D24" s="930" t="n">
        <f aca="false">$B$8/C24</f>
        <v>0.109014419448317</v>
      </c>
      <c r="E24" s="931" t="n">
        <f aca="false">(D24-$B$9)*10000</f>
        <v>0</v>
      </c>
      <c r="F24" s="930" t="n">
        <f aca="false">K48</f>
        <v>0.174414701484592</v>
      </c>
      <c r="G24" s="931" t="n">
        <f aca="false">IF(ISNUMBER(F24),(F24-$B$10)*10000,"n/m")</f>
        <v>0</v>
      </c>
      <c r="H24" s="929" t="n">
        <f aca="false">$B$11-B24</f>
        <v>1040538646.47805</v>
      </c>
      <c r="I24" s="929" t="n">
        <f aca="false">-B24</f>
        <v>-0</v>
      </c>
    </row>
    <row r="25" customFormat="false" ht="18" hidden="false" customHeight="true" outlineLevel="0" collapsed="false">
      <c r="A25" s="60" t="s">
        <v>4769</v>
      </c>
      <c r="B25" s="820" t="n">
        <f aca="false">0.025*$B$7</f>
        <v>37821844.5076992</v>
      </c>
      <c r="C25" s="820" t="n">
        <f aca="false">$B$7+B25</f>
        <v>1550695624.81567</v>
      </c>
      <c r="D25" s="81" t="n">
        <f aca="false">$B$8/C25</f>
        <v>0.10635553116909</v>
      </c>
      <c r="E25" s="928" t="n">
        <f aca="false">(D25-$B$9)*10000</f>
        <v>-26.5888827922725</v>
      </c>
      <c r="F25" s="81" t="n">
        <f aca="false">K49</f>
        <v>0.169907399855968</v>
      </c>
      <c r="G25" s="928" t="n">
        <f aca="false">IF(ISNUMBER(F25),(F25-$B$10)*10000,"n/m")</f>
        <v>-45.0730162862389</v>
      </c>
      <c r="H25" s="820" t="n">
        <f aca="false">$B$11-B25</f>
        <v>1002716801.97035</v>
      </c>
      <c r="I25" s="820" t="n">
        <f aca="false">-B25</f>
        <v>-37821844.5076992</v>
      </c>
    </row>
    <row r="26" customFormat="false" ht="18" hidden="false" customHeight="true" outlineLevel="0" collapsed="false">
      <c r="A26" s="60" t="s">
        <v>4770</v>
      </c>
      <c r="B26" s="820" t="n">
        <f aca="false">0.05*$B$7</f>
        <v>75643689.0153984</v>
      </c>
      <c r="C26" s="820" t="n">
        <f aca="false">$B$7+B26</f>
        <v>1588517469.32337</v>
      </c>
      <c r="D26" s="81" t="n">
        <f aca="false">$B$8/C26</f>
        <v>0.103823256617445</v>
      </c>
      <c r="E26" s="928" t="n">
        <f aca="false">(D26-$B$9)*10000</f>
        <v>-51.9116283087226</v>
      </c>
      <c r="F26" s="81" t="n">
        <f aca="false">K50</f>
        <v>0.165539108275183</v>
      </c>
      <c r="G26" s="928" t="n">
        <f aca="false">IF(ISNUMBER(F26),(F26-$B$10)*10000,"n/m")</f>
        <v>-88.755932094087</v>
      </c>
      <c r="H26" s="820" t="n">
        <f aca="false">$B$11-B26</f>
        <v>964894957.462647</v>
      </c>
      <c r="I26" s="820" t="n">
        <f aca="false">-B26</f>
        <v>-75643689.0153984</v>
      </c>
    </row>
    <row r="27" customFormat="false" ht="18" hidden="false" customHeight="true" outlineLevel="0" collapsed="false">
      <c r="A27" s="60" t="s">
        <v>4771</v>
      </c>
      <c r="B27" s="820" t="n">
        <f aca="false">0.1*$B$7</f>
        <v>151287378.030797</v>
      </c>
      <c r="C27" s="820" t="n">
        <f aca="false">$B$7+B27</f>
        <v>1664161158.33876</v>
      </c>
      <c r="D27" s="81" t="n">
        <f aca="false">$B$8/C27</f>
        <v>0.0991040176802886</v>
      </c>
      <c r="E27" s="928" t="n">
        <f aca="false">(D27-$B$9)*10000</f>
        <v>-99.1040176802885</v>
      </c>
      <c r="F27" s="81" t="n">
        <f aca="false">K51</f>
        <v>0.15718935999745</v>
      </c>
      <c r="G27" s="928" t="n">
        <f aca="false">IF(ISNUMBER(F27),(F27-$B$10)*10000,"n/m")</f>
        <v>-172.253414871417</v>
      </c>
      <c r="H27" s="820" t="n">
        <f aca="false">$B$11-B27</f>
        <v>889251268.447248</v>
      </c>
      <c r="I27" s="820" t="n">
        <f aca="false">-B27</f>
        <v>-151287378.030797</v>
      </c>
    </row>
    <row r="28" customFormat="false" ht="18" hidden="false" customHeight="true" outlineLevel="0" collapsed="false">
      <c r="A28" s="60" t="s">
        <v>4772</v>
      </c>
      <c r="B28" s="820" t="n">
        <f aca="false">$B$15</f>
        <v>-0</v>
      </c>
      <c r="C28" s="820" t="n">
        <f aca="false">$B$7+B28</f>
        <v>1512873780.30797</v>
      </c>
      <c r="D28" s="81" t="n">
        <f aca="false">$B$8/C28</f>
        <v>0.109014419448317</v>
      </c>
      <c r="E28" s="928" t="n">
        <f aca="false">(D28-$B$9)*10000</f>
        <v>0</v>
      </c>
      <c r="F28" s="81" t="n">
        <f aca="false">K52</f>
        <v>0.174414701484592</v>
      </c>
      <c r="G28" s="928" t="n">
        <f aca="false">IF(ISNUMBER(F28),(F28-$B$10)*10000,"n/m")</f>
        <v>0</v>
      </c>
      <c r="H28" s="820" t="n">
        <f aca="false">$B$11-B28</f>
        <v>1040538646.47805</v>
      </c>
      <c r="I28" s="820" t="n">
        <f aca="false">-B28</f>
        <v>0</v>
      </c>
    </row>
    <row r="29" customFormat="false" ht="18" hidden="false" customHeight="true" outlineLevel="0" collapsed="false">
      <c r="A29" s="60" t="s">
        <v>4773</v>
      </c>
      <c r="B29" s="820" t="n">
        <f aca="false">$B$17</f>
        <v>-0</v>
      </c>
      <c r="C29" s="820" t="n">
        <f aca="false">$B$7+B29</f>
        <v>1512873780.30797</v>
      </c>
      <c r="D29" s="81" t="n">
        <f aca="false">$B$8/C29</f>
        <v>0.109014419448317</v>
      </c>
      <c r="E29" s="928" t="n">
        <f aca="false">(D29-$B$9)*10000</f>
        <v>0</v>
      </c>
      <c r="F29" s="81" t="n">
        <f aca="false">K53</f>
        <v>0.174414701484592</v>
      </c>
      <c r="G29" s="928" t="n">
        <f aca="false">IF(ISNUMBER(F29),(F29-$B$10)*10000,"n/m")</f>
        <v>0</v>
      </c>
      <c r="H29" s="820" t="n">
        <f aca="false">$B$11-B29</f>
        <v>1040538646.47805</v>
      </c>
      <c r="I29" s="820" t="n">
        <f aca="false">-B29</f>
        <v>0</v>
      </c>
    </row>
    <row r="30" customFormat="false" ht="18" hidden="false" customHeight="true" outlineLevel="0" collapsed="false">
      <c r="A30" s="60" t="s">
        <v>4774</v>
      </c>
      <c r="B30" s="820" t="n">
        <f aca="false">$B$18</f>
        <v>10000000</v>
      </c>
      <c r="C30" s="820" t="n">
        <f aca="false">$B$7+B30</f>
        <v>1522873780.30797</v>
      </c>
      <c r="D30" s="81" t="n">
        <f aca="false">$B$8/C30</f>
        <v>0.108298572732339</v>
      </c>
      <c r="E30" s="928" t="n">
        <f aca="false">(D30-$B$9)*10000</f>
        <v>-7.15846715978463</v>
      </c>
      <c r="F30" s="81" t="n">
        <f aca="false">K54</f>
        <v>0.173209005860816</v>
      </c>
      <c r="G30" s="928" t="n">
        <f aca="false">IF(ISNUMBER(F30),(F30-$B$10)*10000,"n/m")</f>
        <v>-12.0569562377545</v>
      </c>
      <c r="H30" s="820" t="n">
        <f aca="false">$B$11-B30</f>
        <v>1030538646.47805</v>
      </c>
      <c r="I30" s="820" t="n">
        <f aca="false">-B30</f>
        <v>-10000000</v>
      </c>
    </row>
    <row r="31" customFormat="false" ht="18" hidden="false" customHeight="true" outlineLevel="0" collapsed="false"/>
    <row r="32" customFormat="false" ht="18" hidden="false" customHeight="true" outlineLevel="0" collapsed="false">
      <c r="A32" s="7" t="s">
        <v>4775</v>
      </c>
      <c r="B32" s="7"/>
      <c r="C32" s="7"/>
      <c r="D32" s="7"/>
      <c r="E32" s="7"/>
      <c r="F32" s="7"/>
      <c r="G32" s="7"/>
      <c r="H32" s="7"/>
      <c r="I32" s="7"/>
    </row>
    <row r="33" customFormat="false" ht="18" hidden="false" customHeight="true" outlineLevel="0" collapsed="false">
      <c r="A33" s="60" t="s">
        <v>4776</v>
      </c>
      <c r="B33" s="932" t="n">
        <f aca="false">IF(ISNUMBER(K55),(K55-$B$10)*10000,"n/m")</f>
        <v>-12.0569562377545</v>
      </c>
    </row>
    <row r="34" customFormat="false" ht="18" hidden="false" customHeight="true" outlineLevel="0" collapsed="false">
      <c r="A34" s="60" t="s">
        <v>4777</v>
      </c>
      <c r="B34" s="932" t="n">
        <f aca="false">($B$8/($B$7+10000000)-$B$9)*10000</f>
        <v>-7.15846715978463</v>
      </c>
    </row>
    <row r="35" customFormat="false" ht="18" hidden="false" customHeight="true" outlineLevel="0" collapsed="false">
      <c r="A35" s="60" t="s">
        <v>4778</v>
      </c>
      <c r="B35" s="826" t="n">
        <f aca="false">-10000000</f>
        <v>-10000000</v>
      </c>
    </row>
    <row r="36" customFormat="false" ht="18" hidden="false" customHeight="true" outlineLevel="0" collapsed="false">
      <c r="A36" s="106" t="s">
        <v>4779</v>
      </c>
    </row>
    <row r="37" customFormat="false" ht="18" hidden="false" customHeight="true" outlineLevel="0" collapsed="false">
      <c r="A37" s="933" t="str">
        <f aca="false">"Every $10M of capex change moves unlevered IRR by ~"&amp;TEXT(ABS(B33),"0")&amp;" bps and yield-on-cost by ~"&amp;TEXT(ABS(B34),"0")&amp;" bps; NPV moves $10M one-for-one. Current EVM forecast implies a "&amp;TEXT(B15/1000000,"$#,##0")&amp;"M capex swing vs budget."</f>
        <v>Every $10M of capex change moves unlevered IRR by ~12 bps and yield-on-cost by ~7 bps; NPV moves $10M one-for-one. Current EVM forecast implies a $0M capex swing vs budget.</v>
      </c>
      <c r="B37" s="933"/>
      <c r="C37" s="933"/>
      <c r="D37" s="933"/>
      <c r="E37" s="933"/>
      <c r="F37" s="933"/>
      <c r="G37" s="933"/>
      <c r="H37" s="933"/>
      <c r="I37" s="933"/>
    </row>
    <row r="38" customFormat="false" ht="18" hidden="false" customHeight="true" outlineLevel="0" collapsed="false">
      <c r="A38" s="933"/>
      <c r="B38" s="933"/>
      <c r="C38" s="933"/>
      <c r="D38" s="933"/>
      <c r="E38" s="933"/>
      <c r="F38" s="933"/>
      <c r="G38" s="933"/>
      <c r="H38" s="933"/>
      <c r="I38" s="933"/>
    </row>
    <row r="39" customFormat="false" ht="18" hidden="false" customHeight="true" outlineLevel="0" collapsed="false"/>
    <row r="40" customFormat="false" ht="18" hidden="false" customHeight="true" outlineLevel="0" collapsed="false">
      <c r="A40" s="7" t="s">
        <v>4446</v>
      </c>
      <c r="B40" s="7"/>
      <c r="C40" s="7"/>
      <c r="D40" s="7"/>
      <c r="E40" s="7"/>
      <c r="F40" s="7"/>
      <c r="G40" s="7"/>
      <c r="H40" s="7"/>
      <c r="I40" s="7"/>
    </row>
    <row r="41" customFormat="false" ht="18" hidden="false" customHeight="true" outlineLevel="0" collapsed="false">
      <c r="A41" s="60" t="s">
        <v>4780</v>
      </c>
      <c r="B41" s="837" t="str">
        <f aca="false">IF(ROUND(F24-$B$10,4)=0,"✅ Tie","❌ Off")</f>
        <v>✅ Tie</v>
      </c>
    </row>
    <row r="42" customFormat="false" ht="18" hidden="false" customHeight="true" outlineLevel="0" collapsed="false">
      <c r="A42" s="60" t="s">
        <v>4781</v>
      </c>
      <c r="B42" s="837" t="str">
        <f aca="false">IF(ROUND(I24,0)=0,"✅ Tie","❌ Off")</f>
        <v>✅ Tie</v>
      </c>
    </row>
    <row r="43" customFormat="false" ht="18" hidden="false" customHeight="true" outlineLevel="0" collapsed="false">
      <c r="A43" s="60" t="s">
        <v>4782</v>
      </c>
      <c r="B43" s="837" t="str">
        <f aca="false">IF(ROUND(C24-$B$7,0)=0,"✅ Tie","❌ Off")</f>
        <v>✅ Tie</v>
      </c>
    </row>
    <row r="45" customFormat="false" ht="15" hidden="false" customHeight="true" outlineLevel="0" collapsed="false">
      <c r="A45" s="893" t="s">
        <v>4783</v>
      </c>
      <c r="B45" s="893"/>
      <c r="C45" s="893"/>
      <c r="D45" s="893"/>
      <c r="E45" s="893"/>
      <c r="F45" s="893"/>
      <c r="G45" s="893"/>
      <c r="H45" s="893"/>
      <c r="I45" s="893"/>
    </row>
    <row r="46" customFormat="false" ht="15" hidden="false" customHeight="true" outlineLevel="0" collapsed="false">
      <c r="A46" s="894" t="s">
        <v>4784</v>
      </c>
      <c r="B46" s="895" t="n">
        <f aca="false">-($B$7+(-0.05*$B$7))</f>
        <v>-1437230091.29257</v>
      </c>
      <c r="C46" s="895" t="n">
        <f aca="false">'Investment Pro Forma'!C29</f>
        <v>76632970.7702869</v>
      </c>
      <c r="D46" s="895" t="n">
        <f aca="false">'Investment Pro Forma'!D29</f>
        <v>135769990.312911</v>
      </c>
      <c r="E46" s="895" t="n">
        <f aca="false">'Investment Pro Forma'!E29</f>
        <v>167943812.261707</v>
      </c>
      <c r="F46" s="895" t="n">
        <f aca="false">'Investment Pro Forma'!F29</f>
        <v>180218062.606205</v>
      </c>
      <c r="G46" s="895" t="n">
        <f aca="false">'Investment Pro Forma'!G29</f>
        <v>185624604.484392</v>
      </c>
      <c r="H46" s="895" t="n">
        <f aca="false">'Investment Pro Forma'!H29</f>
        <v>191193342.618923</v>
      </c>
      <c r="I46" s="895" t="n">
        <f aca="false">'Investment Pro Forma'!I29</f>
        <v>196929142.897491</v>
      </c>
      <c r="J46" s="895" t="n">
        <f aca="false">'Investment Pro Forma'!J29</f>
        <v>3368810798.48363</v>
      </c>
      <c r="K46" s="896" t="n">
        <f aca="false">IFERROR(IRR(B46:J46),"n/m")</f>
        <v>0.183880576631582</v>
      </c>
    </row>
    <row r="47" customFormat="false" ht="15" hidden="false" customHeight="true" outlineLevel="0" collapsed="false">
      <c r="A47" s="894" t="s">
        <v>4785</v>
      </c>
      <c r="B47" s="895" t="n">
        <f aca="false">-($B$7+(-0.025*$B$7))</f>
        <v>-1475051935.80027</v>
      </c>
      <c r="C47" s="895" t="n">
        <f aca="false">'Investment Pro Forma'!C29</f>
        <v>76632970.7702869</v>
      </c>
      <c r="D47" s="895" t="n">
        <f aca="false">'Investment Pro Forma'!D29</f>
        <v>135769990.312911</v>
      </c>
      <c r="E47" s="895" t="n">
        <f aca="false">'Investment Pro Forma'!E29</f>
        <v>167943812.261707</v>
      </c>
      <c r="F47" s="895" t="n">
        <f aca="false">'Investment Pro Forma'!F29</f>
        <v>180218062.606205</v>
      </c>
      <c r="G47" s="895" t="n">
        <f aca="false">'Investment Pro Forma'!G29</f>
        <v>185624604.484392</v>
      </c>
      <c r="H47" s="895" t="n">
        <f aca="false">'Investment Pro Forma'!H29</f>
        <v>191193342.618923</v>
      </c>
      <c r="I47" s="895" t="n">
        <f aca="false">'Investment Pro Forma'!I29</f>
        <v>196929142.897491</v>
      </c>
      <c r="J47" s="895" t="n">
        <f aca="false">'Investment Pro Forma'!J29</f>
        <v>3368810798.48363</v>
      </c>
      <c r="K47" s="896" t="n">
        <f aca="false">IFERROR(IRR(B47:J47),"n/m")</f>
        <v>0.179069385658713</v>
      </c>
    </row>
    <row r="48" customFormat="false" ht="15" hidden="false" customHeight="true" outlineLevel="0" collapsed="false">
      <c r="A48" s="894" t="s">
        <v>4786</v>
      </c>
      <c r="B48" s="895" t="n">
        <f aca="false">-($B$7+(0))</f>
        <v>-1512873780.30797</v>
      </c>
      <c r="C48" s="895" t="n">
        <f aca="false">'Investment Pro Forma'!C29</f>
        <v>76632970.7702869</v>
      </c>
      <c r="D48" s="895" t="n">
        <f aca="false">'Investment Pro Forma'!D29</f>
        <v>135769990.312911</v>
      </c>
      <c r="E48" s="895" t="n">
        <f aca="false">'Investment Pro Forma'!E29</f>
        <v>167943812.261707</v>
      </c>
      <c r="F48" s="895" t="n">
        <f aca="false">'Investment Pro Forma'!F29</f>
        <v>180218062.606205</v>
      </c>
      <c r="G48" s="895" t="n">
        <f aca="false">'Investment Pro Forma'!G29</f>
        <v>185624604.484392</v>
      </c>
      <c r="H48" s="895" t="n">
        <f aca="false">'Investment Pro Forma'!H29</f>
        <v>191193342.618923</v>
      </c>
      <c r="I48" s="895" t="n">
        <f aca="false">'Investment Pro Forma'!I29</f>
        <v>196929142.897491</v>
      </c>
      <c r="J48" s="895" t="n">
        <f aca="false">'Investment Pro Forma'!J29</f>
        <v>3368810798.48363</v>
      </c>
      <c r="K48" s="896" t="n">
        <f aca="false">IFERROR(IRR(B48:J48),"n/m")</f>
        <v>0.174414701484592</v>
      </c>
    </row>
    <row r="49" customFormat="false" ht="15" hidden="false" customHeight="true" outlineLevel="0" collapsed="false">
      <c r="A49" s="894" t="s">
        <v>4787</v>
      </c>
      <c r="B49" s="895" t="n">
        <f aca="false">-($B$7+(0.025*$B$7))</f>
        <v>-1550695624.81567</v>
      </c>
      <c r="C49" s="895" t="n">
        <f aca="false">'Investment Pro Forma'!C29</f>
        <v>76632970.7702869</v>
      </c>
      <c r="D49" s="895" t="n">
        <f aca="false">'Investment Pro Forma'!D29</f>
        <v>135769990.312911</v>
      </c>
      <c r="E49" s="895" t="n">
        <f aca="false">'Investment Pro Forma'!E29</f>
        <v>167943812.261707</v>
      </c>
      <c r="F49" s="895" t="n">
        <f aca="false">'Investment Pro Forma'!F29</f>
        <v>180218062.606205</v>
      </c>
      <c r="G49" s="895" t="n">
        <f aca="false">'Investment Pro Forma'!G29</f>
        <v>185624604.484392</v>
      </c>
      <c r="H49" s="895" t="n">
        <f aca="false">'Investment Pro Forma'!H29</f>
        <v>191193342.618923</v>
      </c>
      <c r="I49" s="895" t="n">
        <f aca="false">'Investment Pro Forma'!I29</f>
        <v>196929142.897491</v>
      </c>
      <c r="J49" s="895" t="n">
        <f aca="false">'Investment Pro Forma'!J29</f>
        <v>3368810798.48363</v>
      </c>
      <c r="K49" s="896" t="n">
        <f aca="false">IFERROR(IRR(B49:J49),"n/m")</f>
        <v>0.169907399855968</v>
      </c>
    </row>
    <row r="50" customFormat="false" ht="15" hidden="false" customHeight="true" outlineLevel="0" collapsed="false">
      <c r="A50" s="894" t="s">
        <v>4788</v>
      </c>
      <c r="B50" s="895" t="n">
        <f aca="false">-($B$7+(0.05*$B$7))</f>
        <v>-1588517469.32337</v>
      </c>
      <c r="C50" s="895" t="n">
        <f aca="false">'Investment Pro Forma'!C29</f>
        <v>76632970.7702869</v>
      </c>
      <c r="D50" s="895" t="n">
        <f aca="false">'Investment Pro Forma'!D29</f>
        <v>135769990.312911</v>
      </c>
      <c r="E50" s="895" t="n">
        <f aca="false">'Investment Pro Forma'!E29</f>
        <v>167943812.261707</v>
      </c>
      <c r="F50" s="895" t="n">
        <f aca="false">'Investment Pro Forma'!F29</f>
        <v>180218062.606205</v>
      </c>
      <c r="G50" s="895" t="n">
        <f aca="false">'Investment Pro Forma'!G29</f>
        <v>185624604.484392</v>
      </c>
      <c r="H50" s="895" t="n">
        <f aca="false">'Investment Pro Forma'!H29</f>
        <v>191193342.618923</v>
      </c>
      <c r="I50" s="895" t="n">
        <f aca="false">'Investment Pro Forma'!I29</f>
        <v>196929142.897491</v>
      </c>
      <c r="J50" s="895" t="n">
        <f aca="false">'Investment Pro Forma'!J29</f>
        <v>3368810798.48363</v>
      </c>
      <c r="K50" s="896" t="n">
        <f aca="false">IFERROR(IRR(B50:J50),"n/m")</f>
        <v>0.165539108275183</v>
      </c>
    </row>
    <row r="51" customFormat="false" ht="15" hidden="false" customHeight="true" outlineLevel="0" collapsed="false">
      <c r="A51" s="894" t="s">
        <v>4789</v>
      </c>
      <c r="B51" s="895" t="n">
        <f aca="false">-($B$7+(0.1*$B$7))</f>
        <v>-1664161158.33876</v>
      </c>
      <c r="C51" s="895" t="n">
        <f aca="false">'Investment Pro Forma'!C29</f>
        <v>76632970.7702869</v>
      </c>
      <c r="D51" s="895" t="n">
        <f aca="false">'Investment Pro Forma'!D29</f>
        <v>135769990.312911</v>
      </c>
      <c r="E51" s="895" t="n">
        <f aca="false">'Investment Pro Forma'!E29</f>
        <v>167943812.261707</v>
      </c>
      <c r="F51" s="895" t="n">
        <f aca="false">'Investment Pro Forma'!F29</f>
        <v>180218062.606205</v>
      </c>
      <c r="G51" s="895" t="n">
        <f aca="false">'Investment Pro Forma'!G29</f>
        <v>185624604.484392</v>
      </c>
      <c r="H51" s="895" t="n">
        <f aca="false">'Investment Pro Forma'!H29</f>
        <v>191193342.618923</v>
      </c>
      <c r="I51" s="895" t="n">
        <f aca="false">'Investment Pro Forma'!I29</f>
        <v>196929142.897491</v>
      </c>
      <c r="J51" s="895" t="n">
        <f aca="false">'Investment Pro Forma'!J29</f>
        <v>3368810798.48363</v>
      </c>
      <c r="K51" s="896" t="n">
        <f aca="false">IFERROR(IRR(B51:J51),"n/m")</f>
        <v>0.15718935999745</v>
      </c>
    </row>
    <row r="52" customFormat="false" ht="15" hidden="false" customHeight="true" outlineLevel="0" collapsed="false">
      <c r="A52" s="894" t="s">
        <v>4790</v>
      </c>
      <c r="B52" s="895" t="n">
        <f aca="false">-($B$7+($B$15))</f>
        <v>-1512873780.30797</v>
      </c>
      <c r="C52" s="895" t="n">
        <f aca="false">'Investment Pro Forma'!C29</f>
        <v>76632970.7702869</v>
      </c>
      <c r="D52" s="895" t="n">
        <f aca="false">'Investment Pro Forma'!D29</f>
        <v>135769990.312911</v>
      </c>
      <c r="E52" s="895" t="n">
        <f aca="false">'Investment Pro Forma'!E29</f>
        <v>167943812.261707</v>
      </c>
      <c r="F52" s="895" t="n">
        <f aca="false">'Investment Pro Forma'!F29</f>
        <v>180218062.606205</v>
      </c>
      <c r="G52" s="895" t="n">
        <f aca="false">'Investment Pro Forma'!G29</f>
        <v>185624604.484392</v>
      </c>
      <c r="H52" s="895" t="n">
        <f aca="false">'Investment Pro Forma'!H29</f>
        <v>191193342.618923</v>
      </c>
      <c r="I52" s="895" t="n">
        <f aca="false">'Investment Pro Forma'!I29</f>
        <v>196929142.897491</v>
      </c>
      <c r="J52" s="895" t="n">
        <f aca="false">'Investment Pro Forma'!J29</f>
        <v>3368810798.48363</v>
      </c>
      <c r="K52" s="896" t="n">
        <f aca="false">IFERROR(IRR(B52:J52),"n/m")</f>
        <v>0.174414701484592</v>
      </c>
    </row>
    <row r="53" customFormat="false" ht="15" hidden="false" customHeight="true" outlineLevel="0" collapsed="false">
      <c r="A53" s="894" t="s">
        <v>4791</v>
      </c>
      <c r="B53" s="895" t="n">
        <f aca="false">-($B$7+($B$17))</f>
        <v>-1512873780.30797</v>
      </c>
      <c r="C53" s="895" t="n">
        <f aca="false">'Investment Pro Forma'!C29</f>
        <v>76632970.7702869</v>
      </c>
      <c r="D53" s="895" t="n">
        <f aca="false">'Investment Pro Forma'!D29</f>
        <v>135769990.312911</v>
      </c>
      <c r="E53" s="895" t="n">
        <f aca="false">'Investment Pro Forma'!E29</f>
        <v>167943812.261707</v>
      </c>
      <c r="F53" s="895" t="n">
        <f aca="false">'Investment Pro Forma'!F29</f>
        <v>180218062.606205</v>
      </c>
      <c r="G53" s="895" t="n">
        <f aca="false">'Investment Pro Forma'!G29</f>
        <v>185624604.484392</v>
      </c>
      <c r="H53" s="895" t="n">
        <f aca="false">'Investment Pro Forma'!H29</f>
        <v>191193342.618923</v>
      </c>
      <c r="I53" s="895" t="n">
        <f aca="false">'Investment Pro Forma'!I29</f>
        <v>196929142.897491</v>
      </c>
      <c r="J53" s="895" t="n">
        <f aca="false">'Investment Pro Forma'!J29</f>
        <v>3368810798.48363</v>
      </c>
      <c r="K53" s="896" t="n">
        <f aca="false">IFERROR(IRR(B53:J53),"n/m")</f>
        <v>0.174414701484592</v>
      </c>
    </row>
    <row r="54" customFormat="false" ht="15" hidden="false" customHeight="true" outlineLevel="0" collapsed="false">
      <c r="A54" s="894" t="s">
        <v>4792</v>
      </c>
      <c r="B54" s="895" t="n">
        <f aca="false">-($B$7+($B$18))</f>
        <v>-1522873780.30797</v>
      </c>
      <c r="C54" s="895" t="n">
        <f aca="false">'Investment Pro Forma'!C29</f>
        <v>76632970.7702869</v>
      </c>
      <c r="D54" s="895" t="n">
        <f aca="false">'Investment Pro Forma'!D29</f>
        <v>135769990.312911</v>
      </c>
      <c r="E54" s="895" t="n">
        <f aca="false">'Investment Pro Forma'!E29</f>
        <v>167943812.261707</v>
      </c>
      <c r="F54" s="895" t="n">
        <f aca="false">'Investment Pro Forma'!F29</f>
        <v>180218062.606205</v>
      </c>
      <c r="G54" s="895" t="n">
        <f aca="false">'Investment Pro Forma'!G29</f>
        <v>185624604.484392</v>
      </c>
      <c r="H54" s="895" t="n">
        <f aca="false">'Investment Pro Forma'!H29</f>
        <v>191193342.618923</v>
      </c>
      <c r="I54" s="895" t="n">
        <f aca="false">'Investment Pro Forma'!I29</f>
        <v>196929142.897491</v>
      </c>
      <c r="J54" s="895" t="n">
        <f aca="false">'Investment Pro Forma'!J29</f>
        <v>3368810798.48363</v>
      </c>
      <c r="K54" s="896" t="n">
        <f aca="false">IFERROR(IRR(B54:J54),"n/m")</f>
        <v>0.173209005860816</v>
      </c>
    </row>
    <row r="55" customFormat="false" ht="15" hidden="false" customHeight="true" outlineLevel="0" collapsed="false">
      <c r="A55" s="894" t="s">
        <v>4793</v>
      </c>
      <c r="B55" s="895" t="n">
        <f aca="false">-($B$7+(10000000))</f>
        <v>-1522873780.30797</v>
      </c>
      <c r="C55" s="895" t="n">
        <f aca="false">'Investment Pro Forma'!C29</f>
        <v>76632970.7702869</v>
      </c>
      <c r="D55" s="895" t="n">
        <f aca="false">'Investment Pro Forma'!D29</f>
        <v>135769990.312911</v>
      </c>
      <c r="E55" s="895" t="n">
        <f aca="false">'Investment Pro Forma'!E29</f>
        <v>167943812.261707</v>
      </c>
      <c r="F55" s="895" t="n">
        <f aca="false">'Investment Pro Forma'!F29</f>
        <v>180218062.606205</v>
      </c>
      <c r="G55" s="895" t="n">
        <f aca="false">'Investment Pro Forma'!G29</f>
        <v>185624604.484392</v>
      </c>
      <c r="H55" s="895" t="n">
        <f aca="false">'Investment Pro Forma'!H29</f>
        <v>191193342.618923</v>
      </c>
      <c r="I55" s="895" t="n">
        <f aca="false">'Investment Pro Forma'!I29</f>
        <v>196929142.897491</v>
      </c>
      <c r="J55" s="895" t="n">
        <f aca="false">'Investment Pro Forma'!J29</f>
        <v>3368810798.48363</v>
      </c>
      <c r="K55" s="896" t="n">
        <f aca="false">IFERROR(IRR(B55:J55),"n/m")</f>
        <v>0.173209005860816</v>
      </c>
    </row>
    <row r="57" customFormat="false" ht="15" hidden="false" customHeight="true" outlineLevel="0" collapsed="false">
      <c r="A57" s="254" t="s">
        <v>1882</v>
      </c>
    </row>
    <row r="58" customFormat="false" ht="15" hidden="false" customHeight="true" outlineLevel="0" collapsed="false">
      <c r="A58" s="255" t="s">
        <v>4766</v>
      </c>
      <c r="B58" s="934" t="n">
        <f aca="false">G22</f>
        <v>94.6587514699032</v>
      </c>
    </row>
    <row r="59" customFormat="false" ht="15" hidden="false" customHeight="true" outlineLevel="0" collapsed="false">
      <c r="A59" s="255" t="s">
        <v>4767</v>
      </c>
      <c r="B59" s="934" t="n">
        <f aca="false">G23</f>
        <v>46.5468417412177</v>
      </c>
    </row>
    <row r="60" customFormat="false" ht="15" hidden="false" customHeight="true" outlineLevel="0" collapsed="false">
      <c r="A60" s="255" t="s">
        <v>4190</v>
      </c>
      <c r="B60" s="934" t="n">
        <f aca="false">G24</f>
        <v>0</v>
      </c>
    </row>
    <row r="61" customFormat="false" ht="15" hidden="false" customHeight="true" outlineLevel="0" collapsed="false">
      <c r="A61" s="255" t="s">
        <v>4769</v>
      </c>
      <c r="B61" s="934" t="n">
        <f aca="false">G25</f>
        <v>-45.0730162862389</v>
      </c>
    </row>
    <row r="62" customFormat="false" ht="15" hidden="false" customHeight="true" outlineLevel="0" collapsed="false">
      <c r="A62" s="255" t="s">
        <v>4770</v>
      </c>
      <c r="B62" s="934" t="n">
        <f aca="false">G26</f>
        <v>-88.755932094087</v>
      </c>
    </row>
    <row r="63" customFormat="false" ht="15" hidden="false" customHeight="true" outlineLevel="0" collapsed="false">
      <c r="A63" s="255" t="s">
        <v>4771</v>
      </c>
      <c r="B63" s="934" t="n">
        <f aca="false">G27</f>
        <v>-172.253414871417</v>
      </c>
    </row>
  </sheetData>
  <mergeCells count="9">
    <mergeCell ref="A1:I1"/>
    <mergeCell ref="A3:I4"/>
    <mergeCell ref="A6:I6"/>
    <mergeCell ref="A13:I13"/>
    <mergeCell ref="A20:I20"/>
    <mergeCell ref="A32:I32"/>
    <mergeCell ref="A37:I38"/>
    <mergeCell ref="A40:I40"/>
    <mergeCell ref="A45:I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true"/>
  </sheetPr>
  <dimension ref="A1:K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42" activeCellId="0" sqref="A42"/>
    </sheetView>
  </sheetViews>
  <sheetFormatPr defaultColWidth="8.57421875" defaultRowHeight="15" zeroHeight="false" outlineLevelRow="0" outlineLevelCol="0"/>
  <cols>
    <col collapsed="false" customWidth="true" hidden="false" outlineLevel="0" max="1" min="1" style="1" width="34"/>
    <col collapsed="false" customWidth="true" hidden="false" outlineLevel="0" max="2" min="2" style="1" width="20"/>
    <col collapsed="false" customWidth="true" hidden="false" outlineLevel="0" max="3" min="3" style="1" width="4"/>
    <col collapsed="false" customWidth="true" hidden="false" outlineLevel="0" max="4" min="4" style="1" width="34"/>
    <col collapsed="false" customWidth="true" hidden="false" outlineLevel="0" max="5" min="5" style="1" width="20"/>
    <col collapsed="false" customWidth="true" hidden="false" outlineLevel="0" max="11" min="7" style="1" width="15.57"/>
  </cols>
  <sheetData>
    <row r="1" customFormat="false" ht="25.5" hidden="false" customHeight="true" outlineLevel="0" collapsed="false">
      <c r="A1" s="105" t="s">
        <v>4794</v>
      </c>
      <c r="B1" s="105"/>
      <c r="C1" s="105"/>
      <c r="D1" s="105"/>
      <c r="E1" s="105"/>
      <c r="F1" s="197"/>
      <c r="G1" s="197"/>
      <c r="H1" s="935" t="s">
        <v>4795</v>
      </c>
      <c r="I1" s="935"/>
      <c r="J1" s="935"/>
      <c r="K1" s="935"/>
    </row>
    <row r="2" customFormat="false" ht="15" hidden="false" customHeight="true" outlineLevel="0" collapsed="false">
      <c r="A2" s="936" t="str">
        <f aca="false">'Campus Rollup'!B3&amp;"  ·  Northern Virginia  ·  owner develop-to-core"</f>
        <v>Data Center Template, Northern Virginia  ·  Northern Virginia  ·  owner develop-to-core</v>
      </c>
      <c r="B2" s="936"/>
      <c r="C2" s="936"/>
      <c r="D2" s="936"/>
      <c r="E2" s="936"/>
      <c r="G2" s="937" t="s">
        <v>4796</v>
      </c>
      <c r="H2" s="937"/>
      <c r="I2" s="937"/>
      <c r="J2" s="937"/>
      <c r="K2" s="937"/>
    </row>
    <row r="3" customFormat="false" ht="15" hidden="false" customHeight="true" outlineLevel="0" collapsed="false">
      <c r="A3" s="938" t="str">
        <f aca="false">TEXT('Campus Rollup'!D16,"0")&amp;" MW IT  ·  "&amp;TEXT('Campus Rollup'!C16,"#,##0")&amp;" SF  ·  Tier III  ·  "&amp;'Campus Rollup'!H3&amp;" estimate"</f>
        <v>90 MW IT  ·  800,000 SF  ·  Tier III  ·  Class 3 (DD) estimate</v>
      </c>
      <c r="B3" s="938"/>
      <c r="C3" s="938"/>
      <c r="D3" s="938"/>
      <c r="E3" s="938"/>
      <c r="G3" s="939" t="s">
        <v>3540</v>
      </c>
      <c r="H3" s="939"/>
      <c r="I3" s="939"/>
      <c r="J3" s="939"/>
      <c r="K3" s="939"/>
    </row>
    <row r="4" customFormat="false" ht="31.5" hidden="false" customHeight="true" outlineLevel="0" collapsed="false">
      <c r="G4" s="940" t="str">
        <f aca="false">IF('Investment Pro Forma'!B33&gt;='Investment Pro Forma'!B13,"ACCEPT","REVIEW")</f>
        <v>ACCEPT</v>
      </c>
      <c r="H4" s="940"/>
      <c r="I4" s="940"/>
      <c r="J4" s="940"/>
      <c r="K4" s="940"/>
    </row>
    <row r="5" customFormat="false" ht="18" hidden="false" customHeight="true" outlineLevel="0" collapsed="false">
      <c r="A5" s="7" t="s">
        <v>4797</v>
      </c>
      <c r="B5" s="7"/>
      <c r="D5" s="7" t="s">
        <v>4798</v>
      </c>
      <c r="E5" s="7"/>
      <c r="G5" s="939" t="str">
        <f aca="false">"Levered IRR "&amp;TEXT('Capital Stack &amp; Returns'!B46,"0.0%")&amp;"   ·   "&amp;TEXT('Capital Stack &amp; Returns'!B47,"0.00x")&amp;" equity multiple   ·   Unlevered IRR "&amp;TEXT('Investment Pro Forma'!B33,"0.0%")</f>
        <v>Levered IRR 26.7%   ·   5.20x equity multiple   ·   Unlevered IRR 17.4%</v>
      </c>
      <c r="H5" s="939"/>
      <c r="I5" s="939"/>
      <c r="J5" s="939"/>
      <c r="K5" s="939"/>
    </row>
    <row r="6" customFormat="false" ht="18" hidden="false" customHeight="true" outlineLevel="0" collapsed="false">
      <c r="A6" s="60" t="s">
        <v>4799</v>
      </c>
      <c r="B6" s="941" t="s">
        <v>2649</v>
      </c>
      <c r="D6" s="60" t="s">
        <v>4521</v>
      </c>
      <c r="E6" s="845" t="n">
        <f aca="false">'Capital Stack &amp; Returns'!B7</f>
        <v>1512873780.30797</v>
      </c>
    </row>
    <row r="7" customFormat="false" ht="18" hidden="false" customHeight="true" outlineLevel="0" collapsed="false">
      <c r="A7" s="60" t="s">
        <v>4800</v>
      </c>
      <c r="B7" s="942" t="n">
        <f aca="false">'Campus Rollup'!D16</f>
        <v>90</v>
      </c>
      <c r="D7" s="60" t="s">
        <v>4801</v>
      </c>
      <c r="E7" s="943" t="n">
        <f aca="false">'Capital Stack &amp; Returns'!B7/'Campus Rollup'!D16</f>
        <v>16809708.6700885</v>
      </c>
    </row>
    <row r="8" customFormat="false" ht="18" hidden="false" customHeight="true" outlineLevel="0" collapsed="false">
      <c r="A8" s="60" t="s">
        <v>4492</v>
      </c>
      <c r="B8" s="944" t="n">
        <f aca="false">'Campus Rollup'!C16</f>
        <v>800000</v>
      </c>
      <c r="D8" s="60" t="s">
        <v>4802</v>
      </c>
      <c r="E8" s="853" t="n">
        <f aca="false">'Capital Stack &amp; Returns'!B25</f>
        <v>907724268.184781</v>
      </c>
    </row>
    <row r="9" customFormat="false" ht="18" hidden="false" customHeight="true" outlineLevel="0" collapsed="false">
      <c r="A9" s="60" t="s">
        <v>4543</v>
      </c>
      <c r="B9" s="945" t="n">
        <f aca="false">'Capital Stack &amp; Returns'!B16</f>
        <v>8</v>
      </c>
      <c r="D9" s="60" t="s">
        <v>4461</v>
      </c>
      <c r="E9" s="845" t="n">
        <f aca="false">'Capital Stack &amp; Returns'!B27</f>
        <v>605149512.123187</v>
      </c>
    </row>
    <row r="10" customFormat="false" ht="18" hidden="false" customHeight="true" outlineLevel="0" collapsed="false"/>
    <row r="11" customFormat="false" ht="18" hidden="false" customHeight="true" outlineLevel="0" collapsed="false">
      <c r="A11" s="7" t="s">
        <v>4803</v>
      </c>
      <c r="B11" s="7"/>
      <c r="D11" s="7" t="s">
        <v>4804</v>
      </c>
      <c r="E11" s="7"/>
    </row>
    <row r="12" customFormat="false" ht="18" hidden="false" customHeight="true" outlineLevel="0" collapsed="false">
      <c r="A12" s="60" t="s">
        <v>4525</v>
      </c>
      <c r="B12" s="836" t="n">
        <f aca="false">'Investment Pro Forma'!B33</f>
        <v>0.174414701484592</v>
      </c>
      <c r="D12" s="60" t="s">
        <v>3298</v>
      </c>
      <c r="E12" s="836" t="n">
        <f aca="false">'Capital Stack &amp; Returns'!B46</f>
        <v>0.266511265789023</v>
      </c>
    </row>
    <row r="13" customFormat="false" ht="18" hidden="false" customHeight="true" outlineLevel="0" collapsed="false">
      <c r="A13" s="60" t="s">
        <v>4805</v>
      </c>
      <c r="B13" s="946" t="n">
        <f aca="false">'Investment Pro Forma'!B38</f>
        <v>0.109014419448317</v>
      </c>
      <c r="D13" s="60" t="s">
        <v>4806</v>
      </c>
      <c r="E13" s="946" t="n">
        <f aca="false">'Capital Stack &amp; Returns'!B48</f>
        <v>0.161336022278797</v>
      </c>
    </row>
    <row r="14" customFormat="false" ht="18" hidden="false" customHeight="true" outlineLevel="0" collapsed="false">
      <c r="A14" s="60" t="s">
        <v>4457</v>
      </c>
      <c r="B14" s="947" t="n">
        <f aca="false">'Investment Pro Forma'!B35</f>
        <v>2.97653563902659</v>
      </c>
      <c r="D14" s="60" t="s">
        <v>4457</v>
      </c>
      <c r="E14" s="947" t="n">
        <f aca="false">'Capital Stack &amp; Returns'!B47</f>
        <v>5.19740612651599</v>
      </c>
    </row>
    <row r="15" customFormat="false" ht="18" hidden="false" customHeight="true" outlineLevel="0" collapsed="false">
      <c r="A15" s="60" t="s">
        <v>4807</v>
      </c>
      <c r="B15" s="946" t="n">
        <f aca="false">'Investment Pro Forma'!B42</f>
        <v>0.677144914589498</v>
      </c>
      <c r="D15" s="60" t="s">
        <v>4526</v>
      </c>
      <c r="E15" s="948" t="n">
        <f aca="false">'Capital Stack &amp; Returns'!B52</f>
        <v>920.965643044311</v>
      </c>
    </row>
    <row r="16" customFormat="false" ht="18" hidden="false" customHeight="true" outlineLevel="0" collapsed="false">
      <c r="A16" s="60" t="s">
        <v>3303</v>
      </c>
      <c r="B16" s="947" t="n">
        <f aca="false">'Capital Stack &amp; Returns'!B30</f>
        <v>2.37263995442772</v>
      </c>
      <c r="D16" s="60" t="s">
        <v>4534</v>
      </c>
      <c r="E16" s="946" t="n">
        <f aca="false">'Capital Stack &amp; Returns'!B31</f>
        <v>0.181690699080529</v>
      </c>
    </row>
    <row r="17" customFormat="false" ht="18" hidden="false" customHeight="true" outlineLevel="0" collapsed="false"/>
    <row r="18" customFormat="false" ht="18" hidden="false" customHeight="true" outlineLevel="0" collapsed="false">
      <c r="A18" s="7" t="s">
        <v>4808</v>
      </c>
      <c r="B18" s="7"/>
      <c r="C18" s="7"/>
      <c r="D18" s="7"/>
      <c r="E18" s="7"/>
    </row>
    <row r="19" customFormat="false" ht="18" hidden="false" customHeight="true" outlineLevel="0" collapsed="false">
      <c r="A19" s="60" t="s">
        <v>4523</v>
      </c>
      <c r="B19" s="949" t="n">
        <f aca="false">'Investment Pro Forma'!B39</f>
        <v>164925056.858854</v>
      </c>
      <c r="D19" s="60" t="s">
        <v>4509</v>
      </c>
      <c r="E19" s="853" t="n">
        <f aca="false">'Investment Pro Forma'!B40</f>
        <v>2537308567.0593</v>
      </c>
    </row>
    <row r="20" customFormat="false" ht="18" hidden="false" customHeight="true" outlineLevel="0" collapsed="false">
      <c r="A20" s="60" t="s">
        <v>4809</v>
      </c>
      <c r="B20" s="946" t="n">
        <f aca="false">'Investment Pro Forma'!B11</f>
        <v>0.065</v>
      </c>
      <c r="D20" s="60" t="s">
        <v>4810</v>
      </c>
      <c r="E20" s="845" t="n">
        <f aca="false">'Investment Pro Forma'!B41</f>
        <v>1024434786.75133</v>
      </c>
    </row>
    <row r="22" customFormat="false" ht="15" hidden="false" customHeight="true" outlineLevel="0" collapsed="false">
      <c r="A22" s="7" t="s">
        <v>4811</v>
      </c>
      <c r="B22" s="7"/>
      <c r="C22" s="7"/>
      <c r="D22" s="7"/>
      <c r="E22" s="7"/>
    </row>
    <row r="23" customFormat="false" ht="30" hidden="false" customHeight="true" outlineLevel="0" collapsed="false">
      <c r="A23" s="950" t="str">
        <f aca="false">"◆  Cost certainty — EVM forecasts "&amp;IF('Cash Flow &amp; EVM'!B16&gt;=0,"an underrun of ","an overrun of ")&amp;TEXT(ABS('Cash Flow &amp; EVM'!B16)/1000000,"$#,##0")&amp;"M at completion (CPI "&amp;TEXT('Cash Flow &amp; EVM'!B13,"0.00")&amp;"); owner contingency carried separately in TDC."</f>
        <v>◆  Cost certainty — EVM forecasts an underrun of $0M at completion (CPI —); owner contingency carried separately in TDC.</v>
      </c>
      <c r="B23" s="950"/>
      <c r="C23" s="950"/>
      <c r="D23" s="950"/>
      <c r="E23" s="950"/>
    </row>
    <row r="24" customFormat="false" ht="30" hidden="false" customHeight="true" outlineLevel="0" collapsed="false">
      <c r="A24" s="950" t="str">
        <f aca="false">"◆  Schedule — SPI "&amp;TEXT('Cash Flow &amp; EVM'!B12,"0.00")&amp;"; "&amp;'Cash Flow &amp; EVM'!B18&amp;". Long-lead gear (gensets, switchgear, chillers) tracked in Procurement."</f>
        <v>◆  Schedule — SPI —; ○ Not started. Long-lead gear (gensets, switchgear, chillers) tracked in Procurement.</v>
      </c>
      <c r="B24" s="950"/>
      <c r="C24" s="950"/>
      <c r="D24" s="950"/>
      <c r="E24" s="950"/>
    </row>
    <row r="25" customFormat="false" ht="30" hidden="false" customHeight="true" outlineLevel="0" collapsed="false">
      <c r="A25" s="950" t="str">
        <f aca="false">"◆  Lease-up / market — underwritten at "&amp;TEXT('Investment Pro Forma'!B9,"$#,##0")&amp;"/kW/mo NNN, stabilizing at "&amp;TEXT('Investment Pro Forma'!B14,"0%")&amp;" occupancy; revenue gated on hyperscale pre-leasing &amp; power availability."</f>
        <v>◆  Lease-up / market — underwritten at $165/kW/mo NNN, stabilizing at 95% occupancy; revenue gated on hyperscale pre-leasing &amp; power availability.</v>
      </c>
      <c r="B25" s="950"/>
      <c r="C25" s="950"/>
      <c r="D25" s="950"/>
      <c r="E25" s="950"/>
    </row>
    <row r="26" customFormat="false" ht="30" hidden="false" customHeight="true" outlineLevel="0" collapsed="false">
      <c r="A26" s="950" t="str">
        <f aca="false">"◆  Leverage / refinance — "&amp;TEXT('Capital Stack &amp; Returns'!B30,"0.00")&amp;"x stabilized DSCR and "&amp;TEXT('Capital Stack &amp; Returns'!B31,"0.0%")&amp;" debt yield; loan sized to the binding covenant ("&amp;'Capital Stack &amp; Returns'!B26&amp;")."</f>
        <v>◆  Leverage / refinance — 2.37x stabilized DSCR and 18.2% debt yield; loan sized to the binding covenant (LTC cap).</v>
      </c>
      <c r="B26" s="950"/>
      <c r="C26" s="950"/>
      <c r="D26" s="950"/>
      <c r="E26" s="950"/>
    </row>
    <row r="28" customFormat="false" ht="15" hidden="false" customHeight="true" outlineLevel="0" collapsed="false">
      <c r="A28" s="7" t="s">
        <v>3540</v>
      </c>
      <c r="B28" s="7"/>
      <c r="C28" s="7"/>
      <c r="D28" s="7"/>
      <c r="E28" s="7"/>
    </row>
    <row r="29" customFormat="false" ht="21.75" hidden="false" customHeight="true" outlineLevel="0" collapsed="false">
      <c r="A29" s="951" t="str">
        <f aca="false">"Unlevered (project):  "&amp;'Investment Pro Forma'!B43&amp;"          Levered (equity):  "&amp;'Capital Stack &amp; Returns'!B53</f>
        <v>Unlevered (project):  ● Accept — clears hurdle          Levered (equity):  ● Accept — clears equity hurdle</v>
      </c>
      <c r="B29" s="951"/>
      <c r="C29" s="951"/>
      <c r="D29" s="951"/>
      <c r="E29" s="951"/>
    </row>
    <row r="31" customFormat="false" ht="30" hidden="false" customHeight="true" outlineLevel="0" collapsed="false">
      <c r="A31" s="952" t="str">
        <f aca="false">"Recommendation: the project clears its "&amp;TEXT('Investment Pro Forma'!B13,"0.0%")&amp;" unlevered hurdle at a "&amp;TEXT('Investment Pro Forma'!B33,"0.0%")&amp;" IRR and a "&amp;TEXT('Investment Pro Forma'!B42,"0.0%")&amp;" development margin; leverage lifts equity IRR to "&amp;TEXT('Capital Stack &amp; Returns'!B46,"0.0%")&amp;". Returns are most sensitive to lease rate, exit cap, and capex — see Variance-to-Return and the sensitivity grids."</f>
        <v>Recommendation: the project clears its 8.5% unlevered hurdle at a 17.4% IRR and a 67.7% development margin; leverage lifts equity IRR to 26.7%. Returns are most sensitive to lease rate, exit cap, and capex — see Variance-to-Return and the sensitivity grids.</v>
      </c>
      <c r="B31" s="952"/>
      <c r="C31" s="952"/>
      <c r="D31" s="952"/>
      <c r="E31" s="952"/>
    </row>
    <row r="32" customFormat="false" ht="30" hidden="false" customHeight="true" outlineLevel="0" collapsed="false">
      <c r="A32" s="952"/>
      <c r="B32" s="952"/>
      <c r="C32" s="952"/>
      <c r="D32" s="952"/>
      <c r="E32" s="952"/>
    </row>
    <row r="34" customFormat="false" ht="15" hidden="false" customHeight="true" outlineLevel="0" collapsed="false">
      <c r="A34" s="953" t="str">
        <f aca="false">"Owner investment summary  ·  all figures link live to the model  ·  estimate basis "&amp;'Campus Rollup'!H3&amp;"  ·  Confidential — for discussion only"</f>
        <v>Owner investment summary  ·  all figures link live to the model  ·  estimate basis Class 3 (DD)  ·  Confidential — for discussion only</v>
      </c>
      <c r="B34" s="953"/>
      <c r="C34" s="953"/>
      <c r="D34" s="953"/>
      <c r="E34" s="953"/>
    </row>
    <row r="36" customFormat="false" ht="18" hidden="false" customHeight="true" outlineLevel="0" collapsed="false">
      <c r="A36" s="7" t="s">
        <v>4446</v>
      </c>
      <c r="B36" s="7"/>
      <c r="C36" s="7"/>
      <c r="D36" s="7"/>
      <c r="E36" s="7"/>
    </row>
    <row r="37" customFormat="false" ht="18" hidden="false" customHeight="true" outlineLevel="0" collapsed="false">
      <c r="A37" s="60" t="s">
        <v>4812</v>
      </c>
      <c r="B37" s="837"/>
      <c r="E37" s="954" t="str">
        <f aca="false">IF(ROUND('Capital Stack &amp; Returns'!B7-'Total Development Cost'!C35,0)=0,"✅ Tie","❌ Off")</f>
        <v>✅ Tie</v>
      </c>
    </row>
    <row r="38" customFormat="false" ht="18" hidden="false" customHeight="true" outlineLevel="0" collapsed="false">
      <c r="A38" s="60" t="s">
        <v>4813</v>
      </c>
      <c r="B38" s="837"/>
      <c r="E38" s="954" t="str">
        <f aca="false">IF('Capital Stack &amp; Returns'!B46&gt;='Investment Pro Forma'!B33,"✅ Accretive","❌ Dilutive")</f>
        <v>✅ Accretive</v>
      </c>
    </row>
    <row r="40" customFormat="false" ht="15" hidden="false" customHeight="true" outlineLevel="0" collapsed="false">
      <c r="A40" s="254" t="s">
        <v>4814</v>
      </c>
    </row>
    <row r="41" customFormat="false" ht="15" hidden="false" customHeight="true" outlineLevel="0" collapsed="false">
      <c r="A41" s="816" t="s">
        <v>4802</v>
      </c>
      <c r="B41" s="955" t="n">
        <f aca="false">E8</f>
        <v>907724268.184781</v>
      </c>
    </row>
    <row r="42" customFormat="false" ht="15" hidden="false" customHeight="true" outlineLevel="0" collapsed="false">
      <c r="A42" s="816" t="s">
        <v>4461</v>
      </c>
      <c r="B42" s="955" t="n">
        <f aca="false">E9</f>
        <v>605149512.123187</v>
      </c>
    </row>
    <row r="44" customFormat="false" ht="15" hidden="false" customHeight="true" outlineLevel="0" collapsed="false">
      <c r="A44" s="816" t="s">
        <v>4815</v>
      </c>
      <c r="B44" s="956" t="n">
        <f aca="false">B12</f>
        <v>0.174414701484592</v>
      </c>
    </row>
    <row r="45" customFormat="false" ht="15" hidden="false" customHeight="true" outlineLevel="0" collapsed="false">
      <c r="A45" s="816" t="s">
        <v>4701</v>
      </c>
      <c r="B45" s="956" t="n">
        <f aca="false">E12</f>
        <v>0.266511265789023</v>
      </c>
    </row>
  </sheetData>
  <mergeCells count="23">
    <mergeCell ref="A1:E1"/>
    <mergeCell ref="H1:K1"/>
    <mergeCell ref="A2:E2"/>
    <mergeCell ref="G2:K2"/>
    <mergeCell ref="A3:E3"/>
    <mergeCell ref="G3:K3"/>
    <mergeCell ref="G4:K4"/>
    <mergeCell ref="A5:B5"/>
    <mergeCell ref="D5:E5"/>
    <mergeCell ref="G5:K5"/>
    <mergeCell ref="A11:B11"/>
    <mergeCell ref="D11:E11"/>
    <mergeCell ref="A18:E18"/>
    <mergeCell ref="A22:E22"/>
    <mergeCell ref="A23:E23"/>
    <mergeCell ref="A24:E24"/>
    <mergeCell ref="A25:E25"/>
    <mergeCell ref="A26:E26"/>
    <mergeCell ref="A28:E28"/>
    <mergeCell ref="A29:E29"/>
    <mergeCell ref="A31:E32"/>
    <mergeCell ref="A34:E34"/>
    <mergeCell ref="A36:E36"/>
  </mergeCells>
  <printOptions headings="false" gridLines="false" gridLinesSet="true" horizontalCentered="true" verticalCentered="false"/>
  <pageMargins left="0.25" right="0.25" top="0.333333333333333" bottom="0.333333333333333"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true"/>
  </sheetPr>
  <dimension ref="A1:K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421875" defaultRowHeight="15" zeroHeight="false" outlineLevelRow="0" outlineLevelCol="0"/>
  <cols>
    <col collapsed="false" customWidth="true" hidden="false" outlineLevel="0" max="1" min="1" style="1" width="53.29"/>
    <col collapsed="false" customWidth="true" hidden="false" outlineLevel="0" max="11" min="2" style="1" width="21"/>
  </cols>
  <sheetData>
    <row r="1" customFormat="false" ht="18.75" hidden="false" customHeight="true" outlineLevel="0" collapsed="false">
      <c r="A1" s="957"/>
    </row>
    <row r="3" customFormat="false" ht="15" hidden="false" customHeight="true" outlineLevel="0" collapsed="false">
      <c r="A3" s="905" t="s">
        <v>4816</v>
      </c>
    </row>
    <row r="5" customFormat="false" ht="15" hidden="false" customHeight="true" outlineLevel="0" collapsed="false">
      <c r="A5" s="958" t="s">
        <v>4817</v>
      </c>
    </row>
    <row r="6" customFormat="false" ht="15" hidden="false" customHeight="true" outlineLevel="0" collapsed="false">
      <c r="A6" s="1" t="s">
        <v>4818</v>
      </c>
      <c r="B6" s="248" t="n">
        <f aca="false">'Construction Budget'!H842</f>
        <v>1088341827.06739</v>
      </c>
    </row>
    <row r="7" customFormat="false" ht="15" hidden="false" customHeight="true" outlineLevel="0" collapsed="false">
      <c r="A7" s="1" t="s">
        <v>4819</v>
      </c>
      <c r="B7" s="959" t="n">
        <f aca="false">'Construction Budget'!C9</f>
        <v>90</v>
      </c>
    </row>
    <row r="8" customFormat="false" ht="15" hidden="false" customHeight="true" outlineLevel="0" collapsed="false">
      <c r="A8" s="1" t="s">
        <v>258</v>
      </c>
      <c r="B8" s="960" t="n">
        <f aca="false">'Construction Budget'!C8</f>
        <v>1.4</v>
      </c>
    </row>
    <row r="9" customFormat="false" ht="15" hidden="false" customHeight="true" outlineLevel="0" collapsed="false">
      <c r="A9" s="1" t="s">
        <v>4820</v>
      </c>
      <c r="B9" s="961" t="n">
        <v>0.7</v>
      </c>
    </row>
    <row r="10" customFormat="false" ht="15" hidden="false" customHeight="true" outlineLevel="0" collapsed="false">
      <c r="A10" s="1" t="s">
        <v>4821</v>
      </c>
      <c r="B10" s="962" t="n">
        <v>0.075</v>
      </c>
    </row>
    <row r="11" customFormat="false" ht="15" hidden="false" customHeight="true" outlineLevel="0" collapsed="false">
      <c r="A11" s="1" t="s">
        <v>4822</v>
      </c>
      <c r="B11" s="167" t="n">
        <v>8760</v>
      </c>
    </row>
    <row r="12" customFormat="false" ht="15" hidden="false" customHeight="true" outlineLevel="0" collapsed="false">
      <c r="A12" s="1" t="s">
        <v>4823</v>
      </c>
      <c r="B12" s="479" t="n">
        <v>850000</v>
      </c>
    </row>
    <row r="13" customFormat="false" ht="15" hidden="false" customHeight="true" outlineLevel="0" collapsed="false">
      <c r="A13" s="1" t="s">
        <v>4824</v>
      </c>
      <c r="B13" s="483" t="n">
        <v>0.025</v>
      </c>
    </row>
    <row r="14" customFormat="false" ht="15" hidden="false" customHeight="true" outlineLevel="0" collapsed="false">
      <c r="A14" s="1" t="s">
        <v>4825</v>
      </c>
      <c r="B14" s="479" t="n">
        <v>4500000</v>
      </c>
    </row>
    <row r="15" customFormat="false" ht="15" hidden="false" customHeight="true" outlineLevel="0" collapsed="false">
      <c r="A15" s="1" t="s">
        <v>4826</v>
      </c>
      <c r="B15" s="483" t="n">
        <v>0.012</v>
      </c>
    </row>
    <row r="16" customFormat="false" ht="15" hidden="false" customHeight="true" outlineLevel="0" collapsed="false">
      <c r="A16" s="1" t="s">
        <v>4827</v>
      </c>
      <c r="B16" s="483" t="n">
        <v>0.03</v>
      </c>
    </row>
    <row r="17" customFormat="false" ht="15" hidden="false" customHeight="true" outlineLevel="0" collapsed="false">
      <c r="A17" s="1" t="s">
        <v>4828</v>
      </c>
      <c r="B17" s="963" t="n">
        <v>30</v>
      </c>
    </row>
    <row r="18" customFormat="false" ht="15" hidden="false" customHeight="true" outlineLevel="0" collapsed="false">
      <c r="A18" s="1" t="s">
        <v>4829</v>
      </c>
      <c r="B18" s="483" t="n">
        <v>0.08</v>
      </c>
    </row>
    <row r="20" customFormat="false" ht="15" hidden="false" customHeight="true" outlineLevel="0" collapsed="false">
      <c r="A20" s="958" t="s">
        <v>4830</v>
      </c>
    </row>
    <row r="22" customFormat="false" ht="15" hidden="false" customHeight="true" outlineLevel="0" collapsed="false">
      <c r="A22" s="964" t="s">
        <v>4831</v>
      </c>
      <c r="B22" s="965" t="n">
        <v>0</v>
      </c>
      <c r="C22" s="966" t="n">
        <v>1</v>
      </c>
      <c r="D22" s="966" t="n">
        <v>2</v>
      </c>
      <c r="E22" s="966" t="n">
        <v>3</v>
      </c>
      <c r="F22" s="966" t="n">
        <v>4</v>
      </c>
      <c r="G22" s="966" t="n">
        <v>5</v>
      </c>
      <c r="H22" s="966" t="n">
        <v>6</v>
      </c>
      <c r="I22" s="966" t="n">
        <v>7</v>
      </c>
      <c r="J22" s="966" t="n">
        <v>8</v>
      </c>
      <c r="K22" s="967" t="s">
        <v>4672</v>
      </c>
    </row>
    <row r="23" customFormat="false" ht="15" hidden="false" customHeight="true" outlineLevel="0" collapsed="false">
      <c r="A23" s="968" t="s">
        <v>4832</v>
      </c>
      <c r="B23" s="969" t="n">
        <f aca="false">$B$6</f>
        <v>1088341827.06739</v>
      </c>
      <c r="C23" s="970"/>
      <c r="D23" s="970"/>
      <c r="E23" s="970"/>
      <c r="F23" s="970"/>
      <c r="G23" s="970"/>
      <c r="H23" s="970"/>
      <c r="I23" s="970"/>
      <c r="J23" s="970"/>
      <c r="K23" s="969" t="n">
        <f aca="false">B23+SUM(C23:J23)</f>
        <v>1088341827.06739</v>
      </c>
    </row>
    <row r="24" customFormat="false" ht="15" hidden="false" customHeight="true" outlineLevel="0" collapsed="false">
      <c r="A24" s="970" t="s">
        <v>4833</v>
      </c>
      <c r="B24" s="970"/>
      <c r="C24" s="971" t="n">
        <f aca="false">$B$8*$B$7*1000*$B$9*$B$11*$B$10*(1+$B$16)^(C$22-1)</f>
        <v>57947400</v>
      </c>
      <c r="D24" s="971" t="n">
        <f aca="false">$B$8*$B$7*1000*$B$9*$B$11*$B$10*(1+$B$16)^(D$22-1)</f>
        <v>59685822</v>
      </c>
      <c r="E24" s="971" t="n">
        <f aca="false">$B$8*$B$7*1000*$B$9*$B$11*$B$10*(1+$B$16)^(E$22-1)</f>
        <v>61476396.66</v>
      </c>
      <c r="F24" s="971" t="n">
        <f aca="false">$B$8*$B$7*1000*$B$9*$B$11*$B$10*(1+$B$16)^(F$22-1)</f>
        <v>63320688.5598</v>
      </c>
      <c r="G24" s="971" t="n">
        <f aca="false">$B$8*$B$7*1000*$B$9*$B$11*$B$10*(1+$B$16)^(G$22-1)</f>
        <v>65220309.216594</v>
      </c>
      <c r="H24" s="971" t="n">
        <f aca="false">$B$8*$B$7*1000*$B$9*$B$11*$B$10*(1+$B$16)^(H$22-1)</f>
        <v>67176918.4930918</v>
      </c>
      <c r="I24" s="971" t="n">
        <f aca="false">$B$8*$B$7*1000*$B$9*$B$11*$B$10*(1+$B$16)^(I$22-1)</f>
        <v>69192226.0478846</v>
      </c>
      <c r="J24" s="971" t="n">
        <f aca="false">$B$8*$B$7*1000*$B$9*$B$11*$B$10*(1+$B$16)^(J$22-1)</f>
        <v>71267992.8293211</v>
      </c>
      <c r="K24" s="969" t="n">
        <f aca="false">SUM(C24:J24)</f>
        <v>515287753.806692</v>
      </c>
    </row>
    <row r="25" customFormat="false" ht="15" hidden="false" customHeight="true" outlineLevel="0" collapsed="false">
      <c r="A25" s="970" t="s">
        <v>4834</v>
      </c>
      <c r="B25" s="970"/>
      <c r="C25" s="971" t="n">
        <f aca="false">$B$12*$B$9*(1+$B$16)^(C$22-1)</f>
        <v>595000</v>
      </c>
      <c r="D25" s="971" t="n">
        <f aca="false">$B$12*$B$9*(1+$B$16)^(D$22-1)</f>
        <v>612850</v>
      </c>
      <c r="E25" s="971" t="n">
        <f aca="false">$B$12*$B$9*(1+$B$16)^(E$22-1)</f>
        <v>631235.5</v>
      </c>
      <c r="F25" s="971" t="n">
        <f aca="false">$B$12*$B$9*(1+$B$16)^(F$22-1)</f>
        <v>650172.565</v>
      </c>
      <c r="G25" s="971" t="n">
        <f aca="false">$B$12*$B$9*(1+$B$16)^(G$22-1)</f>
        <v>669677.74195</v>
      </c>
      <c r="H25" s="971" t="n">
        <f aca="false">$B$12*$B$9*(1+$B$16)^(H$22-1)</f>
        <v>689768.0742085</v>
      </c>
      <c r="I25" s="971" t="n">
        <f aca="false">$B$12*$B$9*(1+$B$16)^(I$22-1)</f>
        <v>710461.116434755</v>
      </c>
      <c r="J25" s="971" t="n">
        <f aca="false">$B$12*$B$9*(1+$B$16)^(J$22-1)</f>
        <v>731774.949927798</v>
      </c>
      <c r="K25" s="969" t="n">
        <f aca="false">SUM(C25:J25)</f>
        <v>5290939.94752105</v>
      </c>
    </row>
    <row r="26" customFormat="false" ht="15" hidden="false" customHeight="true" outlineLevel="0" collapsed="false">
      <c r="A26" s="970" t="s">
        <v>4835</v>
      </c>
      <c r="B26" s="970"/>
      <c r="C26" s="971" t="n">
        <f aca="false">$B$6*$B$13*(1+$B$16)^(C$22-1)</f>
        <v>27208545.6766848</v>
      </c>
      <c r="D26" s="971" t="n">
        <f aca="false">$B$6*$B$13*(1+$B$16)^(D$22-1)</f>
        <v>28024802.0469853</v>
      </c>
      <c r="E26" s="971" t="n">
        <f aca="false">$B$6*$B$13*(1+$B$16)^(E$22-1)</f>
        <v>28865546.1083949</v>
      </c>
      <c r="F26" s="971" t="n">
        <f aca="false">$B$6*$B$13*(1+$B$16)^(F$22-1)</f>
        <v>29731512.4916467</v>
      </c>
      <c r="G26" s="971" t="n">
        <f aca="false">$B$6*$B$13*(1+$B$16)^(G$22-1)</f>
        <v>30623457.8663962</v>
      </c>
      <c r="H26" s="971" t="n">
        <f aca="false">$B$6*$B$13*(1+$B$16)^(H$22-1)</f>
        <v>31542161.602388</v>
      </c>
      <c r="I26" s="971" t="n">
        <f aca="false">$B$6*$B$13*(1+$B$16)^(I$22-1)</f>
        <v>32488426.4504597</v>
      </c>
      <c r="J26" s="971" t="n">
        <f aca="false">$B$6*$B$13*(1+$B$16)^(J$22-1)</f>
        <v>33463079.2439735</v>
      </c>
      <c r="K26" s="969" t="n">
        <f aca="false">SUM(C26:J26)</f>
        <v>241947531.486929</v>
      </c>
    </row>
    <row r="27" customFormat="false" ht="15" hidden="false" customHeight="true" outlineLevel="0" collapsed="false">
      <c r="A27" s="970" t="s">
        <v>4836</v>
      </c>
      <c r="B27" s="970"/>
      <c r="C27" s="971" t="n">
        <f aca="false">$B$14*(1+$B$16)^(C$22-1)</f>
        <v>4500000</v>
      </c>
      <c r="D27" s="971" t="n">
        <f aca="false">$B$14*(1+$B$16)^(D$22-1)</f>
        <v>4635000</v>
      </c>
      <c r="E27" s="971" t="n">
        <f aca="false">$B$14*(1+$B$16)^(E$22-1)</f>
        <v>4774050</v>
      </c>
      <c r="F27" s="971" t="n">
        <f aca="false">$B$14*(1+$B$16)^(F$22-1)</f>
        <v>4917271.5</v>
      </c>
      <c r="G27" s="971" t="n">
        <f aca="false">$B$14*(1+$B$16)^(G$22-1)</f>
        <v>5064789.645</v>
      </c>
      <c r="H27" s="971" t="n">
        <f aca="false">$B$14*(1+$B$16)^(H$22-1)</f>
        <v>5216733.33435</v>
      </c>
      <c r="I27" s="971" t="n">
        <f aca="false">$B$14*(1+$B$16)^(I$22-1)</f>
        <v>5373235.3343805</v>
      </c>
      <c r="J27" s="971" t="n">
        <f aca="false">$B$14*(1+$B$16)^(J$22-1)</f>
        <v>5534432.39441192</v>
      </c>
      <c r="K27" s="969" t="n">
        <f aca="false">SUM(C27:J27)</f>
        <v>40015512.2081424</v>
      </c>
    </row>
    <row r="28" customFormat="false" ht="15" hidden="false" customHeight="true" outlineLevel="0" collapsed="false">
      <c r="A28" s="970" t="s">
        <v>4837</v>
      </c>
      <c r="B28" s="970"/>
      <c r="C28" s="971" t="n">
        <f aca="false">$B$6*$B$15*(1+$B$16)^(C$22-1)</f>
        <v>13060101.9248087</v>
      </c>
      <c r="D28" s="971" t="n">
        <f aca="false">$B$6*$B$15*(1+$B$16)^(D$22-1)</f>
        <v>13451904.982553</v>
      </c>
      <c r="E28" s="971" t="n">
        <f aca="false">$B$6*$B$15*(1+$B$16)^(E$22-1)</f>
        <v>13855462.1320295</v>
      </c>
      <c r="F28" s="971" t="n">
        <f aca="false">$B$6*$B$15*(1+$B$16)^(F$22-1)</f>
        <v>14271125.9959904</v>
      </c>
      <c r="G28" s="971" t="n">
        <f aca="false">$B$6*$B$15*(1+$B$16)^(G$22-1)</f>
        <v>14699259.7758702</v>
      </c>
      <c r="H28" s="971" t="n">
        <f aca="false">$B$6*$B$15*(1+$B$16)^(H$22-1)</f>
        <v>15140237.5691463</v>
      </c>
      <c r="I28" s="971" t="n">
        <f aca="false">$B$6*$B$15*(1+$B$16)^(I$22-1)</f>
        <v>15594444.6962206</v>
      </c>
      <c r="J28" s="971" t="n">
        <f aca="false">$B$6*$B$15*(1+$B$16)^(J$22-1)</f>
        <v>16062278.0371073</v>
      </c>
      <c r="K28" s="969" t="n">
        <f aca="false">SUM(C28:J28)</f>
        <v>116134815.113726</v>
      </c>
    </row>
    <row r="29" customFormat="false" ht="15" hidden="false" customHeight="true" outlineLevel="0" collapsed="false">
      <c r="A29" s="972" t="s">
        <v>4838</v>
      </c>
      <c r="B29" s="970"/>
      <c r="C29" s="973" t="n">
        <f aca="false">$B$6/$B$17</f>
        <v>36278060.9022464</v>
      </c>
      <c r="D29" s="973" t="n">
        <f aca="false">$B$6/$B$17</f>
        <v>36278060.9022464</v>
      </c>
      <c r="E29" s="973" t="n">
        <f aca="false">$B$6/$B$17</f>
        <v>36278060.9022464</v>
      </c>
      <c r="F29" s="973" t="n">
        <f aca="false">$B$6/$B$17</f>
        <v>36278060.9022464</v>
      </c>
      <c r="G29" s="973" t="n">
        <f aca="false">$B$6/$B$17</f>
        <v>36278060.9022464</v>
      </c>
      <c r="H29" s="973" t="n">
        <f aca="false">$B$6/$B$17</f>
        <v>36278060.9022464</v>
      </c>
      <c r="I29" s="973" t="n">
        <f aca="false">$B$6/$B$17</f>
        <v>36278060.9022464</v>
      </c>
      <c r="J29" s="973" t="n">
        <f aca="false">$B$6/$B$17</f>
        <v>36278060.9022464</v>
      </c>
      <c r="K29" s="974" t="n">
        <f aca="false">SUM(C29:J29)</f>
        <v>290224487.217971</v>
      </c>
    </row>
    <row r="30" customFormat="false" ht="15" hidden="false" customHeight="true" outlineLevel="0" collapsed="false">
      <c r="A30" s="970"/>
      <c r="B30" s="970"/>
      <c r="C30" s="970"/>
      <c r="D30" s="970"/>
      <c r="E30" s="970"/>
      <c r="F30" s="970"/>
      <c r="G30" s="970"/>
      <c r="H30" s="970"/>
      <c r="I30" s="970"/>
      <c r="J30" s="970"/>
      <c r="K30" s="970"/>
    </row>
    <row r="31" customFormat="false" ht="15" hidden="false" customHeight="true" outlineLevel="0" collapsed="false">
      <c r="A31" s="975" t="s">
        <v>4839</v>
      </c>
      <c r="B31" s="976"/>
      <c r="C31" s="977" t="n">
        <f aca="false">SUM(C24:C28)</f>
        <v>103311047.601493</v>
      </c>
      <c r="D31" s="977" t="n">
        <f aca="false">SUM(D24:D28)</f>
        <v>106410379.029538</v>
      </c>
      <c r="E31" s="977" t="n">
        <f aca="false">SUM(E24:E28)</f>
        <v>109602690.400424</v>
      </c>
      <c r="F31" s="977" t="n">
        <f aca="false">SUM(F24:F28)</f>
        <v>112890771.112437</v>
      </c>
      <c r="G31" s="977" t="n">
        <f aca="false">SUM(G24:G28)</f>
        <v>116277494.24581</v>
      </c>
      <c r="H31" s="977" t="n">
        <f aca="false">SUM(H24:H28)</f>
        <v>119765819.073185</v>
      </c>
      <c r="I31" s="977" t="n">
        <f aca="false">SUM(I24:I28)</f>
        <v>123358793.64538</v>
      </c>
      <c r="J31" s="977" t="n">
        <f aca="false">SUM(J24:J28)</f>
        <v>127059557.454742</v>
      </c>
      <c r="K31" s="977" t="n">
        <f aca="false">SUM(C31:J31)</f>
        <v>918676552.56301</v>
      </c>
    </row>
    <row r="32" customFormat="false" ht="15" hidden="false" customHeight="true" outlineLevel="0" collapsed="false">
      <c r="A32" s="978" t="s">
        <v>4840</v>
      </c>
      <c r="B32" s="979" t="n">
        <f aca="false">B23</f>
        <v>1088341827.06739</v>
      </c>
      <c r="C32" s="979" t="n">
        <f aca="false">B32+C31</f>
        <v>1191652874.66889</v>
      </c>
      <c r="D32" s="979" t="n">
        <f aca="false">C32+D31</f>
        <v>1298063253.69842</v>
      </c>
      <c r="E32" s="979" t="n">
        <f aca="false">D32+E31</f>
        <v>1407665944.09885</v>
      </c>
      <c r="F32" s="979" t="n">
        <f aca="false">E32+F31</f>
        <v>1520556715.21129</v>
      </c>
      <c r="G32" s="979" t="n">
        <f aca="false">F32+G31</f>
        <v>1636834209.4571</v>
      </c>
      <c r="H32" s="979" t="n">
        <f aca="false">G32+H31</f>
        <v>1756600028.53028</v>
      </c>
      <c r="I32" s="979" t="n">
        <f aca="false">H32+I31</f>
        <v>1879958822.17566</v>
      </c>
      <c r="J32" s="979" t="n">
        <f aca="false">I32+J31</f>
        <v>2007018379.6304</v>
      </c>
      <c r="K32" s="979" t="n">
        <f aca="false">J32</f>
        <v>2007018379.6304</v>
      </c>
    </row>
    <row r="35" customFormat="false" ht="15" hidden="false" customHeight="true" outlineLevel="0" collapsed="false">
      <c r="A35" s="958" t="s">
        <v>4841</v>
      </c>
    </row>
    <row r="37" customFormat="false" ht="15" hidden="false" customHeight="true" outlineLevel="0" collapsed="false">
      <c r="A37" s="163" t="s">
        <v>4842</v>
      </c>
      <c r="B37" s="980" t="n">
        <f aca="false">B23</f>
        <v>1088341827.06739</v>
      </c>
    </row>
    <row r="38" customFormat="false" ht="15" hidden="false" customHeight="true" outlineLevel="0" collapsed="false">
      <c r="A38" s="163" t="s">
        <v>4843</v>
      </c>
      <c r="B38" s="980" t="n">
        <f aca="false">K31</f>
        <v>918676552.56301</v>
      </c>
    </row>
    <row r="39" customFormat="false" ht="15" hidden="false" customHeight="true" outlineLevel="0" collapsed="false">
      <c r="A39" s="163" t="s">
        <v>4844</v>
      </c>
      <c r="B39" s="981" t="n">
        <f aca="false">B37+B38</f>
        <v>2007018379.6304</v>
      </c>
    </row>
    <row r="40" customFormat="false" ht="15" hidden="false" customHeight="true" outlineLevel="0" collapsed="false">
      <c r="A40" s="163" t="s">
        <v>4845</v>
      </c>
      <c r="B40" s="243" t="n">
        <f aca="false">IF(B37=0,0,B38/B37)</f>
        <v>0.844106630578046</v>
      </c>
    </row>
    <row r="41" customFormat="false" ht="15" hidden="false" customHeight="true" outlineLevel="0" collapsed="false">
      <c r="A41" s="163" t="s">
        <v>4846</v>
      </c>
      <c r="B41" s="323" t="n">
        <f aca="false">B38/8</f>
        <v>114834569.070376</v>
      </c>
    </row>
    <row r="42" customFormat="false" ht="15" hidden="false" customHeight="true" outlineLevel="0" collapsed="false">
      <c r="A42" s="163" t="s">
        <v>4847</v>
      </c>
      <c r="B42" s="323" t="n">
        <f aca="false">IF(B7=0,0,C31/B7)</f>
        <v>1147900.52890548</v>
      </c>
    </row>
    <row r="43" customFormat="false" ht="15" hidden="false" customHeight="true" outlineLevel="0" collapsed="false">
      <c r="A43" s="163" t="s">
        <v>4848</v>
      </c>
      <c r="B43" s="323" t="n">
        <f aca="false">IF(B7=0,0,C31/(B7*1000))</f>
        <v>1147.90052890548</v>
      </c>
    </row>
    <row r="44" customFormat="false" ht="15" hidden="false" customHeight="true" outlineLevel="0" collapsed="false">
      <c r="A44" s="163" t="s">
        <v>4849</v>
      </c>
      <c r="B44" s="323" t="n">
        <f aca="false">IF(B7=0,0,B39/B7)</f>
        <v>22300204.2181156</v>
      </c>
    </row>
    <row r="45" customFormat="false" ht="15" hidden="false" customHeight="true" outlineLevel="0" collapsed="false">
      <c r="A45" s="163" t="s">
        <v>4850</v>
      </c>
      <c r="B45" s="323" t="n">
        <f aca="false">NPV(B18,C31,D31,E31,F31,G31,H31,I31,J31)</f>
        <v>652106649.379278</v>
      </c>
    </row>
    <row r="46" customFormat="false" ht="15" hidden="false" customHeight="true" outlineLevel="0" collapsed="false">
      <c r="A46" s="163" t="s">
        <v>4851</v>
      </c>
      <c r="B46" s="981" t="n">
        <f aca="false">B23+B45</f>
        <v>1740448476.44667</v>
      </c>
    </row>
    <row r="48" customFormat="false" ht="15" hidden="false" customHeight="true" outlineLevel="0" collapsed="false">
      <c r="A48" s="958" t="s">
        <v>4852</v>
      </c>
    </row>
    <row r="50" customFormat="false" ht="15" hidden="false" customHeight="true" outlineLevel="0" collapsed="false">
      <c r="A50" s="982" t="s">
        <v>4853</v>
      </c>
      <c r="B50" s="983" t="n">
        <f aca="false">$B$10-0.02</f>
        <v>0.055</v>
      </c>
      <c r="C50" s="983" t="n">
        <f aca="false">$B$10-0.01</f>
        <v>0.065</v>
      </c>
      <c r="D50" s="984" t="n">
        <f aca="false">$B$10</f>
        <v>0.075</v>
      </c>
      <c r="E50" s="983" t="n">
        <f aca="false">$B$10+0.01</f>
        <v>0.085</v>
      </c>
      <c r="F50" s="985" t="n">
        <f aca="false">$B$10+0.02</f>
        <v>0.095</v>
      </c>
    </row>
    <row r="51" customFormat="false" ht="15" hidden="false" customHeight="true" outlineLevel="0" collapsed="false">
      <c r="A51" s="986" t="n">
        <f aca="false">$B$8-0.2</f>
        <v>1.2</v>
      </c>
      <c r="B51" s="987" t="n">
        <f aca="false">($B$6+($A51*$B$7*1000*$B$9*$B$11*B$50+$B$12*$B$9+$B$6*$B$13+$B$14+$B$6*$B$15)*(((1+$B$16)^8-1)/$B$16))/1000000</f>
        <v>1815.62578535935</v>
      </c>
      <c r="C51" s="987" t="n">
        <f aca="false">($B$6+($A51*$B$7*1000*$B$9*$B$11*C$50+$B$12*$B$9+$B$6*$B$13+$B$14+$B$6*$B$15)*(((1+$B$16)^8-1)/$B$16))/1000000</f>
        <v>1874.51581436582</v>
      </c>
      <c r="D51" s="987" t="n">
        <f aca="false">($B$6+($A51*$B$7*1000*$B$9*$B$11*D$50+$B$12*$B$9+$B$6*$B$13+$B$14+$B$6*$B$15)*(((1+$B$16)^8-1)/$B$16))/1000000</f>
        <v>1933.4058433723</v>
      </c>
      <c r="E51" s="987" t="n">
        <f aca="false">($B$6+($A51*$B$7*1000*$B$9*$B$11*E$50+$B$12*$B$9+$B$6*$B$13+$B$14+$B$6*$B$15)*(((1+$B$16)^8-1)/$B$16))/1000000</f>
        <v>1992.29587237878</v>
      </c>
      <c r="F51" s="988" t="n">
        <f aca="false">($B$6+($A51*$B$7*1000*$B$9*$B$11*F$50+$B$12*$B$9+$B$6*$B$13+$B$14+$B$6*$B$15)*(((1+$B$16)^8-1)/$B$16))/1000000</f>
        <v>2051.18590138526</v>
      </c>
    </row>
    <row r="52" customFormat="false" ht="15" hidden="false" customHeight="true" outlineLevel="0" collapsed="false">
      <c r="A52" s="986" t="n">
        <f aca="false">$B$8-0.1</f>
        <v>1.3</v>
      </c>
      <c r="B52" s="987" t="n">
        <f aca="false">($B$6+($A52*$B$7*1000*$B$9*$B$11*B$50+$B$12*$B$9+$B$6*$B$13+$B$14+$B$6*$B$15)*(((1+$B$16)^8-1)/$B$16))/1000000</f>
        <v>1842.61704865398</v>
      </c>
      <c r="C52" s="987" t="n">
        <f aca="false">($B$6+($A52*$B$7*1000*$B$9*$B$11*C$50+$B$12*$B$9+$B$6*$B$13+$B$14+$B$6*$B$15)*(((1+$B$16)^8-1)/$B$16))/1000000</f>
        <v>1906.41458007767</v>
      </c>
      <c r="D52" s="987" t="n">
        <f aca="false">($B$6+($A52*$B$7*1000*$B$9*$B$11*D$50+$B$12*$B$9+$B$6*$B$13+$B$14+$B$6*$B$15)*(((1+$B$16)^8-1)/$B$16))/1000000</f>
        <v>1970.21211150135</v>
      </c>
      <c r="E52" s="987" t="n">
        <f aca="false">($B$6+($A52*$B$7*1000*$B$9*$B$11*E$50+$B$12*$B$9+$B$6*$B$13+$B$14+$B$6*$B$15)*(((1+$B$16)^8-1)/$B$16))/1000000</f>
        <v>2034.00964292504</v>
      </c>
      <c r="F52" s="988" t="n">
        <f aca="false">($B$6+($A52*$B$7*1000*$B$9*$B$11*F$50+$B$12*$B$9+$B$6*$B$13+$B$14+$B$6*$B$15)*(((1+$B$16)^8-1)/$B$16))/1000000</f>
        <v>2097.80717434872</v>
      </c>
    </row>
    <row r="53" customFormat="false" ht="15" hidden="false" customHeight="true" outlineLevel="0" collapsed="false">
      <c r="A53" s="989" t="n">
        <f aca="false">$B$8</f>
        <v>1.4</v>
      </c>
      <c r="B53" s="987" t="n">
        <f aca="false">($B$6+($A53*$B$7*1000*$B$9*$B$11*B$50+$B$12*$B$9+$B$6*$B$13+$B$14+$B$6*$B$15)*(((1+$B$16)^8-1)/$B$16))/1000000</f>
        <v>1869.60831194862</v>
      </c>
      <c r="C53" s="987" t="n">
        <f aca="false">($B$6+($A53*$B$7*1000*$B$9*$B$11*C$50+$B$12*$B$9+$B$6*$B$13+$B$14+$B$6*$B$15)*(((1+$B$16)^8-1)/$B$16))/1000000</f>
        <v>1938.31334578951</v>
      </c>
      <c r="D53" s="990" t="n">
        <f aca="false">($B$6+($A53*$B$7*1000*$B$9*$B$11*D$50+$B$12*$B$9+$B$6*$B$13+$B$14+$B$6*$B$15)*(((1+$B$16)^8-1)/$B$16))/1000000</f>
        <v>2007.0183796304</v>
      </c>
      <c r="E53" s="987" t="n">
        <f aca="false">($B$6+($A53*$B$7*1000*$B$9*$B$11*E$50+$B$12*$B$9+$B$6*$B$13+$B$14+$B$6*$B$15)*(((1+$B$16)^8-1)/$B$16))/1000000</f>
        <v>2075.7234134713</v>
      </c>
      <c r="F53" s="988" t="n">
        <f aca="false">($B$6+($A53*$B$7*1000*$B$9*$B$11*F$50+$B$12*$B$9+$B$6*$B$13+$B$14+$B$6*$B$15)*(((1+$B$16)^8-1)/$B$16))/1000000</f>
        <v>2144.42844731219</v>
      </c>
    </row>
    <row r="54" customFormat="false" ht="15" hidden="false" customHeight="true" outlineLevel="0" collapsed="false">
      <c r="A54" s="986" t="n">
        <f aca="false">$B$8+0.1</f>
        <v>1.5</v>
      </c>
      <c r="B54" s="987" t="n">
        <f aca="false">($B$6+($A54*$B$7*1000*$B$9*$B$11*B$50+$B$12*$B$9+$B$6*$B$13+$B$14+$B$6*$B$15)*(((1+$B$16)^8-1)/$B$16))/1000000</f>
        <v>1896.59957524325</v>
      </c>
      <c r="C54" s="987" t="n">
        <f aca="false">($B$6+($A54*$B$7*1000*$B$9*$B$11*C$50+$B$12*$B$9+$B$6*$B$13+$B$14+$B$6*$B$15)*(((1+$B$16)^8-1)/$B$16))/1000000</f>
        <v>1970.21211150135</v>
      </c>
      <c r="D54" s="987" t="n">
        <f aca="false">($B$6+($A54*$B$7*1000*$B$9*$B$11*D$50+$B$12*$B$9+$B$6*$B$13+$B$14+$B$6*$B$15)*(((1+$B$16)^8-1)/$B$16))/1000000</f>
        <v>2043.82464775945</v>
      </c>
      <c r="E54" s="987" t="n">
        <f aca="false">($B$6+($A54*$B$7*1000*$B$9*$B$11*E$50+$B$12*$B$9+$B$6*$B$13+$B$14+$B$6*$B$15)*(((1+$B$16)^8-1)/$B$16))/1000000</f>
        <v>2117.43718401755</v>
      </c>
      <c r="F54" s="988" t="n">
        <f aca="false">($B$6+($A54*$B$7*1000*$B$9*$B$11*F$50+$B$12*$B$9+$B$6*$B$13+$B$14+$B$6*$B$15)*(((1+$B$16)^8-1)/$B$16))/1000000</f>
        <v>2191.04972027565</v>
      </c>
    </row>
    <row r="55" customFormat="false" ht="15" hidden="false" customHeight="true" outlineLevel="0" collapsed="false">
      <c r="A55" s="991" t="n">
        <f aca="false">$B$8+0.2</f>
        <v>1.6</v>
      </c>
      <c r="B55" s="992" t="n">
        <f aca="false">($B$6+($A55*$B$7*1000*$B$9*$B$11*B$50+$B$12*$B$9+$B$6*$B$13+$B$14+$B$6*$B$15)*(((1+$B$16)^8-1)/$B$16))/1000000</f>
        <v>1923.59083853789</v>
      </c>
      <c r="C55" s="992" t="n">
        <f aca="false">($B$6+($A55*$B$7*1000*$B$9*$B$11*C$50+$B$12*$B$9+$B$6*$B$13+$B$14+$B$6*$B$15)*(((1+$B$16)^8-1)/$B$16))/1000000</f>
        <v>2002.1108772132</v>
      </c>
      <c r="D55" s="992" t="n">
        <f aca="false">($B$6+($A55*$B$7*1000*$B$9*$B$11*D$50+$B$12*$B$9+$B$6*$B$13+$B$14+$B$6*$B$15)*(((1+$B$16)^8-1)/$B$16))/1000000</f>
        <v>2080.6309158885</v>
      </c>
      <c r="E55" s="992" t="n">
        <f aca="false">($B$6+($A55*$B$7*1000*$B$9*$B$11*E$50+$B$12*$B$9+$B$6*$B$13+$B$14+$B$6*$B$15)*(((1+$B$16)^8-1)/$B$16))/1000000</f>
        <v>2159.15095456381</v>
      </c>
      <c r="F55" s="993" t="n">
        <f aca="false">($B$6+($A55*$B$7*1000*$B$9*$B$11*F$50+$B$12*$B$9+$B$6*$B$13+$B$14+$B$6*$B$15)*(((1+$B$16)^8-1)/$B$16))/1000000</f>
        <v>2237.67099323911</v>
      </c>
    </row>
    <row r="57" customFormat="false" ht="15" hidden="false" customHeight="true" outlineLevel="0" collapsed="false">
      <c r="A57" s="163" t="s">
        <v>4854</v>
      </c>
      <c r="B57" s="994" t="str">
        <f aca="false">IF(ROUND(D53*1000000,-3)=ROUND(B39,-3),"✅ Tie","❌ Off by "&amp;TEXT(D53*1000000-B39,"$#,##0"))</f>
        <v>✅ Tie</v>
      </c>
    </row>
  </sheetData>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true"/>
  </sheetPr>
  <dimension ref="A1:I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421875" defaultRowHeight="15" zeroHeight="false" outlineLevelRow="0" outlineLevelCol="0"/>
  <cols>
    <col collapsed="false" customWidth="true" hidden="false" outlineLevel="0" max="1" min="1" style="1" width="8"/>
    <col collapsed="false" customWidth="true" hidden="false" outlineLevel="0" max="2" min="2" style="1" width="30"/>
    <col collapsed="false" customWidth="true" hidden="false" outlineLevel="0" max="9" min="3" style="1" width="15"/>
  </cols>
  <sheetData>
    <row r="1" customFormat="false" ht="27.75" hidden="false" customHeight="true" outlineLevel="0" collapsed="false">
      <c r="A1" s="105" t="s">
        <v>4855</v>
      </c>
      <c r="B1" s="105"/>
      <c r="C1" s="105"/>
      <c r="D1" s="105"/>
      <c r="E1" s="105"/>
      <c r="F1" s="105"/>
      <c r="G1" s="105"/>
      <c r="H1" s="105"/>
      <c r="I1" s="105"/>
    </row>
    <row r="2" customFormat="false" ht="15" hidden="false" customHeight="true" outlineLevel="0" collapsed="false">
      <c r="A2" s="3" t="s">
        <v>4856</v>
      </c>
      <c r="B2" s="3"/>
      <c r="C2" s="3"/>
      <c r="D2" s="3"/>
      <c r="E2" s="3"/>
      <c r="F2" s="3"/>
      <c r="G2" s="3"/>
      <c r="H2" s="3"/>
      <c r="I2" s="3"/>
    </row>
    <row r="4" customFormat="false" ht="15" hidden="false" customHeight="true" outlineLevel="0" collapsed="false">
      <c r="A4" s="7" t="s">
        <v>4857</v>
      </c>
      <c r="B4" s="7"/>
      <c r="C4" s="7"/>
      <c r="D4" s="7"/>
    </row>
    <row r="5" customFormat="false" ht="15" hidden="false" customHeight="true" outlineLevel="0" collapsed="false">
      <c r="A5" s="368" t="s">
        <v>4858</v>
      </c>
      <c r="B5" s="368"/>
      <c r="C5" s="368"/>
      <c r="D5" s="369" t="n">
        <f aca="false">'Campus Rollup'!$H$8</f>
        <v>278078401.54143</v>
      </c>
    </row>
    <row r="6" customFormat="false" ht="15" hidden="false" customHeight="true" outlineLevel="0" collapsed="false">
      <c r="A6" s="368" t="s">
        <v>4859</v>
      </c>
      <c r="B6" s="368"/>
      <c r="C6" s="368"/>
      <c r="D6" s="369" t="n">
        <f aca="false">'Campus Rollup'!$H$14</f>
        <v>254106622.443101</v>
      </c>
    </row>
    <row r="7" customFormat="false" ht="15" hidden="false" customHeight="true" outlineLevel="0" collapsed="false">
      <c r="A7" s="368" t="s">
        <v>4860</v>
      </c>
      <c r="B7" s="368"/>
      <c r="C7" s="368"/>
      <c r="D7" s="995" t="n">
        <f aca="false">'Campus Rollup'!$D$8</f>
        <v>30</v>
      </c>
    </row>
    <row r="8" customFormat="false" ht="15" hidden="false" customHeight="true" outlineLevel="0" collapsed="false">
      <c r="A8" s="368" t="s">
        <v>4861</v>
      </c>
      <c r="B8" s="368"/>
      <c r="C8" s="368"/>
      <c r="D8" s="510" t="n">
        <f aca="false">'Construction Budget'!$H$7</f>
        <v>0.035</v>
      </c>
    </row>
    <row r="9" customFormat="false" ht="15" hidden="false" customHeight="true" outlineLevel="0" collapsed="false">
      <c r="A9" s="368" t="s">
        <v>4862</v>
      </c>
      <c r="B9" s="368"/>
      <c r="C9" s="368"/>
      <c r="D9" s="996" t="n">
        <f aca="false">2027</f>
        <v>2027</v>
      </c>
    </row>
    <row r="11" customFormat="false" ht="15" hidden="false" customHeight="true" outlineLevel="0" collapsed="false">
      <c r="A11" s="7" t="s">
        <v>4863</v>
      </c>
      <c r="B11" s="7"/>
      <c r="C11" s="7"/>
      <c r="D11" s="7"/>
      <c r="E11" s="7"/>
      <c r="F11" s="7"/>
      <c r="G11" s="7"/>
      <c r="H11" s="7"/>
      <c r="I11" s="7"/>
    </row>
    <row r="12" customFormat="false" ht="25.5" hidden="false" customHeight="true" outlineLevel="0" collapsed="false">
      <c r="A12" s="503" t="s">
        <v>4864</v>
      </c>
      <c r="B12" s="503" t="s">
        <v>4865</v>
      </c>
      <c r="C12" s="503" t="s">
        <v>4866</v>
      </c>
      <c r="D12" s="503" t="s">
        <v>4867</v>
      </c>
      <c r="E12" s="503" t="s">
        <v>4868</v>
      </c>
      <c r="F12" s="503" t="s">
        <v>4869</v>
      </c>
      <c r="G12" s="503" t="s">
        <v>4870</v>
      </c>
      <c r="H12" s="503" t="s">
        <v>4871</v>
      </c>
      <c r="I12" s="503" t="s">
        <v>4872</v>
      </c>
    </row>
    <row r="13" customFormat="false" ht="15" hidden="false" customHeight="true" outlineLevel="0" collapsed="false">
      <c r="A13" s="790" t="n">
        <v>2026</v>
      </c>
      <c r="B13" s="504" t="s">
        <v>4873</v>
      </c>
      <c r="C13" s="997" t="n">
        <f aca="false">'Campus Rollup'!$D$8</f>
        <v>30</v>
      </c>
      <c r="D13" s="799" t="n">
        <f aca="false">'Campus Rollup'!$H$14+'Campus Rollup'!$H$8</f>
        <v>532185023.984531</v>
      </c>
      <c r="E13" s="998" t="n">
        <f aca="false">(1+'Construction Budget'!$H$7)^MAX(0,A13-$D$9)</f>
        <v>1</v>
      </c>
      <c r="F13" s="999" t="n">
        <f aca="false">D13*E13</f>
        <v>532185023.984531</v>
      </c>
      <c r="G13" s="799" t="n">
        <f aca="false">F13</f>
        <v>532185023.984531</v>
      </c>
      <c r="H13" s="997" t="n">
        <f aca="false">C13</f>
        <v>30</v>
      </c>
      <c r="I13" s="799" t="n">
        <f aca="false">G13/H13</f>
        <v>17739500.7994844</v>
      </c>
    </row>
    <row r="14" customFormat="false" ht="15" hidden="false" customHeight="true" outlineLevel="0" collapsed="false">
      <c r="A14" s="790" t="n">
        <v>2027</v>
      </c>
      <c r="B14" s="504" t="s">
        <v>4874</v>
      </c>
      <c r="C14" s="997" t="n">
        <f aca="false">2*'Campus Rollup'!$D$8</f>
        <v>60</v>
      </c>
      <c r="D14" s="799" t="n">
        <f aca="false">2*'Campus Rollup'!$H$8</f>
        <v>556156803.082861</v>
      </c>
      <c r="E14" s="998" t="n">
        <f aca="false">(1+'Construction Budget'!$H$7)^MAX(0,A14-$D$9)</f>
        <v>1</v>
      </c>
      <c r="F14" s="999" t="n">
        <f aca="false">D14*E14</f>
        <v>556156803.082861</v>
      </c>
      <c r="G14" s="799" t="n">
        <f aca="false">G13+F14</f>
        <v>1088341827.06739</v>
      </c>
      <c r="H14" s="997" t="n">
        <f aca="false">H13+C14</f>
        <v>90</v>
      </c>
      <c r="I14" s="799" t="n">
        <f aca="false">G14/H14</f>
        <v>12092686.9674155</v>
      </c>
    </row>
    <row r="15" customFormat="false" ht="15" hidden="false" customHeight="true" outlineLevel="0" collapsed="false">
      <c r="A15" s="790" t="n">
        <v>2028</v>
      </c>
      <c r="B15" s="504" t="s">
        <v>4875</v>
      </c>
      <c r="C15" s="997" t="n">
        <f aca="false">'Campus Rollup'!$D$8</f>
        <v>30</v>
      </c>
      <c r="D15" s="799" t="n">
        <f aca="false">'Campus Rollup'!$H$8</f>
        <v>278078401.54143</v>
      </c>
      <c r="E15" s="998" t="n">
        <f aca="false">(1+'Construction Budget'!$H$7)^MAX(0,A15-$D$9)</f>
        <v>1.035</v>
      </c>
      <c r="F15" s="999" t="n">
        <f aca="false">D15*E15</f>
        <v>287811145.59538</v>
      </c>
      <c r="G15" s="799" t="n">
        <f aca="false">G14+F15</f>
        <v>1376152972.66277</v>
      </c>
      <c r="H15" s="997" t="n">
        <f aca="false">H14+C15</f>
        <v>120</v>
      </c>
      <c r="I15" s="799" t="n">
        <f aca="false">G15/H15</f>
        <v>11467941.4388564</v>
      </c>
    </row>
    <row r="16" customFormat="false" ht="15" hidden="false" customHeight="true" outlineLevel="0" collapsed="false">
      <c r="A16" s="790" t="n">
        <v>2029</v>
      </c>
      <c r="B16" s="504" t="s">
        <v>4876</v>
      </c>
      <c r="C16" s="997" t="n">
        <f aca="false">'Campus Rollup'!$D$8</f>
        <v>30</v>
      </c>
      <c r="D16" s="799" t="n">
        <f aca="false">'Campus Rollup'!$H$8</f>
        <v>278078401.54143</v>
      </c>
      <c r="E16" s="998" t="n">
        <f aca="false">(1+'Construction Budget'!$H$7)^MAX(0,A16-$D$9)</f>
        <v>1.071225</v>
      </c>
      <c r="F16" s="999" t="n">
        <f aca="false">D16*E16</f>
        <v>297884535.691219</v>
      </c>
      <c r="G16" s="799" t="n">
        <f aca="false">G15+F16</f>
        <v>1674037508.35399</v>
      </c>
      <c r="H16" s="997" t="n">
        <f aca="false">H15+C16</f>
        <v>150</v>
      </c>
      <c r="I16" s="799" t="n">
        <f aca="false">G16/H16</f>
        <v>11160250.0556933</v>
      </c>
    </row>
    <row r="17" customFormat="false" ht="15" hidden="false" customHeight="true" outlineLevel="0" collapsed="false">
      <c r="A17" s="790" t="n">
        <v>2030</v>
      </c>
      <c r="B17" s="504" t="s">
        <v>4877</v>
      </c>
      <c r="C17" s="997" t="n">
        <f aca="false">'Campus Rollup'!$D$8</f>
        <v>30</v>
      </c>
      <c r="D17" s="799" t="n">
        <f aca="false">'Campus Rollup'!$H$8</f>
        <v>278078401.54143</v>
      </c>
      <c r="E17" s="998" t="n">
        <f aca="false">(1+'Construction Budget'!$H$7)^MAX(0,A17-$D$9)</f>
        <v>1.108717875</v>
      </c>
      <c r="F17" s="999" t="n">
        <f aca="false">D17*E17</f>
        <v>308310494.440411</v>
      </c>
      <c r="G17" s="799" t="n">
        <f aca="false">G16+F17</f>
        <v>1982348002.7944</v>
      </c>
      <c r="H17" s="997" t="n">
        <f aca="false">H16+C17</f>
        <v>180</v>
      </c>
      <c r="I17" s="799" t="n">
        <f aca="false">G17/H17</f>
        <v>11013044.4599689</v>
      </c>
    </row>
    <row r="18" customFormat="false" ht="15" hidden="false" customHeight="true" outlineLevel="0" collapsed="false">
      <c r="B18" s="10" t="s">
        <v>4878</v>
      </c>
      <c r="C18" s="1000" t="n">
        <f aca="false">SUM(C13:C17)</f>
        <v>180</v>
      </c>
      <c r="F18" s="1001" t="n">
        <f aca="false">SUM(F13:F17)</f>
        <v>1982348002.7944</v>
      </c>
    </row>
    <row r="20" customFormat="false" ht="15" hidden="false" customHeight="true" outlineLevel="0" collapsed="false">
      <c r="A20" s="7" t="s">
        <v>4879</v>
      </c>
      <c r="B20" s="7"/>
      <c r="C20" s="7"/>
      <c r="D20" s="7"/>
    </row>
    <row r="21" customFormat="false" ht="15" hidden="false" customHeight="true" outlineLevel="0" collapsed="false">
      <c r="A21" s="368" t="s">
        <v>4880</v>
      </c>
      <c r="B21" s="368"/>
      <c r="C21" s="368"/>
      <c r="D21" s="369" t="n">
        <f aca="false">F18</f>
        <v>1982348002.7944</v>
      </c>
    </row>
    <row r="22" customFormat="false" ht="15" hidden="false" customHeight="true" outlineLevel="0" collapsed="false">
      <c r="A22" s="368" t="s">
        <v>4881</v>
      </c>
      <c r="B22" s="368"/>
      <c r="C22" s="368"/>
      <c r="D22" s="995" t="n">
        <f aca="false">H17</f>
        <v>180</v>
      </c>
    </row>
    <row r="23" customFormat="false" ht="15" hidden="false" customHeight="true" outlineLevel="0" collapsed="false">
      <c r="A23" s="368" t="s">
        <v>4882</v>
      </c>
      <c r="B23" s="368"/>
      <c r="C23" s="368"/>
      <c r="D23" s="369" t="n">
        <f aca="false">F18/H17</f>
        <v>11013044.4599689</v>
      </c>
    </row>
    <row r="24" customFormat="false" ht="15" hidden="false" customHeight="true" outlineLevel="0" collapsed="false">
      <c r="A24" s="368" t="s">
        <v>4883</v>
      </c>
      <c r="B24" s="368"/>
      <c r="C24" s="368"/>
      <c r="D24" s="369" t="n">
        <f aca="false">G14</f>
        <v>1088341827.06739</v>
      </c>
    </row>
    <row r="25" customFormat="false" ht="15" hidden="false" customHeight="true" outlineLevel="0" collapsed="false">
      <c r="A25" s="368" t="s">
        <v>4884</v>
      </c>
      <c r="B25" s="368"/>
      <c r="C25" s="368"/>
      <c r="D25" s="369" t="n">
        <f aca="false">F18-G14</f>
        <v>894006175.72701</v>
      </c>
    </row>
  </sheetData>
  <mergeCells count="15">
    <mergeCell ref="A1:I1"/>
    <mergeCell ref="A2:I2"/>
    <mergeCell ref="A4:D4"/>
    <mergeCell ref="A5:C5"/>
    <mergeCell ref="A6:C6"/>
    <mergeCell ref="A7:C7"/>
    <mergeCell ref="A8:C8"/>
    <mergeCell ref="A9:C9"/>
    <mergeCell ref="A11:I11"/>
    <mergeCell ref="A20:D20"/>
    <mergeCell ref="A21:C21"/>
    <mergeCell ref="A22:C22"/>
    <mergeCell ref="A23:C23"/>
    <mergeCell ref="A24:C24"/>
    <mergeCell ref="A25:C25"/>
  </mergeCells>
  <printOptions headings="false" gridLines="false" gridLinesSet="true" horizontalCentered="tru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true"/>
  </sheetPr>
  <dimension ref="A1:AJ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7" topLeftCell="G8" activePane="bottomRight" state="frozen"/>
      <selection pane="topLeft" activeCell="A1" activeCellId="0" sqref="A1"/>
      <selection pane="topRight" activeCell="G1" activeCellId="0" sqref="G1"/>
      <selection pane="bottomLeft" activeCell="A8" activeCellId="0" sqref="A8"/>
      <selection pane="bottomRight" activeCell="I13" activeCellId="0" sqref="I13"/>
    </sheetView>
  </sheetViews>
  <sheetFormatPr defaultColWidth="8.57421875" defaultRowHeight="15" zeroHeight="false" outlineLevelRow="0" outlineLevelCol="0"/>
  <cols>
    <col collapsed="false" customWidth="true" hidden="false" outlineLevel="0" max="1" min="1" style="1" width="41.86"/>
    <col collapsed="false" customWidth="true" hidden="true" outlineLevel="0" max="2" min="2" style="1" width="9.14"/>
    <col collapsed="false" customWidth="true" hidden="false" outlineLevel="0" max="3" min="3" style="1" width="18.14"/>
    <col collapsed="false" customWidth="true" hidden="false" outlineLevel="0" max="6" min="4" style="1" width="12.43"/>
    <col collapsed="false" customWidth="true" hidden="false" outlineLevel="0" max="30" min="7" style="1" width="7.29"/>
  </cols>
  <sheetData>
    <row r="1" customFormat="false" ht="25.5" hidden="false" customHeight="true" outlineLevel="0" collapsed="false">
      <c r="A1" s="1002" t="s">
        <v>4885</v>
      </c>
      <c r="B1" s="1003"/>
      <c r="C1" s="1003"/>
      <c r="D1" s="1003"/>
      <c r="E1" s="1003"/>
      <c r="F1" s="1003"/>
      <c r="G1" s="1003"/>
      <c r="H1" s="1003"/>
      <c r="I1" s="1003"/>
      <c r="J1" s="1003"/>
      <c r="K1" s="1003"/>
      <c r="L1" s="1003"/>
      <c r="M1" s="1003"/>
      <c r="N1" s="1003"/>
      <c r="O1" s="1003"/>
      <c r="P1" s="1003"/>
      <c r="Q1" s="1003"/>
      <c r="R1" s="1003"/>
      <c r="S1" s="1003"/>
      <c r="T1" s="1003"/>
      <c r="U1" s="1003"/>
      <c r="V1" s="1003"/>
      <c r="W1" s="1003"/>
      <c r="X1" s="1003"/>
      <c r="Y1" s="1003"/>
      <c r="Z1" s="1003"/>
      <c r="AA1" s="1003"/>
      <c r="AB1" s="1003"/>
      <c r="AC1" s="1003"/>
      <c r="AD1" s="1003"/>
    </row>
    <row r="3" customFormat="false" ht="15" hidden="false" customHeight="true" outlineLevel="0" collapsed="false">
      <c r="A3" s="905" t="s">
        <v>4886</v>
      </c>
    </row>
    <row r="4" customFormat="false" ht="15" hidden="false" customHeight="true" outlineLevel="0" collapsed="false">
      <c r="A4" s="1004" t="str">
        <f aca="false">"Peak Monthly Draw:   "&amp;TEXT(MAX(G32:AD32),"$#,##0.0,,")&amp;"M"</f>
        <v>Peak Monthly Draw:   $55.5M</v>
      </c>
      <c r="B4" s="1004"/>
      <c r="C4" s="1004"/>
      <c r="D4" s="1004" t="str">
        <f aca="false">"Peak Month:   "&amp;TEXT(INDEX($G$7:$AJ$7,MATCH(MAX(G32:AJ32),G32:AJ32,0)),"mmm-yy")</f>
        <v>Peak Month:   Nov-27</v>
      </c>
      <c r="E4" s="1004"/>
      <c r="F4" s="1004"/>
      <c r="G4" s="1004" t="str">
        <f aca="false">"Avg Monthly Draw:   "&amp;TEXT(K5/E5,"$#,##0.0,,")&amp;"M"</f>
        <v>Avg Monthly Draw:   $36.3M</v>
      </c>
      <c r="H4" s="1004"/>
      <c r="I4" s="1004"/>
      <c r="J4" s="1004"/>
    </row>
    <row r="5" customFormat="false" ht="15" hidden="false" customHeight="true" outlineLevel="0" collapsed="false">
      <c r="A5" s="163" t="str">
        <f aca="false">"Project Start:   "&amp;TEXT(B5,"mmm-yy")</f>
        <v>Project Start:   May-26</v>
      </c>
      <c r="B5" s="1005" t="n">
        <f aca="false">'Construction Budget'!F3</f>
        <v>46143</v>
      </c>
      <c r="C5" s="1006" t="s">
        <v>4887</v>
      </c>
      <c r="D5" s="1006"/>
      <c r="E5" s="177" t="n">
        <v>30</v>
      </c>
      <c r="G5" s="1006" t="s">
        <v>4888</v>
      </c>
      <c r="H5" s="1006"/>
      <c r="I5" s="1006"/>
      <c r="J5" s="1006"/>
      <c r="K5" s="1007" t="n">
        <f aca="false">'Construction Budget'!H842</f>
        <v>1088341827.06739</v>
      </c>
      <c r="L5" s="1007"/>
      <c r="M5" s="1007"/>
      <c r="N5" s="1008"/>
      <c r="P5" s="163"/>
      <c r="Q5" s="1009"/>
    </row>
    <row r="7" customFormat="false" ht="15" hidden="false" customHeight="true" outlineLevel="0" collapsed="false">
      <c r="A7" s="1010" t="s">
        <v>2937</v>
      </c>
      <c r="B7" s="1010" t="s">
        <v>4889</v>
      </c>
      <c r="C7" s="1010" t="s">
        <v>4890</v>
      </c>
      <c r="D7" s="1010" t="s">
        <v>4891</v>
      </c>
      <c r="E7" s="1010" t="s">
        <v>4892</v>
      </c>
      <c r="F7" s="1010" t="s">
        <v>4893</v>
      </c>
      <c r="G7" s="1011" t="n">
        <f aca="false">EOMONTH($B$5,(COLUMN()-COLUMN($F$7))-1)</f>
        <v>46173</v>
      </c>
      <c r="H7" s="1012" t="n">
        <f aca="false">EOMONTH($B$5,(COLUMN()-COLUMN($F$7))-1)</f>
        <v>46203</v>
      </c>
      <c r="I7" s="1012" t="n">
        <f aca="false">EOMONTH($B$5,(COLUMN()-COLUMN($F$7))-1)</f>
        <v>46234</v>
      </c>
      <c r="J7" s="1012" t="n">
        <f aca="false">EOMONTH($B$5,(COLUMN()-COLUMN($F$7))-1)</f>
        <v>46265</v>
      </c>
      <c r="K7" s="1012" t="n">
        <f aca="false">EOMONTH($B$5,(COLUMN()-COLUMN($F$7))-1)</f>
        <v>46295</v>
      </c>
      <c r="L7" s="1012" t="n">
        <f aca="false">EOMONTH($B$5,(COLUMN()-COLUMN($F$7))-1)</f>
        <v>46326</v>
      </c>
      <c r="M7" s="1012" t="n">
        <f aca="false">EOMONTH($B$5,(COLUMN()-COLUMN($F$7))-1)</f>
        <v>46356</v>
      </c>
      <c r="N7" s="1012" t="n">
        <f aca="false">EOMONTH($B$5,(COLUMN()-COLUMN($F$7))-1)</f>
        <v>46387</v>
      </c>
      <c r="O7" s="1012" t="n">
        <f aca="false">EOMONTH($B$5,(COLUMN()-COLUMN($F$7))-1)</f>
        <v>46418</v>
      </c>
      <c r="P7" s="1012" t="n">
        <f aca="false">EOMONTH($B$5,(COLUMN()-COLUMN($F$7))-1)</f>
        <v>46446</v>
      </c>
      <c r="Q7" s="1012" t="n">
        <f aca="false">EOMONTH($B$5,(COLUMN()-COLUMN($F$7))-1)</f>
        <v>46477</v>
      </c>
      <c r="R7" s="1012" t="n">
        <f aca="false">EOMONTH($B$5,(COLUMN()-COLUMN($F$7))-1)</f>
        <v>46507</v>
      </c>
      <c r="S7" s="1012" t="n">
        <f aca="false">EOMONTH($B$5,(COLUMN()-COLUMN($F$7))-1)</f>
        <v>46538</v>
      </c>
      <c r="T7" s="1012" t="n">
        <f aca="false">EOMONTH($B$5,(COLUMN()-COLUMN($F$7))-1)</f>
        <v>46568</v>
      </c>
      <c r="U7" s="1012" t="n">
        <f aca="false">EOMONTH($B$5,(COLUMN()-COLUMN($F$7))-1)</f>
        <v>46599</v>
      </c>
      <c r="V7" s="1012" t="n">
        <f aca="false">EOMONTH($B$5,(COLUMN()-COLUMN($F$7))-1)</f>
        <v>46630</v>
      </c>
      <c r="W7" s="1012" t="n">
        <f aca="false">EOMONTH($B$5,(COLUMN()-COLUMN($F$7))-1)</f>
        <v>46660</v>
      </c>
      <c r="X7" s="1012" t="n">
        <f aca="false">EOMONTH($B$5,(COLUMN()-COLUMN($F$7))-1)</f>
        <v>46691</v>
      </c>
      <c r="Y7" s="1012" t="n">
        <f aca="false">EOMONTH($B$5,(COLUMN()-COLUMN($F$7))-1)</f>
        <v>46721</v>
      </c>
      <c r="Z7" s="1012" t="n">
        <f aca="false">EOMONTH($B$5,(COLUMN()-COLUMN($F$7))-1)</f>
        <v>46752</v>
      </c>
      <c r="AA7" s="1012" t="n">
        <f aca="false">EOMONTH($B$5,(COLUMN()-COLUMN($F$7))-1)</f>
        <v>46783</v>
      </c>
      <c r="AB7" s="1012" t="n">
        <f aca="false">EOMONTH($B$5,(COLUMN()-COLUMN($F$7))-1)</f>
        <v>46812</v>
      </c>
      <c r="AC7" s="1012" t="n">
        <f aca="false">EOMONTH($B$5,(COLUMN()-COLUMN($F$7))-1)</f>
        <v>46843</v>
      </c>
      <c r="AD7" s="1012" t="n">
        <f aca="false">EOMONTH($B$5,(COLUMN()-COLUMN($F$7))-1)</f>
        <v>46873</v>
      </c>
      <c r="AE7" s="1012" t="n">
        <f aca="false">EOMONTH($B$5,(COLUMN()-COLUMN($F$7))-1)</f>
        <v>46904</v>
      </c>
      <c r="AF7" s="1012" t="n">
        <f aca="false">EOMONTH($B$5,(COLUMN()-COLUMN($F$7))-1)</f>
        <v>46934</v>
      </c>
      <c r="AG7" s="1012" t="n">
        <f aca="false">EOMONTH($B$5,(COLUMN()-COLUMN($F$7))-1)</f>
        <v>46965</v>
      </c>
      <c r="AH7" s="1012" t="n">
        <f aca="false">EOMONTH($B$5,(COLUMN()-COLUMN($F$7))-1)</f>
        <v>46996</v>
      </c>
      <c r="AI7" s="1012" t="n">
        <f aca="false">EOMONTH($B$5,(COLUMN()-COLUMN($F$7))-1)</f>
        <v>47026</v>
      </c>
      <c r="AJ7" s="1012" t="n">
        <f aca="false">EOMONTH($B$5,(COLUMN()-COLUMN($F$7))-1)</f>
        <v>47057</v>
      </c>
    </row>
    <row r="8" customFormat="false" ht="15" hidden="false" customHeight="true" outlineLevel="0" collapsed="false">
      <c r="A8" s="1013" t="s">
        <v>1894</v>
      </c>
      <c r="B8" s="1013"/>
      <c r="C8" s="1014" t="n">
        <f aca="false">'Construction Budget'!H772</f>
        <v>25614732</v>
      </c>
      <c r="D8" s="1013" t="n">
        <v>1</v>
      </c>
      <c r="E8" s="1013" t="n">
        <v>8</v>
      </c>
      <c r="F8" s="1013" t="n">
        <v>8</v>
      </c>
      <c r="G8" s="1015" t="n">
        <f aca="false">IF(OR((COLUMN()-COLUMN($F$8))&lt;$D8,(COLUMN()-COLUMN($F$8))&gt;$E8),0,$C8*((3*(((COLUMN()-COLUMN($F$8))-$D8+1)/$F8)^2-2*(((COLUMN()-COLUMN($F$8))-$D8+1)/$F8)^3)-(3*(((COLUMN()-COLUMN($F$8))-$D8)/$F8)^2-2*(((COLUMN()-COLUMN($F$8))-$D8)/$F8)^3)))</f>
        <v>1100633.015625</v>
      </c>
      <c r="H8" s="1016" t="n">
        <f aca="false">IF(OR((COLUMN()-COLUMN($F$8))&lt;$D8,(COLUMN()-COLUMN($F$8))&gt;$E8),0,$C8*((3*(((COLUMN()-COLUMN($F$8))-$D8+1)/$F8)^2-2*(((COLUMN()-COLUMN($F$8))-$D8+1)/$F8)^3)-(3*(((COLUMN()-COLUMN($F$8))-$D8)/$F8)^2-2*(((COLUMN()-COLUMN($F$8))-$D8)/$F8)^3)))</f>
        <v>2901668.859375</v>
      </c>
      <c r="I8" s="1016" t="n">
        <f aca="false">IF(OR((COLUMN()-COLUMN($F$8))&lt;$D8,(COLUMN()-COLUMN($F$8))&gt;$E8),0,$C8*((3*(((COLUMN()-COLUMN($F$8))-$D8+1)/$F8)^2-2*(((COLUMN()-COLUMN($F$8))-$D8+1)/$F8)^3)-(3*(((COLUMN()-COLUMN($F$8))-$D8)/$F8)^2-2*(((COLUMN()-COLUMN($F$8))-$D8)/$F8)^3)))</f>
        <v>4102359.421875</v>
      </c>
      <c r="J8" s="1016" t="n">
        <f aca="false">IF(OR((COLUMN()-COLUMN($F$8))&lt;$D8,(COLUMN()-COLUMN($F$8))&gt;$E8),0,$C8*((3*(((COLUMN()-COLUMN($F$8))-$D8+1)/$F8)^2-2*(((COLUMN()-COLUMN($F$8))-$D8+1)/$F8)^3)-(3*(((COLUMN()-COLUMN($F$8))-$D8)/$F8)^2-2*(((COLUMN()-COLUMN($F$8))-$D8)/$F8)^3)))</f>
        <v>4702704.703125</v>
      </c>
      <c r="K8" s="1016" t="n">
        <f aca="false">IF(OR((COLUMN()-COLUMN($F$8))&lt;$D8,(COLUMN()-COLUMN($F$8))&gt;$E8),0,$C8*((3*(((COLUMN()-COLUMN($F$8))-$D8+1)/$F8)^2-2*(((COLUMN()-COLUMN($F$8))-$D8+1)/$F8)^3)-(3*(((COLUMN()-COLUMN($F$8))-$D8)/$F8)^2-2*(((COLUMN()-COLUMN($F$8))-$D8)/$F8)^3)))</f>
        <v>4702704.703125</v>
      </c>
      <c r="L8" s="1016" t="n">
        <f aca="false">IF(OR((COLUMN()-COLUMN($F$8))&lt;$D8,(COLUMN()-COLUMN($F$8))&gt;$E8),0,$C8*((3*(((COLUMN()-COLUMN($F$8))-$D8+1)/$F8)^2-2*(((COLUMN()-COLUMN($F$8))-$D8+1)/$F8)^3)-(3*(((COLUMN()-COLUMN($F$8))-$D8)/$F8)^2-2*(((COLUMN()-COLUMN($F$8))-$D8)/$F8)^3)))</f>
        <v>4102359.421875</v>
      </c>
      <c r="M8" s="1016" t="n">
        <f aca="false">IF(OR((COLUMN()-COLUMN($F$8))&lt;$D8,(COLUMN()-COLUMN($F$8))&gt;$E8),0,$C8*((3*(((COLUMN()-COLUMN($F$8))-$D8+1)/$F8)^2-2*(((COLUMN()-COLUMN($F$8))-$D8+1)/$F8)^3)-(3*(((COLUMN()-COLUMN($F$8))-$D8)/$F8)^2-2*(((COLUMN()-COLUMN($F$8))-$D8)/$F8)^3)))</f>
        <v>2901668.859375</v>
      </c>
      <c r="N8" s="1016" t="n">
        <f aca="false">IF(OR((COLUMN()-COLUMN($F$8))&lt;$D8,(COLUMN()-COLUMN($F$8))&gt;$E8),0,$C8*((3*(((COLUMN()-COLUMN($F$8))-$D8+1)/$F8)^2-2*(((COLUMN()-COLUMN($F$8))-$D8+1)/$F8)^3)-(3*(((COLUMN()-COLUMN($F$8))-$D8)/$F8)^2-2*(((COLUMN()-COLUMN($F$8))-$D8)/$F8)^3)))</f>
        <v>1100633.015625</v>
      </c>
      <c r="O8" s="1016" t="n">
        <f aca="false">IF(OR((COLUMN()-COLUMN($F$8))&lt;$D8,(COLUMN()-COLUMN($F$8))&gt;$E8),0,$C8*((3*(((COLUMN()-COLUMN($F$8))-$D8+1)/$F8)^2-2*(((COLUMN()-COLUMN($F$8))-$D8+1)/$F8)^3)-(3*(((COLUMN()-COLUMN($F$8))-$D8)/$F8)^2-2*(((COLUMN()-COLUMN($F$8))-$D8)/$F8)^3)))</f>
        <v>0</v>
      </c>
      <c r="P8" s="1016" t="n">
        <f aca="false">IF(OR((COLUMN()-COLUMN($F$8))&lt;$D8,(COLUMN()-COLUMN($F$8))&gt;$E8),0,$C8*((3*(((COLUMN()-COLUMN($F$8))-$D8+1)/$F8)^2-2*(((COLUMN()-COLUMN($F$8))-$D8+1)/$F8)^3)-(3*(((COLUMN()-COLUMN($F$8))-$D8)/$F8)^2-2*(((COLUMN()-COLUMN($F$8))-$D8)/$F8)^3)))</f>
        <v>0</v>
      </c>
      <c r="Q8" s="1016" t="n">
        <f aca="false">IF(OR((COLUMN()-COLUMN($F$8))&lt;$D8,(COLUMN()-COLUMN($F$8))&gt;$E8),0,$C8*((3*(((COLUMN()-COLUMN($F$8))-$D8+1)/$F8)^2-2*(((COLUMN()-COLUMN($F$8))-$D8+1)/$F8)^3)-(3*(((COLUMN()-COLUMN($F$8))-$D8)/$F8)^2-2*(((COLUMN()-COLUMN($F$8))-$D8)/$F8)^3)))</f>
        <v>0</v>
      </c>
      <c r="R8" s="1016" t="n">
        <f aca="false">IF(OR((COLUMN()-COLUMN($F$8))&lt;$D8,(COLUMN()-COLUMN($F$8))&gt;$E8),0,$C8*((3*(((COLUMN()-COLUMN($F$8))-$D8+1)/$F8)^2-2*(((COLUMN()-COLUMN($F$8))-$D8+1)/$F8)^3)-(3*(((COLUMN()-COLUMN($F$8))-$D8)/$F8)^2-2*(((COLUMN()-COLUMN($F$8))-$D8)/$F8)^3)))</f>
        <v>0</v>
      </c>
      <c r="S8" s="1016" t="n">
        <f aca="false">IF(OR((COLUMN()-COLUMN($F$8))&lt;$D8,(COLUMN()-COLUMN($F$8))&gt;$E8),0,$C8*((3*(((COLUMN()-COLUMN($F$8))-$D8+1)/$F8)^2-2*(((COLUMN()-COLUMN($F$8))-$D8+1)/$F8)^3)-(3*(((COLUMN()-COLUMN($F$8))-$D8)/$F8)^2-2*(((COLUMN()-COLUMN($F$8))-$D8)/$F8)^3)))</f>
        <v>0</v>
      </c>
      <c r="T8" s="1016" t="n">
        <f aca="false">IF(OR((COLUMN()-COLUMN($F$8))&lt;$D8,(COLUMN()-COLUMN($F$8))&gt;$E8),0,$C8*((3*(((COLUMN()-COLUMN($F$8))-$D8+1)/$F8)^2-2*(((COLUMN()-COLUMN($F$8))-$D8+1)/$F8)^3)-(3*(((COLUMN()-COLUMN($F$8))-$D8)/$F8)^2-2*(((COLUMN()-COLUMN($F$8))-$D8)/$F8)^3)))</f>
        <v>0</v>
      </c>
      <c r="U8" s="1016" t="n">
        <f aca="false">IF(OR((COLUMN()-COLUMN($F$8))&lt;$D8,(COLUMN()-COLUMN($F$8))&gt;$E8),0,$C8*((3*(((COLUMN()-COLUMN($F$8))-$D8+1)/$F8)^2-2*(((COLUMN()-COLUMN($F$8))-$D8+1)/$F8)^3)-(3*(((COLUMN()-COLUMN($F$8))-$D8)/$F8)^2-2*(((COLUMN()-COLUMN($F$8))-$D8)/$F8)^3)))</f>
        <v>0</v>
      </c>
      <c r="V8" s="1016" t="n">
        <f aca="false">IF(OR((COLUMN()-COLUMN($F$8))&lt;$D8,(COLUMN()-COLUMN($F$8))&gt;$E8),0,$C8*((3*(((COLUMN()-COLUMN($F$8))-$D8+1)/$F8)^2-2*(((COLUMN()-COLUMN($F$8))-$D8+1)/$F8)^3)-(3*(((COLUMN()-COLUMN($F$8))-$D8)/$F8)^2-2*(((COLUMN()-COLUMN($F$8))-$D8)/$F8)^3)))</f>
        <v>0</v>
      </c>
      <c r="W8" s="1016" t="n">
        <f aca="false">IF(OR((COLUMN()-COLUMN($F$8))&lt;$D8,(COLUMN()-COLUMN($F$8))&gt;$E8),0,$C8*((3*(((COLUMN()-COLUMN($F$8))-$D8+1)/$F8)^2-2*(((COLUMN()-COLUMN($F$8))-$D8+1)/$F8)^3)-(3*(((COLUMN()-COLUMN($F$8))-$D8)/$F8)^2-2*(((COLUMN()-COLUMN($F$8))-$D8)/$F8)^3)))</f>
        <v>0</v>
      </c>
      <c r="X8" s="1016" t="n">
        <f aca="false">IF(OR((COLUMN()-COLUMN($F$8))&lt;$D8,(COLUMN()-COLUMN($F$8))&gt;$E8),0,$C8*((3*(((COLUMN()-COLUMN($F$8))-$D8+1)/$F8)^2-2*(((COLUMN()-COLUMN($F$8))-$D8+1)/$F8)^3)-(3*(((COLUMN()-COLUMN($F$8))-$D8)/$F8)^2-2*(((COLUMN()-COLUMN($F$8))-$D8)/$F8)^3)))</f>
        <v>0</v>
      </c>
      <c r="Y8" s="1016" t="n">
        <f aca="false">IF(OR((COLUMN()-COLUMN($F$8))&lt;$D8,(COLUMN()-COLUMN($F$8))&gt;$E8),0,$C8*((3*(((COLUMN()-COLUMN($F$8))-$D8+1)/$F8)^2-2*(((COLUMN()-COLUMN($F$8))-$D8+1)/$F8)^3)-(3*(((COLUMN()-COLUMN($F$8))-$D8)/$F8)^2-2*(((COLUMN()-COLUMN($F$8))-$D8)/$F8)^3)))</f>
        <v>0</v>
      </c>
      <c r="Z8" s="1016" t="n">
        <f aca="false">IF(OR((COLUMN()-COLUMN($F$8))&lt;$D8,(COLUMN()-COLUMN($F$8))&gt;$E8),0,$C8*((3*(((COLUMN()-COLUMN($F$8))-$D8+1)/$F8)^2-2*(((COLUMN()-COLUMN($F$8))-$D8+1)/$F8)^3)-(3*(((COLUMN()-COLUMN($F$8))-$D8)/$F8)^2-2*(((COLUMN()-COLUMN($F$8))-$D8)/$F8)^3)))</f>
        <v>0</v>
      </c>
      <c r="AA8" s="1016" t="n">
        <f aca="false">IF(OR((COLUMN()-COLUMN($F$8))&lt;$D8,(COLUMN()-COLUMN($F$8))&gt;$E8),0,$C8*((3*(((COLUMN()-COLUMN($F$8))-$D8+1)/$F8)^2-2*(((COLUMN()-COLUMN($F$8))-$D8+1)/$F8)^3)-(3*(((COLUMN()-COLUMN($F$8))-$D8)/$F8)^2-2*(((COLUMN()-COLUMN($F$8))-$D8)/$F8)^3)))</f>
        <v>0</v>
      </c>
      <c r="AB8" s="1016" t="n">
        <f aca="false">IF(OR((COLUMN()-COLUMN($F$8))&lt;$D8,(COLUMN()-COLUMN($F$8))&gt;$E8),0,$C8*((3*(((COLUMN()-COLUMN($F$8))-$D8+1)/$F8)^2-2*(((COLUMN()-COLUMN($F$8))-$D8+1)/$F8)^3)-(3*(((COLUMN()-COLUMN($F$8))-$D8)/$F8)^2-2*(((COLUMN()-COLUMN($F$8))-$D8)/$F8)^3)))</f>
        <v>0</v>
      </c>
      <c r="AC8" s="1016" t="n">
        <f aca="false">IF(OR((COLUMN()-COLUMN($F$8))&lt;$D8,(COLUMN()-COLUMN($F$8))&gt;$E8),0,$C8*((3*(((COLUMN()-COLUMN($F$8))-$D8+1)/$F8)^2-2*(((COLUMN()-COLUMN($F$8))-$D8+1)/$F8)^3)-(3*(((COLUMN()-COLUMN($F$8))-$D8)/$F8)^2-2*(((COLUMN()-COLUMN($F$8))-$D8)/$F8)^3)))</f>
        <v>0</v>
      </c>
      <c r="AD8" s="1016" t="n">
        <f aca="false">IF(OR((COLUMN()-COLUMN($F$8))&lt;$D8,(COLUMN()-COLUMN($F$8))&gt;$E8),0,$C8*((3*(((COLUMN()-COLUMN($F$8))-$D8+1)/$F8)^2-2*(((COLUMN()-COLUMN($F$8))-$D8+1)/$F8)^3)-(3*(((COLUMN()-COLUMN($F$8))-$D8)/$F8)^2-2*(((COLUMN()-COLUMN($F$8))-$D8)/$F8)^3)))</f>
        <v>0</v>
      </c>
      <c r="AE8" s="1016" t="n">
        <f aca="false">IF(OR((COLUMN()-COLUMN($F$8))&lt;$D8,(COLUMN()-COLUMN($F$8))&gt;$E8),0,$C8*((3*(((COLUMN()-COLUMN($F$8))-$D8+1)/$F8)^2-2*(((COLUMN()-COLUMN($F$8))-$D8+1)/$F8)^3)-(3*(((COLUMN()-COLUMN($F$8))-$D8)/$F8)^2-2*(((COLUMN()-COLUMN($F$8))-$D8)/$F8)^3)))</f>
        <v>0</v>
      </c>
      <c r="AF8" s="1016" t="n">
        <f aca="false">IF(OR((COLUMN()-COLUMN($F$8))&lt;$D8,(COLUMN()-COLUMN($F$8))&gt;$E8),0,$C8*((3*(((COLUMN()-COLUMN($F$8))-$D8+1)/$F8)^2-2*(((COLUMN()-COLUMN($F$8))-$D8+1)/$F8)^3)-(3*(((COLUMN()-COLUMN($F$8))-$D8)/$F8)^2-2*(((COLUMN()-COLUMN($F$8))-$D8)/$F8)^3)))</f>
        <v>0</v>
      </c>
      <c r="AG8" s="1016" t="n">
        <f aca="false">IF(OR((COLUMN()-COLUMN($F$8))&lt;$D8,(COLUMN()-COLUMN($F$8))&gt;$E8),0,$C8*((3*(((COLUMN()-COLUMN($F$8))-$D8+1)/$F8)^2-2*(((COLUMN()-COLUMN($F$8))-$D8+1)/$F8)^3)-(3*(((COLUMN()-COLUMN($F$8))-$D8)/$F8)^2-2*(((COLUMN()-COLUMN($F$8))-$D8)/$F8)^3)))</f>
        <v>0</v>
      </c>
      <c r="AH8" s="1016" t="n">
        <f aca="false">IF(OR((COLUMN()-COLUMN($F$8))&lt;$D8,(COLUMN()-COLUMN($F$8))&gt;$E8),0,$C8*((3*(((COLUMN()-COLUMN($F$8))-$D8+1)/$F8)^2-2*(((COLUMN()-COLUMN($F$8))-$D8+1)/$F8)^3)-(3*(((COLUMN()-COLUMN($F$8))-$D8)/$F8)^2-2*(((COLUMN()-COLUMN($F$8))-$D8)/$F8)^3)))</f>
        <v>0</v>
      </c>
      <c r="AI8" s="1016" t="n">
        <f aca="false">IF(OR((COLUMN()-COLUMN($F$8))&lt;$D8,(COLUMN()-COLUMN($F$8))&gt;$E8),0,$C8*((3*(((COLUMN()-COLUMN($F$8))-$D8+1)/$F8)^2-2*(((COLUMN()-COLUMN($F$8))-$D8+1)/$F8)^3)-(3*(((COLUMN()-COLUMN($F$8))-$D8)/$F8)^2-2*(((COLUMN()-COLUMN($F$8))-$D8)/$F8)^3)))</f>
        <v>0</v>
      </c>
      <c r="AJ8" s="1016" t="n">
        <f aca="false">IF(OR((COLUMN()-COLUMN($F$8))&lt;$D8,(COLUMN()-COLUMN($F$8))&gt;$E8),0,$C8*((3*(((COLUMN()-COLUMN($F$8))-$D8+1)/$F8)^2-2*(((COLUMN()-COLUMN($F$8))-$D8+1)/$F8)^3)-(3*(((COLUMN()-COLUMN($F$8))-$D8)/$F8)^2-2*(((COLUMN()-COLUMN($F$8))-$D8)/$F8)^3)))</f>
        <v>0</v>
      </c>
    </row>
    <row r="9" customFormat="false" ht="15" hidden="false" customHeight="true" outlineLevel="0" collapsed="false">
      <c r="A9" s="1" t="s">
        <v>1895</v>
      </c>
      <c r="C9" s="1017" t="n">
        <f aca="false">'Construction Budget'!H792</f>
        <v>9371809.46422509</v>
      </c>
      <c r="D9" s="1" t="n">
        <v>23</v>
      </c>
      <c r="E9" s="1" t="n">
        <v>30</v>
      </c>
      <c r="F9" s="1" t="n">
        <v>8</v>
      </c>
      <c r="G9" s="1018" t="n">
        <f aca="false">IF(OR((COLUMN()-COLUMN($F$8))&lt;$D9,(COLUMN()-COLUMN($F$8))&gt;$E9),0,$C9*((3*(((COLUMN()-COLUMN($F$8))-$D9+1)/$F9)^2-2*(((COLUMN()-COLUMN($F$8))-$D9+1)/$F9)^3)-(3*(((COLUMN()-COLUMN($F$8))-$D9)/$F9)^2-2*(((COLUMN()-COLUMN($F$8))-$D9)/$F9)^3)))</f>
        <v>0</v>
      </c>
      <c r="H9" s="1019" t="n">
        <f aca="false">IF(OR((COLUMN()-COLUMN($F$8))&lt;$D9,(COLUMN()-COLUMN($F$8))&gt;$E9),0,$C9*((3*(((COLUMN()-COLUMN($F$8))-$D9+1)/$F9)^2-2*(((COLUMN()-COLUMN($F$8))-$D9+1)/$F9)^3)-(3*(((COLUMN()-COLUMN($F$8))-$D9)/$F9)^2-2*(((COLUMN()-COLUMN($F$8))-$D9)/$F9)^3)))</f>
        <v>0</v>
      </c>
      <c r="I9" s="1019" t="n">
        <f aca="false">IF(OR((COLUMN()-COLUMN($F$8))&lt;$D9,(COLUMN()-COLUMN($F$8))&gt;$E9),0,$C9*((3*(((COLUMN()-COLUMN($F$8))-$D9+1)/$F9)^2-2*(((COLUMN()-COLUMN($F$8))-$D9+1)/$F9)^3)-(3*(((COLUMN()-COLUMN($F$8))-$D9)/$F9)^2-2*(((COLUMN()-COLUMN($F$8))-$D9)/$F9)^3)))</f>
        <v>0</v>
      </c>
      <c r="J9" s="1019" t="n">
        <f aca="false">IF(OR((COLUMN()-COLUMN($F$8))&lt;$D9,(COLUMN()-COLUMN($F$8))&gt;$E9),0,$C9*((3*(((COLUMN()-COLUMN($F$8))-$D9+1)/$F9)^2-2*(((COLUMN()-COLUMN($F$8))-$D9+1)/$F9)^3)-(3*(((COLUMN()-COLUMN($F$8))-$D9)/$F9)^2-2*(((COLUMN()-COLUMN($F$8))-$D9)/$F9)^3)))</f>
        <v>0</v>
      </c>
      <c r="K9" s="1019" t="n">
        <f aca="false">IF(OR((COLUMN()-COLUMN($F$8))&lt;$D9,(COLUMN()-COLUMN($F$8))&gt;$E9),0,$C9*((3*(((COLUMN()-COLUMN($F$8))-$D9+1)/$F9)^2-2*(((COLUMN()-COLUMN($F$8))-$D9+1)/$F9)^3)-(3*(((COLUMN()-COLUMN($F$8))-$D9)/$F9)^2-2*(((COLUMN()-COLUMN($F$8))-$D9)/$F9)^3)))</f>
        <v>0</v>
      </c>
      <c r="L9" s="1019" t="n">
        <f aca="false">IF(OR((COLUMN()-COLUMN($F$8))&lt;$D9,(COLUMN()-COLUMN($F$8))&gt;$E9),0,$C9*((3*(((COLUMN()-COLUMN($F$8))-$D9+1)/$F9)^2-2*(((COLUMN()-COLUMN($F$8))-$D9+1)/$F9)^3)-(3*(((COLUMN()-COLUMN($F$8))-$D9)/$F9)^2-2*(((COLUMN()-COLUMN($F$8))-$D9)/$F9)^3)))</f>
        <v>0</v>
      </c>
      <c r="M9" s="1019" t="n">
        <f aca="false">IF(OR((COLUMN()-COLUMN($F$8))&lt;$D9,(COLUMN()-COLUMN($F$8))&gt;$E9),0,$C9*((3*(((COLUMN()-COLUMN($F$8))-$D9+1)/$F9)^2-2*(((COLUMN()-COLUMN($F$8))-$D9+1)/$F9)^3)-(3*(((COLUMN()-COLUMN($F$8))-$D9)/$F9)^2-2*(((COLUMN()-COLUMN($F$8))-$D9)/$F9)^3)))</f>
        <v>0</v>
      </c>
      <c r="N9" s="1019" t="n">
        <f aca="false">IF(OR((COLUMN()-COLUMN($F$8))&lt;$D9,(COLUMN()-COLUMN($F$8))&gt;$E9),0,$C9*((3*(((COLUMN()-COLUMN($F$8))-$D9+1)/$F9)^2-2*(((COLUMN()-COLUMN($F$8))-$D9+1)/$F9)^3)-(3*(((COLUMN()-COLUMN($F$8))-$D9)/$F9)^2-2*(((COLUMN()-COLUMN($F$8))-$D9)/$F9)^3)))</f>
        <v>0</v>
      </c>
      <c r="O9" s="1019" t="n">
        <f aca="false">IF(OR((COLUMN()-COLUMN($F$8))&lt;$D9,(COLUMN()-COLUMN($F$8))&gt;$E9),0,$C9*((3*(((COLUMN()-COLUMN($F$8))-$D9+1)/$F9)^2-2*(((COLUMN()-COLUMN($F$8))-$D9+1)/$F9)^3)-(3*(((COLUMN()-COLUMN($F$8))-$D9)/$F9)^2-2*(((COLUMN()-COLUMN($F$8))-$D9)/$F9)^3)))</f>
        <v>0</v>
      </c>
      <c r="P9" s="1019" t="n">
        <f aca="false">IF(OR((COLUMN()-COLUMN($F$8))&lt;$D9,(COLUMN()-COLUMN($F$8))&gt;$E9),0,$C9*((3*(((COLUMN()-COLUMN($F$8))-$D9+1)/$F9)^2-2*(((COLUMN()-COLUMN($F$8))-$D9+1)/$F9)^3)-(3*(((COLUMN()-COLUMN($F$8))-$D9)/$F9)^2-2*(((COLUMN()-COLUMN($F$8))-$D9)/$F9)^3)))</f>
        <v>0</v>
      </c>
      <c r="Q9" s="1019" t="n">
        <f aca="false">IF(OR((COLUMN()-COLUMN($F$8))&lt;$D9,(COLUMN()-COLUMN($F$8))&gt;$E9),0,$C9*((3*(((COLUMN()-COLUMN($F$8))-$D9+1)/$F9)^2-2*(((COLUMN()-COLUMN($F$8))-$D9+1)/$F9)^3)-(3*(((COLUMN()-COLUMN($F$8))-$D9)/$F9)^2-2*(((COLUMN()-COLUMN($F$8))-$D9)/$F9)^3)))</f>
        <v>0</v>
      </c>
      <c r="R9" s="1019" t="n">
        <f aca="false">IF(OR((COLUMN()-COLUMN($F$8))&lt;$D9,(COLUMN()-COLUMN($F$8))&gt;$E9),0,$C9*((3*(((COLUMN()-COLUMN($F$8))-$D9+1)/$F9)^2-2*(((COLUMN()-COLUMN($F$8))-$D9+1)/$F9)^3)-(3*(((COLUMN()-COLUMN($F$8))-$D9)/$F9)^2-2*(((COLUMN()-COLUMN($F$8))-$D9)/$F9)^3)))</f>
        <v>0</v>
      </c>
      <c r="S9" s="1019" t="n">
        <f aca="false">IF(OR((COLUMN()-COLUMN($F$8))&lt;$D9,(COLUMN()-COLUMN($F$8))&gt;$E9),0,$C9*((3*(((COLUMN()-COLUMN($F$8))-$D9+1)/$F9)^2-2*(((COLUMN()-COLUMN($F$8))-$D9+1)/$F9)^3)-(3*(((COLUMN()-COLUMN($F$8))-$D9)/$F9)^2-2*(((COLUMN()-COLUMN($F$8))-$D9)/$F9)^3)))</f>
        <v>0</v>
      </c>
      <c r="T9" s="1019" t="n">
        <f aca="false">IF(OR((COLUMN()-COLUMN($F$8))&lt;$D9,(COLUMN()-COLUMN($F$8))&gt;$E9),0,$C9*((3*(((COLUMN()-COLUMN($F$8))-$D9+1)/$F9)^2-2*(((COLUMN()-COLUMN($F$8))-$D9+1)/$F9)^3)-(3*(((COLUMN()-COLUMN($F$8))-$D9)/$F9)^2-2*(((COLUMN()-COLUMN($F$8))-$D9)/$F9)^3)))</f>
        <v>0</v>
      </c>
      <c r="U9" s="1019" t="n">
        <f aca="false">IF(OR((COLUMN()-COLUMN($F$8))&lt;$D9,(COLUMN()-COLUMN($F$8))&gt;$E9),0,$C9*((3*(((COLUMN()-COLUMN($F$8))-$D9+1)/$F9)^2-2*(((COLUMN()-COLUMN($F$8))-$D9+1)/$F9)^3)-(3*(((COLUMN()-COLUMN($F$8))-$D9)/$F9)^2-2*(((COLUMN()-COLUMN($F$8))-$D9)/$F9)^3)))</f>
        <v>0</v>
      </c>
      <c r="V9" s="1019" t="n">
        <f aca="false">IF(OR((COLUMN()-COLUMN($F$8))&lt;$D9,(COLUMN()-COLUMN($F$8))&gt;$E9),0,$C9*((3*(((COLUMN()-COLUMN($F$8))-$D9+1)/$F9)^2-2*(((COLUMN()-COLUMN($F$8))-$D9+1)/$F9)^3)-(3*(((COLUMN()-COLUMN($F$8))-$D9)/$F9)^2-2*(((COLUMN()-COLUMN($F$8))-$D9)/$F9)^3)))</f>
        <v>0</v>
      </c>
      <c r="W9" s="1019" t="n">
        <f aca="false">IF(OR((COLUMN()-COLUMN($F$8))&lt;$D9,(COLUMN()-COLUMN($F$8))&gt;$E9),0,$C9*((3*(((COLUMN()-COLUMN($F$8))-$D9+1)/$F9)^2-2*(((COLUMN()-COLUMN($F$8))-$D9+1)/$F9)^3)-(3*(((COLUMN()-COLUMN($F$8))-$D9)/$F9)^2-2*(((COLUMN()-COLUMN($F$8))-$D9)/$F9)^3)))</f>
        <v>0</v>
      </c>
      <c r="X9" s="1019" t="n">
        <f aca="false">IF(OR((COLUMN()-COLUMN($F$8))&lt;$D9,(COLUMN()-COLUMN($F$8))&gt;$E9),0,$C9*((3*(((COLUMN()-COLUMN($F$8))-$D9+1)/$F9)^2-2*(((COLUMN()-COLUMN($F$8))-$D9+1)/$F9)^3)-(3*(((COLUMN()-COLUMN($F$8))-$D9)/$F9)^2-2*(((COLUMN()-COLUMN($F$8))-$D9)/$F9)^3)))</f>
        <v>0</v>
      </c>
      <c r="Y9" s="1019" t="n">
        <f aca="false">IF(OR((COLUMN()-COLUMN($F$8))&lt;$D9,(COLUMN()-COLUMN($F$8))&gt;$E9),0,$C9*((3*(((COLUMN()-COLUMN($F$8))-$D9+1)/$F9)^2-2*(((COLUMN()-COLUMN($F$8))-$D9+1)/$F9)^3)-(3*(((COLUMN()-COLUMN($F$8))-$D9)/$F9)^2-2*(((COLUMN()-COLUMN($F$8))-$D9)/$F9)^3)))</f>
        <v>0</v>
      </c>
      <c r="Z9" s="1019" t="n">
        <f aca="false">IF(OR((COLUMN()-COLUMN($F$8))&lt;$D9,(COLUMN()-COLUMN($F$8))&gt;$E9),0,$C9*((3*(((COLUMN()-COLUMN($F$8))-$D9+1)/$F9)^2-2*(((COLUMN()-COLUMN($F$8))-$D9+1)/$F9)^3)-(3*(((COLUMN()-COLUMN($F$8))-$D9)/$F9)^2-2*(((COLUMN()-COLUMN($F$8))-$D9)/$F9)^3)))</f>
        <v>0</v>
      </c>
      <c r="AA9" s="1019" t="n">
        <f aca="false">IF(OR((COLUMN()-COLUMN($F$8))&lt;$D9,(COLUMN()-COLUMN($F$8))&gt;$E9),0,$C9*((3*(((COLUMN()-COLUMN($F$8))-$D9+1)/$F9)^2-2*(((COLUMN()-COLUMN($F$8))-$D9+1)/$F9)^3)-(3*(((COLUMN()-COLUMN($F$8))-$D9)/$F9)^2-2*(((COLUMN()-COLUMN($F$8))-$D9)/$F9)^3)))</f>
        <v>0</v>
      </c>
      <c r="AB9" s="1019" t="n">
        <f aca="false">IF(OR((COLUMN()-COLUMN($F$8))&lt;$D9,(COLUMN()-COLUMN($F$8))&gt;$E9),0,$C9*((3*(((COLUMN()-COLUMN($F$8))-$D9+1)/$F9)^2-2*(((COLUMN()-COLUMN($F$8))-$D9+1)/$F9)^3)-(3*(((COLUMN()-COLUMN($F$8))-$D9)/$F9)^2-2*(((COLUMN()-COLUMN($F$8))-$D9)/$F9)^3)))</f>
        <v>0</v>
      </c>
      <c r="AC9" s="1019" t="n">
        <f aca="false">IF(OR((COLUMN()-COLUMN($F$8))&lt;$D9,(COLUMN()-COLUMN($F$8))&gt;$E9),0,$C9*((3*(((COLUMN()-COLUMN($F$8))-$D9+1)/$F9)^2-2*(((COLUMN()-COLUMN($F$8))-$D9+1)/$F9)^3)-(3*(((COLUMN()-COLUMN($F$8))-$D9)/$F9)^2-2*(((COLUMN()-COLUMN($F$8))-$D9)/$F9)^3)))</f>
        <v>402694.937915922</v>
      </c>
      <c r="AD9" s="1019" t="n">
        <f aca="false">IF(OR((COLUMN()-COLUMN($F$8))&lt;$D9,(COLUMN()-COLUMN($F$8))&gt;$E9),0,$C9*((3*(((COLUMN()-COLUMN($F$8))-$D9+1)/$F9)^2-2*(((COLUMN()-COLUMN($F$8))-$D9+1)/$F9)^3)-(3*(((COLUMN()-COLUMN($F$8))-$D9)/$F9)^2-2*(((COLUMN()-COLUMN($F$8))-$D9)/$F9)^3)))</f>
        <v>1061650.29086925</v>
      </c>
      <c r="AE9" s="1019" t="n">
        <f aca="false">IF(OR((COLUMN()-COLUMN($F$8))&lt;$D9,(COLUMN()-COLUMN($F$8))&gt;$E9),0,$C9*((3*(((COLUMN()-COLUMN($F$8))-$D9+1)/$F9)^2-2*(((COLUMN()-COLUMN($F$8))-$D9+1)/$F9)^3)-(3*(((COLUMN()-COLUMN($F$8))-$D9)/$F9)^2-2*(((COLUMN()-COLUMN($F$8))-$D9)/$F9)^3)))</f>
        <v>1500953.8595048</v>
      </c>
      <c r="AF9" s="1019" t="n">
        <f aca="false">IF(OR((COLUMN()-COLUMN($F$8))&lt;$D9,(COLUMN()-COLUMN($F$8))&gt;$E9),0,$C9*((3*(((COLUMN()-COLUMN($F$8))-$D9+1)/$F9)^2-2*(((COLUMN()-COLUMN($F$8))-$D9+1)/$F9)^3)-(3*(((COLUMN()-COLUMN($F$8))-$D9)/$F9)^2-2*(((COLUMN()-COLUMN($F$8))-$D9)/$F9)^3)))</f>
        <v>1720605.64382258</v>
      </c>
      <c r="AG9" s="1019" t="n">
        <f aca="false">IF(OR((COLUMN()-COLUMN($F$8))&lt;$D9,(COLUMN()-COLUMN($F$8))&gt;$E9),0,$C9*((3*(((COLUMN()-COLUMN($F$8))-$D9+1)/$F9)^2-2*(((COLUMN()-COLUMN($F$8))-$D9+1)/$F9)^3)-(3*(((COLUMN()-COLUMN($F$8))-$D9)/$F9)^2-2*(((COLUMN()-COLUMN($F$8))-$D9)/$F9)^3)))</f>
        <v>1720605.64382258</v>
      </c>
      <c r="AH9" s="1019" t="n">
        <f aca="false">IF(OR((COLUMN()-COLUMN($F$8))&lt;$D9,(COLUMN()-COLUMN($F$8))&gt;$E9),0,$C9*((3*(((COLUMN()-COLUMN($F$8))-$D9+1)/$F9)^2-2*(((COLUMN()-COLUMN($F$8))-$D9+1)/$F9)^3)-(3*(((COLUMN()-COLUMN($F$8))-$D9)/$F9)^2-2*(((COLUMN()-COLUMN($F$8))-$D9)/$F9)^3)))</f>
        <v>1500953.8595048</v>
      </c>
      <c r="AI9" s="1019" t="n">
        <f aca="false">IF(OR((COLUMN()-COLUMN($F$8))&lt;$D9,(COLUMN()-COLUMN($F$8))&gt;$E9),0,$C9*((3*(((COLUMN()-COLUMN($F$8))-$D9+1)/$F9)^2-2*(((COLUMN()-COLUMN($F$8))-$D9+1)/$F9)^3)-(3*(((COLUMN()-COLUMN($F$8))-$D9)/$F9)^2-2*(((COLUMN()-COLUMN($F$8))-$D9)/$F9)^3)))</f>
        <v>1061650.29086925</v>
      </c>
      <c r="AJ9" s="1019" t="n">
        <f aca="false">IF(OR((COLUMN()-COLUMN($F$8))&lt;$D9,(COLUMN()-COLUMN($F$8))&gt;$E9),0,$C9*((3*(((COLUMN()-COLUMN($F$8))-$D9+1)/$F9)^2-2*(((COLUMN()-COLUMN($F$8))-$D9+1)/$F9)^3)-(3*(((COLUMN()-COLUMN($F$8))-$D9)/$F9)^2-2*(((COLUMN()-COLUMN($F$8))-$D9)/$F9)^3)))</f>
        <v>402694.937915922</v>
      </c>
    </row>
    <row r="10" customFormat="false" ht="15" hidden="false" customHeight="true" outlineLevel="0" collapsed="false">
      <c r="A10" s="1013" t="s">
        <v>1896</v>
      </c>
      <c r="B10" s="1013"/>
      <c r="C10" s="1014" t="n">
        <f aca="false">'Construction Budget'!H835</f>
        <v>63598602.375</v>
      </c>
      <c r="D10" s="1013" t="n">
        <v>3</v>
      </c>
      <c r="E10" s="1013" t="n">
        <v>15</v>
      </c>
      <c r="F10" s="1013" t="n">
        <v>13</v>
      </c>
      <c r="G10" s="1015" t="n">
        <f aca="false">IF(OR((COLUMN()-COLUMN($F$8))&lt;$D10,(COLUMN()-COLUMN($F$8))&gt;$E10),0,$C10*((3*(((COLUMN()-COLUMN($F$8))-$D10+1)/$F10)^2-2*(((COLUMN()-COLUMN($F$8))-$D10+1)/$F10)^3)-(3*(((COLUMN()-COLUMN($F$8))-$D10)/$F10)^2-2*(((COLUMN()-COLUMN($F$8))-$D10)/$F10)^3)))</f>
        <v>0</v>
      </c>
      <c r="H10" s="1016" t="n">
        <f aca="false">IF(OR((COLUMN()-COLUMN($F$8))&lt;$D10,(COLUMN()-COLUMN($F$8))&gt;$E10),0,$C10*((3*(((COLUMN()-COLUMN($F$8))-$D10+1)/$F10)^2-2*(((COLUMN()-COLUMN($F$8))-$D10+1)/$F10)^3)-(3*(((COLUMN()-COLUMN($F$8))-$D10)/$F10)^2-2*(((COLUMN()-COLUMN($F$8))-$D10)/$F10)^3)))</f>
        <v>0</v>
      </c>
      <c r="I10" s="1016" t="n">
        <f aca="false">IF(OR((COLUMN()-COLUMN($F$8))&lt;$D10,(COLUMN()-COLUMN($F$8))&gt;$E10),0,$C10*((3*(((COLUMN()-COLUMN($F$8))-$D10+1)/$F10)^2-2*(((COLUMN()-COLUMN($F$8))-$D10+1)/$F10)^3)-(3*(((COLUMN()-COLUMN($F$8))-$D10)/$F10)^2-2*(((COLUMN()-COLUMN($F$8))-$D10)/$F10)^3)))</f>
        <v>1071073.41277879</v>
      </c>
      <c r="J10" s="1016" t="n">
        <f aca="false">IF(OR((COLUMN()-COLUMN($F$8))&lt;$D10,(COLUMN()-COLUMN($F$8))&gt;$E10),0,$C10*((3*(((COLUMN()-COLUMN($F$8))-$D10+1)/$F10)^2-2*(((COLUMN()-COLUMN($F$8))-$D10+1)/$F10)^3)-(3*(((COLUMN()-COLUMN($F$8))-$D10)/$F10)^2-2*(((COLUMN()-COLUMN($F$8))-$D10)/$F10)^3)))</f>
        <v>2981636.79773555</v>
      </c>
      <c r="K10" s="1016" t="n">
        <f aca="false">IF(OR((COLUMN()-COLUMN($F$8))&lt;$D10,(COLUMN()-COLUMN($F$8))&gt;$E10),0,$C10*((3*(((COLUMN()-COLUMN($F$8))-$D10+1)/$F10)^2-2*(((COLUMN()-COLUMN($F$8))-$D10+1)/$F10)^3)-(3*(((COLUMN()-COLUMN($F$8))-$D10)/$F10)^2-2*(((COLUMN()-COLUMN($F$8))-$D10)/$F10)^3)))</f>
        <v>4544825.02179108</v>
      </c>
      <c r="L10" s="1016" t="n">
        <f aca="false">IF(OR((COLUMN()-COLUMN($F$8))&lt;$D10,(COLUMN()-COLUMN($F$8))&gt;$E10),0,$C10*((3*(((COLUMN()-COLUMN($F$8))-$D10+1)/$F10)^2-2*(((COLUMN()-COLUMN($F$8))-$D10+1)/$F10)^3)-(3*(((COLUMN()-COLUMN($F$8))-$D10)/$F10)^2-2*(((COLUMN()-COLUMN($F$8))-$D10)/$F10)^3)))</f>
        <v>5760638.08494538</v>
      </c>
      <c r="M10" s="1016" t="n">
        <f aca="false">IF(OR((COLUMN()-COLUMN($F$8))&lt;$D10,(COLUMN()-COLUMN($F$8))&gt;$E10),0,$C10*((3*(((COLUMN()-COLUMN($F$8))-$D10+1)/$F10)^2-2*(((COLUMN()-COLUMN($F$8))-$D10+1)/$F10)^3)-(3*(((COLUMN()-COLUMN($F$8))-$D10)/$F10)^2-2*(((COLUMN()-COLUMN($F$8))-$D10)/$F10)^3)))</f>
        <v>6629075.98719846</v>
      </c>
      <c r="N10" s="1016" t="n">
        <f aca="false">IF(OR((COLUMN()-COLUMN($F$8))&lt;$D10,(COLUMN()-COLUMN($F$8))&gt;$E10),0,$C10*((3*(((COLUMN()-COLUMN($F$8))-$D10+1)/$F10)^2-2*(((COLUMN()-COLUMN($F$8))-$D10+1)/$F10)^3)-(3*(((COLUMN()-COLUMN($F$8))-$D10)/$F10)^2-2*(((COLUMN()-COLUMN($F$8))-$D10)/$F10)^3)))</f>
        <v>7150138.7285503</v>
      </c>
      <c r="O10" s="1016" t="n">
        <f aca="false">IF(OR((COLUMN()-COLUMN($F$8))&lt;$D10,(COLUMN()-COLUMN($F$8))&gt;$E10),0,$C10*((3*(((COLUMN()-COLUMN($F$8))-$D10+1)/$F10)^2-2*(((COLUMN()-COLUMN($F$8))-$D10+1)/$F10)^3)-(3*(((COLUMN()-COLUMN($F$8))-$D10)/$F10)^2-2*(((COLUMN()-COLUMN($F$8))-$D10)/$F10)^3)))</f>
        <v>7323826.30900091</v>
      </c>
      <c r="P10" s="1016" t="n">
        <f aca="false">IF(OR((COLUMN()-COLUMN($F$8))&lt;$D10,(COLUMN()-COLUMN($F$8))&gt;$E10),0,$C10*((3*(((COLUMN()-COLUMN($F$8))-$D10+1)/$F10)^2-2*(((COLUMN()-COLUMN($F$8))-$D10+1)/$F10)^3)-(3*(((COLUMN()-COLUMN($F$8))-$D10)/$F10)^2-2*(((COLUMN()-COLUMN($F$8))-$D10)/$F10)^3)))</f>
        <v>7150138.72855029</v>
      </c>
      <c r="Q10" s="1016" t="n">
        <f aca="false">IF(OR((COLUMN()-COLUMN($F$8))&lt;$D10,(COLUMN()-COLUMN($F$8))&gt;$E10),0,$C10*((3*(((COLUMN()-COLUMN($F$8))-$D10+1)/$F10)^2-2*(((COLUMN()-COLUMN($F$8))-$D10+1)/$F10)^3)-(3*(((COLUMN()-COLUMN($F$8))-$D10)/$F10)^2-2*(((COLUMN()-COLUMN($F$8))-$D10)/$F10)^3)))</f>
        <v>6629075.98719844</v>
      </c>
      <c r="R10" s="1016" t="n">
        <f aca="false">IF(OR((COLUMN()-COLUMN($F$8))&lt;$D10,(COLUMN()-COLUMN($F$8))&gt;$E10),0,$C10*((3*(((COLUMN()-COLUMN($F$8))-$D10+1)/$F10)^2-2*(((COLUMN()-COLUMN($F$8))-$D10+1)/$F10)^3)-(3*(((COLUMN()-COLUMN($F$8))-$D10)/$F10)^2-2*(((COLUMN()-COLUMN($F$8))-$D10)/$F10)^3)))</f>
        <v>5760638.0849454</v>
      </c>
      <c r="S10" s="1016" t="n">
        <f aca="false">IF(OR((COLUMN()-COLUMN($F$8))&lt;$D10,(COLUMN()-COLUMN($F$8))&gt;$E10),0,$C10*((3*(((COLUMN()-COLUMN($F$8))-$D10+1)/$F10)^2-2*(((COLUMN()-COLUMN($F$8))-$D10+1)/$F10)^3)-(3*(((COLUMN()-COLUMN($F$8))-$D10)/$F10)^2-2*(((COLUMN()-COLUMN($F$8))-$D10)/$F10)^3)))</f>
        <v>4544825.02179108</v>
      </c>
      <c r="T10" s="1016" t="n">
        <f aca="false">IF(OR((COLUMN()-COLUMN($F$8))&lt;$D10,(COLUMN()-COLUMN($F$8))&gt;$E10),0,$C10*((3*(((COLUMN()-COLUMN($F$8))-$D10+1)/$F10)^2-2*(((COLUMN()-COLUMN($F$8))-$D10+1)/$F10)^3)-(3*(((COLUMN()-COLUMN($F$8))-$D10)/$F10)^2-2*(((COLUMN()-COLUMN($F$8))-$D10)/$F10)^3)))</f>
        <v>2981636.79773558</v>
      </c>
      <c r="U10" s="1016" t="n">
        <f aca="false">IF(OR((COLUMN()-COLUMN($F$8))&lt;$D10,(COLUMN()-COLUMN($F$8))&gt;$E10),0,$C10*((3*(((COLUMN()-COLUMN($F$8))-$D10+1)/$F10)^2-2*(((COLUMN()-COLUMN($F$8))-$D10+1)/$F10)^3)-(3*(((COLUMN()-COLUMN($F$8))-$D10)/$F10)^2-2*(((COLUMN()-COLUMN($F$8))-$D10)/$F10)^3)))</f>
        <v>1071073.41277876</v>
      </c>
      <c r="V10" s="1016" t="n">
        <f aca="false">IF(OR((COLUMN()-COLUMN($F$8))&lt;$D10,(COLUMN()-COLUMN($F$8))&gt;$E10),0,$C10*((3*(((COLUMN()-COLUMN($F$8))-$D10+1)/$F10)^2-2*(((COLUMN()-COLUMN($F$8))-$D10+1)/$F10)^3)-(3*(((COLUMN()-COLUMN($F$8))-$D10)/$F10)^2-2*(((COLUMN()-COLUMN($F$8))-$D10)/$F10)^3)))</f>
        <v>0</v>
      </c>
      <c r="W10" s="1016" t="n">
        <f aca="false">IF(OR((COLUMN()-COLUMN($F$8))&lt;$D10,(COLUMN()-COLUMN($F$8))&gt;$E10),0,$C10*((3*(((COLUMN()-COLUMN($F$8))-$D10+1)/$F10)^2-2*(((COLUMN()-COLUMN($F$8))-$D10+1)/$F10)^3)-(3*(((COLUMN()-COLUMN($F$8))-$D10)/$F10)^2-2*(((COLUMN()-COLUMN($F$8))-$D10)/$F10)^3)))</f>
        <v>0</v>
      </c>
      <c r="X10" s="1016" t="n">
        <f aca="false">IF(OR((COLUMN()-COLUMN($F$8))&lt;$D10,(COLUMN()-COLUMN($F$8))&gt;$E10),0,$C10*((3*(((COLUMN()-COLUMN($F$8))-$D10+1)/$F10)^2-2*(((COLUMN()-COLUMN($F$8))-$D10+1)/$F10)^3)-(3*(((COLUMN()-COLUMN($F$8))-$D10)/$F10)^2-2*(((COLUMN()-COLUMN($F$8))-$D10)/$F10)^3)))</f>
        <v>0</v>
      </c>
      <c r="Y10" s="1016" t="n">
        <f aca="false">IF(OR((COLUMN()-COLUMN($F$8))&lt;$D10,(COLUMN()-COLUMN($F$8))&gt;$E10),0,$C10*((3*(((COLUMN()-COLUMN($F$8))-$D10+1)/$F10)^2-2*(((COLUMN()-COLUMN($F$8))-$D10+1)/$F10)^3)-(3*(((COLUMN()-COLUMN($F$8))-$D10)/$F10)^2-2*(((COLUMN()-COLUMN($F$8))-$D10)/$F10)^3)))</f>
        <v>0</v>
      </c>
      <c r="Z10" s="1016" t="n">
        <f aca="false">IF(OR((COLUMN()-COLUMN($F$8))&lt;$D10,(COLUMN()-COLUMN($F$8))&gt;$E10),0,$C10*((3*(((COLUMN()-COLUMN($F$8))-$D10+1)/$F10)^2-2*(((COLUMN()-COLUMN($F$8))-$D10+1)/$F10)^3)-(3*(((COLUMN()-COLUMN($F$8))-$D10)/$F10)^2-2*(((COLUMN()-COLUMN($F$8))-$D10)/$F10)^3)))</f>
        <v>0</v>
      </c>
      <c r="AA10" s="1016" t="n">
        <f aca="false">IF(OR((COLUMN()-COLUMN($F$8))&lt;$D10,(COLUMN()-COLUMN($F$8))&gt;$E10),0,$C10*((3*(((COLUMN()-COLUMN($F$8))-$D10+1)/$F10)^2-2*(((COLUMN()-COLUMN($F$8))-$D10+1)/$F10)^3)-(3*(((COLUMN()-COLUMN($F$8))-$D10)/$F10)^2-2*(((COLUMN()-COLUMN($F$8))-$D10)/$F10)^3)))</f>
        <v>0</v>
      </c>
      <c r="AB10" s="1016" t="n">
        <f aca="false">IF(OR((COLUMN()-COLUMN($F$8))&lt;$D10,(COLUMN()-COLUMN($F$8))&gt;$E10),0,$C10*((3*(((COLUMN()-COLUMN($F$8))-$D10+1)/$F10)^2-2*(((COLUMN()-COLUMN($F$8))-$D10+1)/$F10)^3)-(3*(((COLUMN()-COLUMN($F$8))-$D10)/$F10)^2-2*(((COLUMN()-COLUMN($F$8))-$D10)/$F10)^3)))</f>
        <v>0</v>
      </c>
      <c r="AC10" s="1016" t="n">
        <f aca="false">IF(OR((COLUMN()-COLUMN($F$8))&lt;$D10,(COLUMN()-COLUMN($F$8))&gt;$E10),0,$C10*((3*(((COLUMN()-COLUMN($F$8))-$D10+1)/$F10)^2-2*(((COLUMN()-COLUMN($F$8))-$D10+1)/$F10)^3)-(3*(((COLUMN()-COLUMN($F$8))-$D10)/$F10)^2-2*(((COLUMN()-COLUMN($F$8))-$D10)/$F10)^3)))</f>
        <v>0</v>
      </c>
      <c r="AD10" s="1016" t="n">
        <f aca="false">IF(OR((COLUMN()-COLUMN($F$8))&lt;$D10,(COLUMN()-COLUMN($F$8))&gt;$E10),0,$C10*((3*(((COLUMN()-COLUMN($F$8))-$D10+1)/$F10)^2-2*(((COLUMN()-COLUMN($F$8))-$D10+1)/$F10)^3)-(3*(((COLUMN()-COLUMN($F$8))-$D10)/$F10)^2-2*(((COLUMN()-COLUMN($F$8))-$D10)/$F10)^3)))</f>
        <v>0</v>
      </c>
      <c r="AE10" s="1016" t="n">
        <f aca="false">IF(OR((COLUMN()-COLUMN($F$8))&lt;$D10,(COLUMN()-COLUMN($F$8))&gt;$E10),0,$C10*((3*(((COLUMN()-COLUMN($F$8))-$D10+1)/$F10)^2-2*(((COLUMN()-COLUMN($F$8))-$D10+1)/$F10)^3)-(3*(((COLUMN()-COLUMN($F$8))-$D10)/$F10)^2-2*(((COLUMN()-COLUMN($F$8))-$D10)/$F10)^3)))</f>
        <v>0</v>
      </c>
      <c r="AF10" s="1016" t="n">
        <f aca="false">IF(OR((COLUMN()-COLUMN($F$8))&lt;$D10,(COLUMN()-COLUMN($F$8))&gt;$E10),0,$C10*((3*(((COLUMN()-COLUMN($F$8))-$D10+1)/$F10)^2-2*(((COLUMN()-COLUMN($F$8))-$D10+1)/$F10)^3)-(3*(((COLUMN()-COLUMN($F$8))-$D10)/$F10)^2-2*(((COLUMN()-COLUMN($F$8))-$D10)/$F10)^3)))</f>
        <v>0</v>
      </c>
      <c r="AG10" s="1016" t="n">
        <f aca="false">IF(OR((COLUMN()-COLUMN($F$8))&lt;$D10,(COLUMN()-COLUMN($F$8))&gt;$E10),0,$C10*((3*(((COLUMN()-COLUMN($F$8))-$D10+1)/$F10)^2-2*(((COLUMN()-COLUMN($F$8))-$D10+1)/$F10)^3)-(3*(((COLUMN()-COLUMN($F$8))-$D10)/$F10)^2-2*(((COLUMN()-COLUMN($F$8))-$D10)/$F10)^3)))</f>
        <v>0</v>
      </c>
      <c r="AH10" s="1016" t="n">
        <f aca="false">IF(OR((COLUMN()-COLUMN($F$8))&lt;$D10,(COLUMN()-COLUMN($F$8))&gt;$E10),0,$C10*((3*(((COLUMN()-COLUMN($F$8))-$D10+1)/$F10)^2-2*(((COLUMN()-COLUMN($F$8))-$D10+1)/$F10)^3)-(3*(((COLUMN()-COLUMN($F$8))-$D10)/$F10)^2-2*(((COLUMN()-COLUMN($F$8))-$D10)/$F10)^3)))</f>
        <v>0</v>
      </c>
      <c r="AI10" s="1016" t="n">
        <f aca="false">IF(OR((COLUMN()-COLUMN($F$8))&lt;$D10,(COLUMN()-COLUMN($F$8))&gt;$E10),0,$C10*((3*(((COLUMN()-COLUMN($F$8))-$D10+1)/$F10)^2-2*(((COLUMN()-COLUMN($F$8))-$D10+1)/$F10)^3)-(3*(((COLUMN()-COLUMN($F$8))-$D10)/$F10)^2-2*(((COLUMN()-COLUMN($F$8))-$D10)/$F10)^3)))</f>
        <v>0</v>
      </c>
      <c r="AJ10" s="1016" t="n">
        <f aca="false">IF(OR((COLUMN()-COLUMN($F$8))&lt;$D10,(COLUMN()-COLUMN($F$8))&gt;$E10),0,$C10*((3*(((COLUMN()-COLUMN($F$8))-$D10+1)/$F10)^2-2*(((COLUMN()-COLUMN($F$8))-$D10+1)/$F10)^3)-(3*(((COLUMN()-COLUMN($F$8))-$D10)/$F10)^2-2*(((COLUMN()-COLUMN($F$8))-$D10)/$F10)^3)))</f>
        <v>0</v>
      </c>
    </row>
    <row r="11" customFormat="false" ht="15" hidden="false" customHeight="true" outlineLevel="0" collapsed="false">
      <c r="A11" s="1" t="s">
        <v>1897</v>
      </c>
      <c r="C11" s="1017" t="n">
        <f aca="false">'Construction Budget'!H112</f>
        <v>33466040.3875851</v>
      </c>
      <c r="D11" s="1" t="n">
        <v>4</v>
      </c>
      <c r="E11" s="1" t="n">
        <v>13</v>
      </c>
      <c r="F11" s="1" t="n">
        <v>10</v>
      </c>
      <c r="G11" s="1018" t="n">
        <f aca="false">IF(OR((COLUMN()-COLUMN($F$8))&lt;$D11,(COLUMN()-COLUMN($F$8))&gt;$E11),0,$C11*((3*(((COLUMN()-COLUMN($F$8))-$D11+1)/$F11)^2-2*(((COLUMN()-COLUMN($F$8))-$D11+1)/$F11)^3)-(3*(((COLUMN()-COLUMN($F$8))-$D11)/$F11)^2-2*(((COLUMN()-COLUMN($F$8))-$D11)/$F11)^3)))</f>
        <v>0</v>
      </c>
      <c r="H11" s="1019" t="n">
        <f aca="false">IF(OR((COLUMN()-COLUMN($F$8))&lt;$D11,(COLUMN()-COLUMN($F$8))&gt;$E11),0,$C11*((3*(((COLUMN()-COLUMN($F$8))-$D11+1)/$F11)^2-2*(((COLUMN()-COLUMN($F$8))-$D11+1)/$F11)^3)-(3*(((COLUMN()-COLUMN($F$8))-$D11)/$F11)^2-2*(((COLUMN()-COLUMN($F$8))-$D11)/$F11)^3)))</f>
        <v>0</v>
      </c>
      <c r="I11" s="1019" t="n">
        <f aca="false">IF(OR((COLUMN()-COLUMN($F$8))&lt;$D11,(COLUMN()-COLUMN($F$8))&gt;$E11),0,$C11*((3*(((COLUMN()-COLUMN($F$8))-$D11+1)/$F11)^2-2*(((COLUMN()-COLUMN($F$8))-$D11+1)/$F11)^3)-(3*(((COLUMN()-COLUMN($F$8))-$D11)/$F11)^2-2*(((COLUMN()-COLUMN($F$8))-$D11)/$F11)^3)))</f>
        <v>0</v>
      </c>
      <c r="J11" s="1019" t="n">
        <f aca="false">IF(OR((COLUMN()-COLUMN($F$8))&lt;$D11,(COLUMN()-COLUMN($F$8))&gt;$E11),0,$C11*((3*(((COLUMN()-COLUMN($F$8))-$D11+1)/$F11)^2-2*(((COLUMN()-COLUMN($F$8))-$D11+1)/$F11)^3)-(3*(((COLUMN()-COLUMN($F$8))-$D11)/$F11)^2-2*(((COLUMN()-COLUMN($F$8))-$D11)/$F11)^3)))</f>
        <v>937049.130852383</v>
      </c>
      <c r="K11" s="1019" t="n">
        <f aca="false">IF(OR((COLUMN()-COLUMN($F$8))&lt;$D11,(COLUMN()-COLUMN($F$8))&gt;$E11),0,$C11*((3*(((COLUMN()-COLUMN($F$8))-$D11+1)/$F11)^2-2*(((COLUMN()-COLUMN($F$8))-$D11+1)/$F11)^3)-(3*(((COLUMN()-COLUMN($F$8))-$D11)/$F11)^2-2*(((COLUMN()-COLUMN($F$8))-$D11)/$F11)^3)))</f>
        <v>2543419.06945647</v>
      </c>
      <c r="L11" s="1019" t="n">
        <f aca="false">IF(OR((COLUMN()-COLUMN($F$8))&lt;$D11,(COLUMN()-COLUMN($F$8))&gt;$E11),0,$C11*((3*(((COLUMN()-COLUMN($F$8))-$D11+1)/$F11)^2-2*(((COLUMN()-COLUMN($F$8))-$D11+1)/$F11)^3)-(3*(((COLUMN()-COLUMN($F$8))-$D11)/$F11)^2-2*(((COLUMN()-COLUMN($F$8))-$D11)/$F11)^3)))</f>
        <v>3748196.52340953</v>
      </c>
      <c r="M11" s="1019" t="n">
        <f aca="false">IF(OR((COLUMN()-COLUMN($F$8))&lt;$D11,(COLUMN()-COLUMN($F$8))&gt;$E11),0,$C11*((3*(((COLUMN()-COLUMN($F$8))-$D11+1)/$F11)^2-2*(((COLUMN()-COLUMN($F$8))-$D11+1)/$F11)^3)-(3*(((COLUMN()-COLUMN($F$8))-$D11)/$F11)^2-2*(((COLUMN()-COLUMN($F$8))-$D11)/$F11)^3)))</f>
        <v>4551381.49271158</v>
      </c>
      <c r="N11" s="1019" t="n">
        <f aca="false">IF(OR((COLUMN()-COLUMN($F$8))&lt;$D11,(COLUMN()-COLUMN($F$8))&gt;$E11),0,$C11*((3*(((COLUMN()-COLUMN($F$8))-$D11+1)/$F11)^2-2*(((COLUMN()-COLUMN($F$8))-$D11+1)/$F11)^3)-(3*(((COLUMN()-COLUMN($F$8))-$D11)/$F11)^2-2*(((COLUMN()-COLUMN($F$8))-$D11)/$F11)^3)))</f>
        <v>4952973.97736259</v>
      </c>
      <c r="O11" s="1019" t="n">
        <f aca="false">IF(OR((COLUMN()-COLUMN($F$8))&lt;$D11,(COLUMN()-COLUMN($F$8))&gt;$E11),0,$C11*((3*(((COLUMN()-COLUMN($F$8))-$D11+1)/$F11)^2-2*(((COLUMN()-COLUMN($F$8))-$D11+1)/$F11)^3)-(3*(((COLUMN()-COLUMN($F$8))-$D11)/$F11)^2-2*(((COLUMN()-COLUMN($F$8))-$D11)/$F11)^3)))</f>
        <v>4952973.9773626</v>
      </c>
      <c r="P11" s="1019" t="n">
        <f aca="false">IF(OR((COLUMN()-COLUMN($F$8))&lt;$D11,(COLUMN()-COLUMN($F$8))&gt;$E11),0,$C11*((3*(((COLUMN()-COLUMN($F$8))-$D11+1)/$F11)^2-2*(((COLUMN()-COLUMN($F$8))-$D11+1)/$F11)^3)-(3*(((COLUMN()-COLUMN($F$8))-$D11)/$F11)^2-2*(((COLUMN()-COLUMN($F$8))-$D11)/$F11)^3)))</f>
        <v>4551381.49271157</v>
      </c>
      <c r="Q11" s="1019" t="n">
        <f aca="false">IF(OR((COLUMN()-COLUMN($F$8))&lt;$D11,(COLUMN()-COLUMN($F$8))&gt;$E11),0,$C11*((3*(((COLUMN()-COLUMN($F$8))-$D11+1)/$F11)^2-2*(((COLUMN()-COLUMN($F$8))-$D11+1)/$F11)^3)-(3*(((COLUMN()-COLUMN($F$8))-$D11)/$F11)^2-2*(((COLUMN()-COLUMN($F$8))-$D11)/$F11)^3)))</f>
        <v>3748196.52340954</v>
      </c>
      <c r="R11" s="1019" t="n">
        <f aca="false">IF(OR((COLUMN()-COLUMN($F$8))&lt;$D11,(COLUMN()-COLUMN($F$8))&gt;$E11),0,$C11*((3*(((COLUMN()-COLUMN($F$8))-$D11+1)/$F11)^2-2*(((COLUMN()-COLUMN($F$8))-$D11+1)/$F11)^3)-(3*(((COLUMN()-COLUMN($F$8))-$D11)/$F11)^2-2*(((COLUMN()-COLUMN($F$8))-$D11)/$F11)^3)))</f>
        <v>2543419.06945646</v>
      </c>
      <c r="S11" s="1019" t="n">
        <f aca="false">IF(OR((COLUMN()-COLUMN($F$8))&lt;$D11,(COLUMN()-COLUMN($F$8))&gt;$E11),0,$C11*((3*(((COLUMN()-COLUMN($F$8))-$D11+1)/$F11)^2-2*(((COLUMN()-COLUMN($F$8))-$D11+1)/$F11)^3)-(3*(((COLUMN()-COLUMN($F$8))-$D11)/$F11)^2-2*(((COLUMN()-COLUMN($F$8))-$D11)/$F11)^3)))</f>
        <v>937049.130852384</v>
      </c>
      <c r="T11" s="1019" t="n">
        <f aca="false">IF(OR((COLUMN()-COLUMN($F$8))&lt;$D11,(COLUMN()-COLUMN($F$8))&gt;$E11),0,$C11*((3*(((COLUMN()-COLUMN($F$8))-$D11+1)/$F11)^2-2*(((COLUMN()-COLUMN($F$8))-$D11+1)/$F11)^3)-(3*(((COLUMN()-COLUMN($F$8))-$D11)/$F11)^2-2*(((COLUMN()-COLUMN($F$8))-$D11)/$F11)^3)))</f>
        <v>0</v>
      </c>
      <c r="U11" s="1019" t="n">
        <f aca="false">IF(OR((COLUMN()-COLUMN($F$8))&lt;$D11,(COLUMN()-COLUMN($F$8))&gt;$E11),0,$C11*((3*(((COLUMN()-COLUMN($F$8))-$D11+1)/$F11)^2-2*(((COLUMN()-COLUMN($F$8))-$D11+1)/$F11)^3)-(3*(((COLUMN()-COLUMN($F$8))-$D11)/$F11)^2-2*(((COLUMN()-COLUMN($F$8))-$D11)/$F11)^3)))</f>
        <v>0</v>
      </c>
      <c r="V11" s="1019" t="n">
        <f aca="false">IF(OR((COLUMN()-COLUMN($F$8))&lt;$D11,(COLUMN()-COLUMN($F$8))&gt;$E11),0,$C11*((3*(((COLUMN()-COLUMN($F$8))-$D11+1)/$F11)^2-2*(((COLUMN()-COLUMN($F$8))-$D11+1)/$F11)^3)-(3*(((COLUMN()-COLUMN($F$8))-$D11)/$F11)^2-2*(((COLUMN()-COLUMN($F$8))-$D11)/$F11)^3)))</f>
        <v>0</v>
      </c>
      <c r="W11" s="1019" t="n">
        <f aca="false">IF(OR((COLUMN()-COLUMN($F$8))&lt;$D11,(COLUMN()-COLUMN($F$8))&gt;$E11),0,$C11*((3*(((COLUMN()-COLUMN($F$8))-$D11+1)/$F11)^2-2*(((COLUMN()-COLUMN($F$8))-$D11+1)/$F11)^3)-(3*(((COLUMN()-COLUMN($F$8))-$D11)/$F11)^2-2*(((COLUMN()-COLUMN($F$8))-$D11)/$F11)^3)))</f>
        <v>0</v>
      </c>
      <c r="X11" s="1019" t="n">
        <f aca="false">IF(OR((COLUMN()-COLUMN($F$8))&lt;$D11,(COLUMN()-COLUMN($F$8))&gt;$E11),0,$C11*((3*(((COLUMN()-COLUMN($F$8))-$D11+1)/$F11)^2-2*(((COLUMN()-COLUMN($F$8))-$D11+1)/$F11)^3)-(3*(((COLUMN()-COLUMN($F$8))-$D11)/$F11)^2-2*(((COLUMN()-COLUMN($F$8))-$D11)/$F11)^3)))</f>
        <v>0</v>
      </c>
      <c r="Y11" s="1019" t="n">
        <f aca="false">IF(OR((COLUMN()-COLUMN($F$8))&lt;$D11,(COLUMN()-COLUMN($F$8))&gt;$E11),0,$C11*((3*(((COLUMN()-COLUMN($F$8))-$D11+1)/$F11)^2-2*(((COLUMN()-COLUMN($F$8))-$D11+1)/$F11)^3)-(3*(((COLUMN()-COLUMN($F$8))-$D11)/$F11)^2-2*(((COLUMN()-COLUMN($F$8))-$D11)/$F11)^3)))</f>
        <v>0</v>
      </c>
      <c r="Z11" s="1019" t="n">
        <f aca="false">IF(OR((COLUMN()-COLUMN($F$8))&lt;$D11,(COLUMN()-COLUMN($F$8))&gt;$E11),0,$C11*((3*(((COLUMN()-COLUMN($F$8))-$D11+1)/$F11)^2-2*(((COLUMN()-COLUMN($F$8))-$D11+1)/$F11)^3)-(3*(((COLUMN()-COLUMN($F$8))-$D11)/$F11)^2-2*(((COLUMN()-COLUMN($F$8))-$D11)/$F11)^3)))</f>
        <v>0</v>
      </c>
      <c r="AA11" s="1019" t="n">
        <f aca="false">IF(OR((COLUMN()-COLUMN($F$8))&lt;$D11,(COLUMN()-COLUMN($F$8))&gt;$E11),0,$C11*((3*(((COLUMN()-COLUMN($F$8))-$D11+1)/$F11)^2-2*(((COLUMN()-COLUMN($F$8))-$D11+1)/$F11)^3)-(3*(((COLUMN()-COLUMN($F$8))-$D11)/$F11)^2-2*(((COLUMN()-COLUMN($F$8))-$D11)/$F11)^3)))</f>
        <v>0</v>
      </c>
      <c r="AB11" s="1019" t="n">
        <f aca="false">IF(OR((COLUMN()-COLUMN($F$8))&lt;$D11,(COLUMN()-COLUMN($F$8))&gt;$E11),0,$C11*((3*(((COLUMN()-COLUMN($F$8))-$D11+1)/$F11)^2-2*(((COLUMN()-COLUMN($F$8))-$D11+1)/$F11)^3)-(3*(((COLUMN()-COLUMN($F$8))-$D11)/$F11)^2-2*(((COLUMN()-COLUMN($F$8))-$D11)/$F11)^3)))</f>
        <v>0</v>
      </c>
      <c r="AC11" s="1019" t="n">
        <f aca="false">IF(OR((COLUMN()-COLUMN($F$8))&lt;$D11,(COLUMN()-COLUMN($F$8))&gt;$E11),0,$C11*((3*(((COLUMN()-COLUMN($F$8))-$D11+1)/$F11)^2-2*(((COLUMN()-COLUMN($F$8))-$D11+1)/$F11)^3)-(3*(((COLUMN()-COLUMN($F$8))-$D11)/$F11)^2-2*(((COLUMN()-COLUMN($F$8))-$D11)/$F11)^3)))</f>
        <v>0</v>
      </c>
      <c r="AD11" s="1019" t="n">
        <f aca="false">IF(OR((COLUMN()-COLUMN($F$8))&lt;$D11,(COLUMN()-COLUMN($F$8))&gt;$E11),0,$C11*((3*(((COLUMN()-COLUMN($F$8))-$D11+1)/$F11)^2-2*(((COLUMN()-COLUMN($F$8))-$D11+1)/$F11)^3)-(3*(((COLUMN()-COLUMN($F$8))-$D11)/$F11)^2-2*(((COLUMN()-COLUMN($F$8))-$D11)/$F11)^3)))</f>
        <v>0</v>
      </c>
      <c r="AE11" s="1019" t="n">
        <f aca="false">IF(OR((COLUMN()-COLUMN($F$8))&lt;$D11,(COLUMN()-COLUMN($F$8))&gt;$E11),0,$C11*((3*(((COLUMN()-COLUMN($F$8))-$D11+1)/$F11)^2-2*(((COLUMN()-COLUMN($F$8))-$D11+1)/$F11)^3)-(3*(((COLUMN()-COLUMN($F$8))-$D11)/$F11)^2-2*(((COLUMN()-COLUMN($F$8))-$D11)/$F11)^3)))</f>
        <v>0</v>
      </c>
      <c r="AF11" s="1019" t="n">
        <f aca="false">IF(OR((COLUMN()-COLUMN($F$8))&lt;$D11,(COLUMN()-COLUMN($F$8))&gt;$E11),0,$C11*((3*(((COLUMN()-COLUMN($F$8))-$D11+1)/$F11)^2-2*(((COLUMN()-COLUMN($F$8))-$D11+1)/$F11)^3)-(3*(((COLUMN()-COLUMN($F$8))-$D11)/$F11)^2-2*(((COLUMN()-COLUMN($F$8))-$D11)/$F11)^3)))</f>
        <v>0</v>
      </c>
      <c r="AG11" s="1019" t="n">
        <f aca="false">IF(OR((COLUMN()-COLUMN($F$8))&lt;$D11,(COLUMN()-COLUMN($F$8))&gt;$E11),0,$C11*((3*(((COLUMN()-COLUMN($F$8))-$D11+1)/$F11)^2-2*(((COLUMN()-COLUMN($F$8))-$D11+1)/$F11)^3)-(3*(((COLUMN()-COLUMN($F$8))-$D11)/$F11)^2-2*(((COLUMN()-COLUMN($F$8))-$D11)/$F11)^3)))</f>
        <v>0</v>
      </c>
      <c r="AH11" s="1019" t="n">
        <f aca="false">IF(OR((COLUMN()-COLUMN($F$8))&lt;$D11,(COLUMN()-COLUMN($F$8))&gt;$E11),0,$C11*((3*(((COLUMN()-COLUMN($F$8))-$D11+1)/$F11)^2-2*(((COLUMN()-COLUMN($F$8))-$D11+1)/$F11)^3)-(3*(((COLUMN()-COLUMN($F$8))-$D11)/$F11)^2-2*(((COLUMN()-COLUMN($F$8))-$D11)/$F11)^3)))</f>
        <v>0</v>
      </c>
      <c r="AI11" s="1019" t="n">
        <f aca="false">IF(OR((COLUMN()-COLUMN($F$8))&lt;$D11,(COLUMN()-COLUMN($F$8))&gt;$E11),0,$C11*((3*(((COLUMN()-COLUMN($F$8))-$D11+1)/$F11)^2-2*(((COLUMN()-COLUMN($F$8))-$D11+1)/$F11)^3)-(3*(((COLUMN()-COLUMN($F$8))-$D11)/$F11)^2-2*(((COLUMN()-COLUMN($F$8))-$D11)/$F11)^3)))</f>
        <v>0</v>
      </c>
      <c r="AJ11" s="1019" t="n">
        <f aca="false">IF(OR((COLUMN()-COLUMN($F$8))&lt;$D11,(COLUMN()-COLUMN($F$8))&gt;$E11),0,$C11*((3*(((COLUMN()-COLUMN($F$8))-$D11+1)/$F11)^2-2*(((COLUMN()-COLUMN($F$8))-$D11+1)/$F11)^3)-(3*(((COLUMN()-COLUMN($F$8))-$D11)/$F11)^2-2*(((COLUMN()-COLUMN($F$8))-$D11)/$F11)^3)))</f>
        <v>0</v>
      </c>
    </row>
    <row r="12" customFormat="false" ht="15" hidden="false" customHeight="true" outlineLevel="0" collapsed="false">
      <c r="A12" s="1013" t="s">
        <v>4894</v>
      </c>
      <c r="B12" s="1013"/>
      <c r="C12" s="1014" t="n">
        <f aca="false">'Construction Budget'!H164</f>
        <v>40836399.7619533</v>
      </c>
      <c r="D12" s="1013" t="n">
        <v>8</v>
      </c>
      <c r="E12" s="1013" t="n">
        <v>16</v>
      </c>
      <c r="F12" s="1013" t="n">
        <v>9</v>
      </c>
      <c r="G12" s="1015" t="n">
        <f aca="false">IF(OR((COLUMN()-COLUMN($F$8))&lt;$D12,(COLUMN()-COLUMN($F$8))&gt;$E12),0,$C12*((3*(((COLUMN()-COLUMN($F$8))-$D12+1)/$F12)^2-2*(((COLUMN()-COLUMN($F$8))-$D12+1)/$F12)^3)-(3*(((COLUMN()-COLUMN($F$8))-$D12)/$F12)^2-2*(((COLUMN()-COLUMN($F$8))-$D12)/$F12)^3)))</f>
        <v>0</v>
      </c>
      <c r="H12" s="1016" t="n">
        <f aca="false">IF(OR((COLUMN()-COLUMN($F$8))&lt;$D12,(COLUMN()-COLUMN($F$8))&gt;$E12),0,$C12*((3*(((COLUMN()-COLUMN($F$8))-$D12+1)/$F12)^2-2*(((COLUMN()-COLUMN($F$8))-$D12+1)/$F12)^3)-(3*(((COLUMN()-COLUMN($F$8))-$D12)/$F12)^2-2*(((COLUMN()-COLUMN($F$8))-$D12)/$F12)^3)))</f>
        <v>0</v>
      </c>
      <c r="I12" s="1016" t="n">
        <f aca="false">IF(OR((COLUMN()-COLUMN($F$8))&lt;$D12,(COLUMN()-COLUMN($F$8))&gt;$E12),0,$C12*((3*(((COLUMN()-COLUMN($F$8))-$D12+1)/$F12)^2-2*(((COLUMN()-COLUMN($F$8))-$D12+1)/$F12)^3)-(3*(((COLUMN()-COLUMN($F$8))-$D12)/$F12)^2-2*(((COLUMN()-COLUMN($F$8))-$D12)/$F12)^3)))</f>
        <v>0</v>
      </c>
      <c r="J12" s="1016" t="n">
        <f aca="false">IF(OR((COLUMN()-COLUMN($F$8))&lt;$D12,(COLUMN()-COLUMN($F$8))&gt;$E12),0,$C12*((3*(((COLUMN()-COLUMN($F$8))-$D12+1)/$F12)^2-2*(((COLUMN()-COLUMN($F$8))-$D12+1)/$F12)^3)-(3*(((COLUMN()-COLUMN($F$8))-$D12)/$F12)^2-2*(((COLUMN()-COLUMN($F$8))-$D12)/$F12)^3)))</f>
        <v>0</v>
      </c>
      <c r="K12" s="1016" t="n">
        <f aca="false">IF(OR((COLUMN()-COLUMN($F$8))&lt;$D12,(COLUMN()-COLUMN($F$8))&gt;$E12),0,$C12*((3*(((COLUMN()-COLUMN($F$8))-$D12+1)/$F12)^2-2*(((COLUMN()-COLUMN($F$8))-$D12+1)/$F12)^3)-(3*(((COLUMN()-COLUMN($F$8))-$D12)/$F12)^2-2*(((COLUMN()-COLUMN($F$8))-$D12)/$F12)^3)))</f>
        <v>0</v>
      </c>
      <c r="L12" s="1016" t="n">
        <f aca="false">IF(OR((COLUMN()-COLUMN($F$8))&lt;$D12,(COLUMN()-COLUMN($F$8))&gt;$E12),0,$C12*((3*(((COLUMN()-COLUMN($F$8))-$D12+1)/$F12)^2-2*(((COLUMN()-COLUMN($F$8))-$D12+1)/$F12)^3)-(3*(((COLUMN()-COLUMN($F$8))-$D12)/$F12)^2-2*(((COLUMN()-COLUMN($F$8))-$D12)/$F12)^3)))</f>
        <v>0</v>
      </c>
      <c r="M12" s="1016" t="n">
        <f aca="false">IF(OR((COLUMN()-COLUMN($F$8))&lt;$D12,(COLUMN()-COLUMN($F$8))&gt;$E12),0,$C12*((3*(((COLUMN()-COLUMN($F$8))-$D12+1)/$F12)^2-2*(((COLUMN()-COLUMN($F$8))-$D12+1)/$F12)^3)-(3*(((COLUMN()-COLUMN($F$8))-$D12)/$F12)^2-2*(((COLUMN()-COLUMN($F$8))-$D12)/$F12)^3)))</f>
        <v>0</v>
      </c>
      <c r="N12" s="1016" t="n">
        <f aca="false">IF(OR((COLUMN()-COLUMN($F$8))&lt;$D12,(COLUMN()-COLUMN($F$8))&gt;$E12),0,$C12*((3*(((COLUMN()-COLUMN($F$8))-$D12+1)/$F12)^2-2*(((COLUMN()-COLUMN($F$8))-$D12+1)/$F12)^3)-(3*(((COLUMN()-COLUMN($F$8))-$D12)/$F12)^2-2*(((COLUMN()-COLUMN($F$8))-$D12)/$F12)^3)))</f>
        <v>1400425.2318914</v>
      </c>
      <c r="O12" s="1016" t="n">
        <f aca="false">IF(OR((COLUMN()-COLUMN($F$8))&lt;$D12,(COLUMN()-COLUMN($F$8))&gt;$E12),0,$C12*((3*(((COLUMN()-COLUMN($F$8))-$D12+1)/$F12)^2-2*(((COLUMN()-COLUMN($F$8))-$D12+1)/$F12)^3)-(3*(((COLUMN()-COLUMN($F$8))-$D12)/$F12)^2-2*(((COLUMN()-COLUMN($F$8))-$D12)/$F12)^3)))</f>
        <v>3753139.62146895</v>
      </c>
      <c r="P12" s="1016" t="n">
        <f aca="false">IF(OR((COLUMN()-COLUMN($F$8))&lt;$D12,(COLUMN()-COLUMN($F$8))&gt;$E12),0,$C12*((3*(((COLUMN()-COLUMN($F$8))-$D12+1)/$F12)^2-2*(((COLUMN()-COLUMN($F$8))-$D12+1)/$F12)^3)-(3*(((COLUMN()-COLUMN($F$8))-$D12)/$F12)^2-2*(((COLUMN()-COLUMN($F$8))-$D12)/$F12)^3)))</f>
        <v>5433649.89973864</v>
      </c>
      <c r="Q12" s="1016" t="n">
        <f aca="false">IF(OR((COLUMN()-COLUMN($F$8))&lt;$D12,(COLUMN()-COLUMN($F$8))&gt;$E12),0,$C12*((3*(((COLUMN()-COLUMN($F$8))-$D12+1)/$F12)^2-2*(((COLUMN()-COLUMN($F$8))-$D12+1)/$F12)^3)-(3*(((COLUMN()-COLUMN($F$8))-$D12)/$F12)^2-2*(((COLUMN()-COLUMN($F$8))-$D12)/$F12)^3)))</f>
        <v>6441956.06670045</v>
      </c>
      <c r="R12" s="1016" t="n">
        <f aca="false">IF(OR((COLUMN()-COLUMN($F$8))&lt;$D12,(COLUMN()-COLUMN($F$8))&gt;$E12),0,$C12*((3*(((COLUMN()-COLUMN($F$8))-$D12+1)/$F12)^2-2*(((COLUMN()-COLUMN($F$8))-$D12+1)/$F12)^3)-(3*(((COLUMN()-COLUMN($F$8))-$D12)/$F12)^2-2*(((COLUMN()-COLUMN($F$8))-$D12)/$F12)^3)))</f>
        <v>6778058.12235438</v>
      </c>
      <c r="S12" s="1016" t="n">
        <f aca="false">IF(OR((COLUMN()-COLUMN($F$8))&lt;$D12,(COLUMN()-COLUMN($F$8))&gt;$E12),0,$C12*((3*(((COLUMN()-COLUMN($F$8))-$D12+1)/$F12)^2-2*(((COLUMN()-COLUMN($F$8))-$D12+1)/$F12)^3)-(3*(((COLUMN()-COLUMN($F$8))-$D12)/$F12)^2-2*(((COLUMN()-COLUMN($F$8))-$D12)/$F12)^3)))</f>
        <v>6441956.06670045</v>
      </c>
      <c r="T12" s="1016" t="n">
        <f aca="false">IF(OR((COLUMN()-COLUMN($F$8))&lt;$D12,(COLUMN()-COLUMN($F$8))&gt;$E12),0,$C12*((3*(((COLUMN()-COLUMN($F$8))-$D12+1)/$F12)^2-2*(((COLUMN()-COLUMN($F$8))-$D12+1)/$F12)^3)-(3*(((COLUMN()-COLUMN($F$8))-$D12)/$F12)^2-2*(((COLUMN()-COLUMN($F$8))-$D12)/$F12)^3)))</f>
        <v>5433649.89973863</v>
      </c>
      <c r="U12" s="1016" t="n">
        <f aca="false">IF(OR((COLUMN()-COLUMN($F$8))&lt;$D12,(COLUMN()-COLUMN($F$8))&gt;$E12),0,$C12*((3*(((COLUMN()-COLUMN($F$8))-$D12+1)/$F12)^2-2*(((COLUMN()-COLUMN($F$8))-$D12+1)/$F12)^3)-(3*(((COLUMN()-COLUMN($F$8))-$D12)/$F12)^2-2*(((COLUMN()-COLUMN($F$8))-$D12)/$F12)^3)))</f>
        <v>3753139.62146896</v>
      </c>
      <c r="V12" s="1016" t="n">
        <f aca="false">IF(OR((COLUMN()-COLUMN($F$8))&lt;$D12,(COLUMN()-COLUMN($F$8))&gt;$E12),0,$C12*((3*(((COLUMN()-COLUMN($F$8))-$D12+1)/$F12)^2-2*(((COLUMN()-COLUMN($F$8))-$D12+1)/$F12)^3)-(3*(((COLUMN()-COLUMN($F$8))-$D12)/$F12)^2-2*(((COLUMN()-COLUMN($F$8))-$D12)/$F12)^3)))</f>
        <v>1400425.23189139</v>
      </c>
      <c r="W12" s="1016" t="n">
        <f aca="false">IF(OR((COLUMN()-COLUMN($F$8))&lt;$D12,(COLUMN()-COLUMN($F$8))&gt;$E12),0,$C12*((3*(((COLUMN()-COLUMN($F$8))-$D12+1)/$F12)^2-2*(((COLUMN()-COLUMN($F$8))-$D12+1)/$F12)^3)-(3*(((COLUMN()-COLUMN($F$8))-$D12)/$F12)^2-2*(((COLUMN()-COLUMN($F$8))-$D12)/$F12)^3)))</f>
        <v>0</v>
      </c>
      <c r="X12" s="1016" t="n">
        <f aca="false">IF(OR((COLUMN()-COLUMN($F$8))&lt;$D12,(COLUMN()-COLUMN($F$8))&gt;$E12),0,$C12*((3*(((COLUMN()-COLUMN($F$8))-$D12+1)/$F12)^2-2*(((COLUMN()-COLUMN($F$8))-$D12+1)/$F12)^3)-(3*(((COLUMN()-COLUMN($F$8))-$D12)/$F12)^2-2*(((COLUMN()-COLUMN($F$8))-$D12)/$F12)^3)))</f>
        <v>0</v>
      </c>
      <c r="Y12" s="1016" t="n">
        <f aca="false">IF(OR((COLUMN()-COLUMN($F$8))&lt;$D12,(COLUMN()-COLUMN($F$8))&gt;$E12),0,$C12*((3*(((COLUMN()-COLUMN($F$8))-$D12+1)/$F12)^2-2*(((COLUMN()-COLUMN($F$8))-$D12+1)/$F12)^3)-(3*(((COLUMN()-COLUMN($F$8))-$D12)/$F12)^2-2*(((COLUMN()-COLUMN($F$8))-$D12)/$F12)^3)))</f>
        <v>0</v>
      </c>
      <c r="Z12" s="1016" t="n">
        <f aca="false">IF(OR((COLUMN()-COLUMN($F$8))&lt;$D12,(COLUMN()-COLUMN($F$8))&gt;$E12),0,$C12*((3*(((COLUMN()-COLUMN($F$8))-$D12+1)/$F12)^2-2*(((COLUMN()-COLUMN($F$8))-$D12+1)/$F12)^3)-(3*(((COLUMN()-COLUMN($F$8))-$D12)/$F12)^2-2*(((COLUMN()-COLUMN($F$8))-$D12)/$F12)^3)))</f>
        <v>0</v>
      </c>
      <c r="AA12" s="1016" t="n">
        <f aca="false">IF(OR((COLUMN()-COLUMN($F$8))&lt;$D12,(COLUMN()-COLUMN($F$8))&gt;$E12),0,$C12*((3*(((COLUMN()-COLUMN($F$8))-$D12+1)/$F12)^2-2*(((COLUMN()-COLUMN($F$8))-$D12+1)/$F12)^3)-(3*(((COLUMN()-COLUMN($F$8))-$D12)/$F12)^2-2*(((COLUMN()-COLUMN($F$8))-$D12)/$F12)^3)))</f>
        <v>0</v>
      </c>
      <c r="AB12" s="1016" t="n">
        <f aca="false">IF(OR((COLUMN()-COLUMN($F$8))&lt;$D12,(COLUMN()-COLUMN($F$8))&gt;$E12),0,$C12*((3*(((COLUMN()-COLUMN($F$8))-$D12+1)/$F12)^2-2*(((COLUMN()-COLUMN($F$8))-$D12+1)/$F12)^3)-(3*(((COLUMN()-COLUMN($F$8))-$D12)/$F12)^2-2*(((COLUMN()-COLUMN($F$8))-$D12)/$F12)^3)))</f>
        <v>0</v>
      </c>
      <c r="AC12" s="1016" t="n">
        <f aca="false">IF(OR((COLUMN()-COLUMN($F$8))&lt;$D12,(COLUMN()-COLUMN($F$8))&gt;$E12),0,$C12*((3*(((COLUMN()-COLUMN($F$8))-$D12+1)/$F12)^2-2*(((COLUMN()-COLUMN($F$8))-$D12+1)/$F12)^3)-(3*(((COLUMN()-COLUMN($F$8))-$D12)/$F12)^2-2*(((COLUMN()-COLUMN($F$8))-$D12)/$F12)^3)))</f>
        <v>0</v>
      </c>
      <c r="AD12" s="1016" t="n">
        <f aca="false">IF(OR((COLUMN()-COLUMN($F$8))&lt;$D12,(COLUMN()-COLUMN($F$8))&gt;$E12),0,$C12*((3*(((COLUMN()-COLUMN($F$8))-$D12+1)/$F12)^2-2*(((COLUMN()-COLUMN($F$8))-$D12+1)/$F12)^3)-(3*(((COLUMN()-COLUMN($F$8))-$D12)/$F12)^2-2*(((COLUMN()-COLUMN($F$8))-$D12)/$F12)^3)))</f>
        <v>0</v>
      </c>
      <c r="AE12" s="1016" t="n">
        <f aca="false">IF(OR((COLUMN()-COLUMN($F$8))&lt;$D12,(COLUMN()-COLUMN($F$8))&gt;$E12),0,$C12*((3*(((COLUMN()-COLUMN($F$8))-$D12+1)/$F12)^2-2*(((COLUMN()-COLUMN($F$8))-$D12+1)/$F12)^3)-(3*(((COLUMN()-COLUMN($F$8))-$D12)/$F12)^2-2*(((COLUMN()-COLUMN($F$8))-$D12)/$F12)^3)))</f>
        <v>0</v>
      </c>
      <c r="AF12" s="1016" t="n">
        <f aca="false">IF(OR((COLUMN()-COLUMN($F$8))&lt;$D12,(COLUMN()-COLUMN($F$8))&gt;$E12),0,$C12*((3*(((COLUMN()-COLUMN($F$8))-$D12+1)/$F12)^2-2*(((COLUMN()-COLUMN($F$8))-$D12+1)/$F12)^3)-(3*(((COLUMN()-COLUMN($F$8))-$D12)/$F12)^2-2*(((COLUMN()-COLUMN($F$8))-$D12)/$F12)^3)))</f>
        <v>0</v>
      </c>
      <c r="AG12" s="1016" t="n">
        <f aca="false">IF(OR((COLUMN()-COLUMN($F$8))&lt;$D12,(COLUMN()-COLUMN($F$8))&gt;$E12),0,$C12*((3*(((COLUMN()-COLUMN($F$8))-$D12+1)/$F12)^2-2*(((COLUMN()-COLUMN($F$8))-$D12+1)/$F12)^3)-(3*(((COLUMN()-COLUMN($F$8))-$D12)/$F12)^2-2*(((COLUMN()-COLUMN($F$8))-$D12)/$F12)^3)))</f>
        <v>0</v>
      </c>
      <c r="AH12" s="1016" t="n">
        <f aca="false">IF(OR((COLUMN()-COLUMN($F$8))&lt;$D12,(COLUMN()-COLUMN($F$8))&gt;$E12),0,$C12*((3*(((COLUMN()-COLUMN($F$8))-$D12+1)/$F12)^2-2*(((COLUMN()-COLUMN($F$8))-$D12+1)/$F12)^3)-(3*(((COLUMN()-COLUMN($F$8))-$D12)/$F12)^2-2*(((COLUMN()-COLUMN($F$8))-$D12)/$F12)^3)))</f>
        <v>0</v>
      </c>
      <c r="AI12" s="1016" t="n">
        <f aca="false">IF(OR((COLUMN()-COLUMN($F$8))&lt;$D12,(COLUMN()-COLUMN($F$8))&gt;$E12),0,$C12*((3*(((COLUMN()-COLUMN($F$8))-$D12+1)/$F12)^2-2*(((COLUMN()-COLUMN($F$8))-$D12+1)/$F12)^3)-(3*(((COLUMN()-COLUMN($F$8))-$D12)/$F12)^2-2*(((COLUMN()-COLUMN($F$8))-$D12)/$F12)^3)))</f>
        <v>0</v>
      </c>
      <c r="AJ12" s="1016" t="n">
        <f aca="false">IF(OR((COLUMN()-COLUMN($F$8))&lt;$D12,(COLUMN()-COLUMN($F$8))&gt;$E12),0,$C12*((3*(((COLUMN()-COLUMN($F$8))-$D12+1)/$F12)^2-2*(((COLUMN()-COLUMN($F$8))-$D12+1)/$F12)^3)-(3*(((COLUMN()-COLUMN($F$8))-$D12)/$F12)^2-2*(((COLUMN()-COLUMN($F$8))-$D12)/$F12)^3)))</f>
        <v>0</v>
      </c>
    </row>
    <row r="13" customFormat="false" ht="15" hidden="false" customHeight="true" outlineLevel="0" collapsed="false">
      <c r="A13" s="1" t="s">
        <v>1899</v>
      </c>
      <c r="C13" s="1017" t="n">
        <f aca="false">'Construction Budget'!H212</f>
        <v>38165650.875</v>
      </c>
      <c r="D13" s="1" t="n">
        <v>11</v>
      </c>
      <c r="E13" s="1" t="n">
        <v>20</v>
      </c>
      <c r="F13" s="1" t="n">
        <v>10</v>
      </c>
      <c r="G13" s="1018" t="n">
        <f aca="false">IF(OR((COLUMN()-COLUMN($F$8))&lt;$D13,(COLUMN()-COLUMN($F$8))&gt;$E13),0,$C13*((3*(((COLUMN()-COLUMN($F$8))-$D13+1)/$F13)^2-2*(((COLUMN()-COLUMN($F$8))-$D13+1)/$F13)^3)-(3*(((COLUMN()-COLUMN($F$8))-$D13)/$F13)^2-2*(((COLUMN()-COLUMN($F$8))-$D13)/$F13)^3)))</f>
        <v>0</v>
      </c>
      <c r="H13" s="1019" t="n">
        <f aca="false">IF(OR((COLUMN()-COLUMN($F$8))&lt;$D13,(COLUMN()-COLUMN($F$8))&gt;$E13),0,$C13*((3*(((COLUMN()-COLUMN($F$8))-$D13+1)/$F13)^2-2*(((COLUMN()-COLUMN($F$8))-$D13+1)/$F13)^3)-(3*(((COLUMN()-COLUMN($F$8))-$D13)/$F13)^2-2*(((COLUMN()-COLUMN($F$8))-$D13)/$F13)^3)))</f>
        <v>0</v>
      </c>
      <c r="I13" s="1019" t="n">
        <f aca="false">IF(OR((COLUMN()-COLUMN($F$8))&lt;$D13,(COLUMN()-COLUMN($F$8))&gt;$E13),0,$C13*((3*(((COLUMN()-COLUMN($F$8))-$D13+1)/$F13)^2-2*(((COLUMN()-COLUMN($F$8))-$D13+1)/$F13)^3)-(3*(((COLUMN()-COLUMN($F$8))-$D13)/$F13)^2-2*(((COLUMN()-COLUMN($F$8))-$D13)/$F13)^3)))</f>
        <v>0</v>
      </c>
      <c r="J13" s="1019" t="n">
        <f aca="false">IF(OR((COLUMN()-COLUMN($F$8))&lt;$D13,(COLUMN()-COLUMN($F$8))&gt;$E13),0,$C13*((3*(((COLUMN()-COLUMN($F$8))-$D13+1)/$F13)^2-2*(((COLUMN()-COLUMN($F$8))-$D13+1)/$F13)^3)-(3*(((COLUMN()-COLUMN($F$8))-$D13)/$F13)^2-2*(((COLUMN()-COLUMN($F$8))-$D13)/$F13)^3)))</f>
        <v>0</v>
      </c>
      <c r="K13" s="1019" t="n">
        <f aca="false">IF(OR((COLUMN()-COLUMN($F$8))&lt;$D13,(COLUMN()-COLUMN($F$8))&gt;$E13),0,$C13*((3*(((COLUMN()-COLUMN($F$8))-$D13+1)/$F13)^2-2*(((COLUMN()-COLUMN($F$8))-$D13+1)/$F13)^3)-(3*(((COLUMN()-COLUMN($F$8))-$D13)/$F13)^2-2*(((COLUMN()-COLUMN($F$8))-$D13)/$F13)^3)))</f>
        <v>0</v>
      </c>
      <c r="L13" s="1019" t="n">
        <f aca="false">IF(OR((COLUMN()-COLUMN($F$8))&lt;$D13,(COLUMN()-COLUMN($F$8))&gt;$E13),0,$C13*((3*(((COLUMN()-COLUMN($F$8))-$D13+1)/$F13)^2-2*(((COLUMN()-COLUMN($F$8))-$D13+1)/$F13)^3)-(3*(((COLUMN()-COLUMN($F$8))-$D13)/$F13)^2-2*(((COLUMN()-COLUMN($F$8))-$D13)/$F13)^3)))</f>
        <v>0</v>
      </c>
      <c r="M13" s="1019" t="n">
        <f aca="false">IF(OR((COLUMN()-COLUMN($F$8))&lt;$D13,(COLUMN()-COLUMN($F$8))&gt;$E13),0,$C13*((3*(((COLUMN()-COLUMN($F$8))-$D13+1)/$F13)^2-2*(((COLUMN()-COLUMN($F$8))-$D13+1)/$F13)^3)-(3*(((COLUMN()-COLUMN($F$8))-$D13)/$F13)^2-2*(((COLUMN()-COLUMN($F$8))-$D13)/$F13)^3)))</f>
        <v>0</v>
      </c>
      <c r="N13" s="1019" t="n">
        <f aca="false">IF(OR((COLUMN()-COLUMN($F$8))&lt;$D13,(COLUMN()-COLUMN($F$8))&gt;$E13),0,$C13*((3*(((COLUMN()-COLUMN($F$8))-$D13+1)/$F13)^2-2*(((COLUMN()-COLUMN($F$8))-$D13+1)/$F13)^3)-(3*(((COLUMN()-COLUMN($F$8))-$D13)/$F13)^2-2*(((COLUMN()-COLUMN($F$8))-$D13)/$F13)^3)))</f>
        <v>0</v>
      </c>
      <c r="O13" s="1019" t="n">
        <f aca="false">IF(OR((COLUMN()-COLUMN($F$8))&lt;$D13,(COLUMN()-COLUMN($F$8))&gt;$E13),0,$C13*((3*(((COLUMN()-COLUMN($F$8))-$D13+1)/$F13)^2-2*(((COLUMN()-COLUMN($F$8))-$D13+1)/$F13)^3)-(3*(((COLUMN()-COLUMN($F$8))-$D13)/$F13)^2-2*(((COLUMN()-COLUMN($F$8))-$D13)/$F13)^3)))</f>
        <v>0</v>
      </c>
      <c r="P13" s="1019" t="n">
        <f aca="false">IF(OR((COLUMN()-COLUMN($F$8))&lt;$D13,(COLUMN()-COLUMN($F$8))&gt;$E13),0,$C13*((3*(((COLUMN()-COLUMN($F$8))-$D13+1)/$F13)^2-2*(((COLUMN()-COLUMN($F$8))-$D13+1)/$F13)^3)-(3*(((COLUMN()-COLUMN($F$8))-$D13)/$F13)^2-2*(((COLUMN()-COLUMN($F$8))-$D13)/$F13)^3)))</f>
        <v>0</v>
      </c>
      <c r="Q13" s="1019" t="n">
        <f aca="false">IF(OR((COLUMN()-COLUMN($F$8))&lt;$D13,(COLUMN()-COLUMN($F$8))&gt;$E13),0,$C13*((3*(((COLUMN()-COLUMN($F$8))-$D13+1)/$F13)^2-2*(((COLUMN()-COLUMN($F$8))-$D13+1)/$F13)^3)-(3*(((COLUMN()-COLUMN($F$8))-$D13)/$F13)^2-2*(((COLUMN()-COLUMN($F$8))-$D13)/$F13)^3)))</f>
        <v>1068638.2245</v>
      </c>
      <c r="R13" s="1019" t="n">
        <f aca="false">IF(OR((COLUMN()-COLUMN($F$8))&lt;$D13,(COLUMN()-COLUMN($F$8))&gt;$E13),0,$C13*((3*(((COLUMN()-COLUMN($F$8))-$D13+1)/$F13)^2-2*(((COLUMN()-COLUMN($F$8))-$D13+1)/$F13)^3)-(3*(((COLUMN()-COLUMN($F$8))-$D13)/$F13)^2-2*(((COLUMN()-COLUMN($F$8))-$D13)/$F13)^3)))</f>
        <v>2900589.4665</v>
      </c>
      <c r="S13" s="1019" t="n">
        <f aca="false">IF(OR((COLUMN()-COLUMN($F$8))&lt;$D13,(COLUMN()-COLUMN($F$8))&gt;$E13),0,$C13*((3*(((COLUMN()-COLUMN($F$8))-$D13+1)/$F13)^2-2*(((COLUMN()-COLUMN($F$8))-$D13+1)/$F13)^3)-(3*(((COLUMN()-COLUMN($F$8))-$D13)/$F13)^2-2*(((COLUMN()-COLUMN($F$8))-$D13)/$F13)^3)))</f>
        <v>4274552.898</v>
      </c>
      <c r="T13" s="1019" t="n">
        <f aca="false">IF(OR((COLUMN()-COLUMN($F$8))&lt;$D13,(COLUMN()-COLUMN($F$8))&gt;$E13),0,$C13*((3*(((COLUMN()-COLUMN($F$8))-$D13+1)/$F13)^2-2*(((COLUMN()-COLUMN($F$8))-$D13+1)/$F13)^3)-(3*(((COLUMN()-COLUMN($F$8))-$D13)/$F13)^2-2*(((COLUMN()-COLUMN($F$8))-$D13)/$F13)^3)))</f>
        <v>5190528.519</v>
      </c>
      <c r="U13" s="1019" t="n">
        <f aca="false">IF(OR((COLUMN()-COLUMN($F$8))&lt;$D13,(COLUMN()-COLUMN($F$8))&gt;$E13),0,$C13*((3*(((COLUMN()-COLUMN($F$8))-$D13+1)/$F13)^2-2*(((COLUMN()-COLUMN($F$8))-$D13+1)/$F13)^3)-(3*(((COLUMN()-COLUMN($F$8))-$D13)/$F13)^2-2*(((COLUMN()-COLUMN($F$8))-$D13)/$F13)^3)))</f>
        <v>5648516.3295</v>
      </c>
      <c r="V13" s="1019" t="n">
        <f aca="false">IF(OR((COLUMN()-COLUMN($F$8))&lt;$D13,(COLUMN()-COLUMN($F$8))&gt;$E13),0,$C13*((3*(((COLUMN()-COLUMN($F$8))-$D13+1)/$F13)^2-2*(((COLUMN()-COLUMN($F$8))-$D13+1)/$F13)^3)-(3*(((COLUMN()-COLUMN($F$8))-$D13)/$F13)^2-2*(((COLUMN()-COLUMN($F$8))-$D13)/$F13)^3)))</f>
        <v>5648516.32950001</v>
      </c>
      <c r="W13" s="1019" t="n">
        <f aca="false">IF(OR((COLUMN()-COLUMN($F$8))&lt;$D13,(COLUMN()-COLUMN($F$8))&gt;$E13),0,$C13*((3*(((COLUMN()-COLUMN($F$8))-$D13+1)/$F13)^2-2*(((COLUMN()-COLUMN($F$8))-$D13+1)/$F13)^3)-(3*(((COLUMN()-COLUMN($F$8))-$D13)/$F13)^2-2*(((COLUMN()-COLUMN($F$8))-$D13)/$F13)^3)))</f>
        <v>5190528.51899999</v>
      </c>
      <c r="X13" s="1019" t="n">
        <f aca="false">IF(OR((COLUMN()-COLUMN($F$8))&lt;$D13,(COLUMN()-COLUMN($F$8))&gt;$E13),0,$C13*((3*(((COLUMN()-COLUMN($F$8))-$D13+1)/$F13)^2-2*(((COLUMN()-COLUMN($F$8))-$D13+1)/$F13)^3)-(3*(((COLUMN()-COLUMN($F$8))-$D13)/$F13)^2-2*(((COLUMN()-COLUMN($F$8))-$D13)/$F13)^3)))</f>
        <v>4274552.89800001</v>
      </c>
      <c r="Y13" s="1019" t="n">
        <f aca="false">IF(OR((COLUMN()-COLUMN($F$8))&lt;$D13,(COLUMN()-COLUMN($F$8))&gt;$E13),0,$C13*((3*(((COLUMN()-COLUMN($F$8))-$D13+1)/$F13)^2-2*(((COLUMN()-COLUMN($F$8))-$D13+1)/$F13)^3)-(3*(((COLUMN()-COLUMN($F$8))-$D13)/$F13)^2-2*(((COLUMN()-COLUMN($F$8))-$D13)/$F13)^3)))</f>
        <v>2900589.46649999</v>
      </c>
      <c r="Z13" s="1019" t="n">
        <f aca="false">IF(OR((COLUMN()-COLUMN($F$8))&lt;$D13,(COLUMN()-COLUMN($F$8))&gt;$E13),0,$C13*((3*(((COLUMN()-COLUMN($F$8))-$D13+1)/$F13)^2-2*(((COLUMN()-COLUMN($F$8))-$D13+1)/$F13)^3)-(3*(((COLUMN()-COLUMN($F$8))-$D13)/$F13)^2-2*(((COLUMN()-COLUMN($F$8))-$D13)/$F13)^3)))</f>
        <v>1068638.2245</v>
      </c>
      <c r="AA13" s="1019" t="n">
        <f aca="false">IF(OR((COLUMN()-COLUMN($F$8))&lt;$D13,(COLUMN()-COLUMN($F$8))&gt;$E13),0,$C13*((3*(((COLUMN()-COLUMN($F$8))-$D13+1)/$F13)^2-2*(((COLUMN()-COLUMN($F$8))-$D13+1)/$F13)^3)-(3*(((COLUMN()-COLUMN($F$8))-$D13)/$F13)^2-2*(((COLUMN()-COLUMN($F$8))-$D13)/$F13)^3)))</f>
        <v>0</v>
      </c>
      <c r="AB13" s="1019" t="n">
        <f aca="false">IF(OR((COLUMN()-COLUMN($F$8))&lt;$D13,(COLUMN()-COLUMN($F$8))&gt;$E13),0,$C13*((3*(((COLUMN()-COLUMN($F$8))-$D13+1)/$F13)^2-2*(((COLUMN()-COLUMN($F$8))-$D13+1)/$F13)^3)-(3*(((COLUMN()-COLUMN($F$8))-$D13)/$F13)^2-2*(((COLUMN()-COLUMN($F$8))-$D13)/$F13)^3)))</f>
        <v>0</v>
      </c>
      <c r="AC13" s="1019" t="n">
        <f aca="false">IF(OR((COLUMN()-COLUMN($F$8))&lt;$D13,(COLUMN()-COLUMN($F$8))&gt;$E13),0,$C13*((3*(((COLUMN()-COLUMN($F$8))-$D13+1)/$F13)^2-2*(((COLUMN()-COLUMN($F$8))-$D13+1)/$F13)^3)-(3*(((COLUMN()-COLUMN($F$8))-$D13)/$F13)^2-2*(((COLUMN()-COLUMN($F$8))-$D13)/$F13)^3)))</f>
        <v>0</v>
      </c>
      <c r="AD13" s="1019" t="n">
        <f aca="false">IF(OR((COLUMN()-COLUMN($F$8))&lt;$D13,(COLUMN()-COLUMN($F$8))&gt;$E13),0,$C13*((3*(((COLUMN()-COLUMN($F$8))-$D13+1)/$F13)^2-2*(((COLUMN()-COLUMN($F$8))-$D13+1)/$F13)^3)-(3*(((COLUMN()-COLUMN($F$8))-$D13)/$F13)^2-2*(((COLUMN()-COLUMN($F$8))-$D13)/$F13)^3)))</f>
        <v>0</v>
      </c>
      <c r="AE13" s="1019" t="n">
        <f aca="false">IF(OR((COLUMN()-COLUMN($F$8))&lt;$D13,(COLUMN()-COLUMN($F$8))&gt;$E13),0,$C13*((3*(((COLUMN()-COLUMN($F$8))-$D13+1)/$F13)^2-2*(((COLUMN()-COLUMN($F$8))-$D13+1)/$F13)^3)-(3*(((COLUMN()-COLUMN($F$8))-$D13)/$F13)^2-2*(((COLUMN()-COLUMN($F$8))-$D13)/$F13)^3)))</f>
        <v>0</v>
      </c>
      <c r="AF13" s="1019" t="n">
        <f aca="false">IF(OR((COLUMN()-COLUMN($F$8))&lt;$D13,(COLUMN()-COLUMN($F$8))&gt;$E13),0,$C13*((3*(((COLUMN()-COLUMN($F$8))-$D13+1)/$F13)^2-2*(((COLUMN()-COLUMN($F$8))-$D13+1)/$F13)^3)-(3*(((COLUMN()-COLUMN($F$8))-$D13)/$F13)^2-2*(((COLUMN()-COLUMN($F$8))-$D13)/$F13)^3)))</f>
        <v>0</v>
      </c>
      <c r="AG13" s="1019" t="n">
        <f aca="false">IF(OR((COLUMN()-COLUMN($F$8))&lt;$D13,(COLUMN()-COLUMN($F$8))&gt;$E13),0,$C13*((3*(((COLUMN()-COLUMN($F$8))-$D13+1)/$F13)^2-2*(((COLUMN()-COLUMN($F$8))-$D13+1)/$F13)^3)-(3*(((COLUMN()-COLUMN($F$8))-$D13)/$F13)^2-2*(((COLUMN()-COLUMN($F$8))-$D13)/$F13)^3)))</f>
        <v>0</v>
      </c>
      <c r="AH13" s="1019" t="n">
        <f aca="false">IF(OR((COLUMN()-COLUMN($F$8))&lt;$D13,(COLUMN()-COLUMN($F$8))&gt;$E13),0,$C13*((3*(((COLUMN()-COLUMN($F$8))-$D13+1)/$F13)^2-2*(((COLUMN()-COLUMN($F$8))-$D13+1)/$F13)^3)-(3*(((COLUMN()-COLUMN($F$8))-$D13)/$F13)^2-2*(((COLUMN()-COLUMN($F$8))-$D13)/$F13)^3)))</f>
        <v>0</v>
      </c>
      <c r="AI13" s="1019" t="n">
        <f aca="false">IF(OR((COLUMN()-COLUMN($F$8))&lt;$D13,(COLUMN()-COLUMN($F$8))&gt;$E13),0,$C13*((3*(((COLUMN()-COLUMN($F$8))-$D13+1)/$F13)^2-2*(((COLUMN()-COLUMN($F$8))-$D13+1)/$F13)^3)-(3*(((COLUMN()-COLUMN($F$8))-$D13)/$F13)^2-2*(((COLUMN()-COLUMN($F$8))-$D13)/$F13)^3)))</f>
        <v>0</v>
      </c>
      <c r="AJ13" s="1019" t="n">
        <f aca="false">IF(OR((COLUMN()-COLUMN($F$8))&lt;$D13,(COLUMN()-COLUMN($F$8))&gt;$E13),0,$C13*((3*(((COLUMN()-COLUMN($F$8))-$D13+1)/$F13)^2-2*(((COLUMN()-COLUMN($F$8))-$D13+1)/$F13)^3)-(3*(((COLUMN()-COLUMN($F$8))-$D13)/$F13)^2-2*(((COLUMN()-COLUMN($F$8))-$D13)/$F13)^3)))</f>
        <v>0</v>
      </c>
    </row>
    <row r="14" customFormat="false" ht="15" hidden="false" customHeight="true" outlineLevel="0" collapsed="false">
      <c r="A14" s="1013" t="s">
        <v>4895</v>
      </c>
      <c r="B14" s="1013"/>
      <c r="C14" s="1014" t="n">
        <f aca="false">'Construction Budget'!H387</f>
        <v>22312498.51875</v>
      </c>
      <c r="D14" s="1013" t="n">
        <v>9</v>
      </c>
      <c r="E14" s="1013" t="n">
        <v>23</v>
      </c>
      <c r="F14" s="1013" t="n">
        <v>15</v>
      </c>
      <c r="G14" s="1015" t="n">
        <f aca="false">IF(OR((COLUMN()-COLUMN($F$8))&lt;$D14,(COLUMN()-COLUMN($F$8))&gt;$E14),0,$C14*((3*(((COLUMN()-COLUMN($F$8))-$D14+1)/$F14)^2-2*(((COLUMN()-COLUMN($F$8))-$D14+1)/$F14)^3)-(3*(((COLUMN()-COLUMN($F$8))-$D14)/$F14)^2-2*(((COLUMN()-COLUMN($F$8))-$D14)/$F14)^3)))</f>
        <v>0</v>
      </c>
      <c r="H14" s="1016" t="n">
        <f aca="false">IF(OR((COLUMN()-COLUMN($F$8))&lt;$D14,(COLUMN()-COLUMN($F$8))&gt;$E14),0,$C14*((3*(((COLUMN()-COLUMN($F$8))-$D14+1)/$F14)^2-2*(((COLUMN()-COLUMN($F$8))-$D14+1)/$F14)^3)-(3*(((COLUMN()-COLUMN($F$8))-$D14)/$F14)^2-2*(((COLUMN()-COLUMN($F$8))-$D14)/$F14)^3)))</f>
        <v>0</v>
      </c>
      <c r="I14" s="1016" t="n">
        <f aca="false">IF(OR((COLUMN()-COLUMN($F$8))&lt;$D14,(COLUMN()-COLUMN($F$8))&gt;$E14),0,$C14*((3*(((COLUMN()-COLUMN($F$8))-$D14+1)/$F14)^2-2*(((COLUMN()-COLUMN($F$8))-$D14+1)/$F14)^3)-(3*(((COLUMN()-COLUMN($F$8))-$D14)/$F14)^2-2*(((COLUMN()-COLUMN($F$8))-$D14)/$F14)^3)))</f>
        <v>0</v>
      </c>
      <c r="J14" s="1016" t="n">
        <f aca="false">IF(OR((COLUMN()-COLUMN($F$8))&lt;$D14,(COLUMN()-COLUMN($F$8))&gt;$E14),0,$C14*((3*(((COLUMN()-COLUMN($F$8))-$D14+1)/$F14)^2-2*(((COLUMN()-COLUMN($F$8))-$D14+1)/$F14)^3)-(3*(((COLUMN()-COLUMN($F$8))-$D14)/$F14)^2-2*(((COLUMN()-COLUMN($F$8))-$D14)/$F14)^3)))</f>
        <v>0</v>
      </c>
      <c r="K14" s="1016" t="n">
        <f aca="false">IF(OR((COLUMN()-COLUMN($F$8))&lt;$D14,(COLUMN()-COLUMN($F$8))&gt;$E14),0,$C14*((3*(((COLUMN()-COLUMN($F$8))-$D14+1)/$F14)^2-2*(((COLUMN()-COLUMN($F$8))-$D14+1)/$F14)^3)-(3*(((COLUMN()-COLUMN($F$8))-$D14)/$F14)^2-2*(((COLUMN()-COLUMN($F$8))-$D14)/$F14)^3)))</f>
        <v>0</v>
      </c>
      <c r="L14" s="1016" t="n">
        <f aca="false">IF(OR((COLUMN()-COLUMN($F$8))&lt;$D14,(COLUMN()-COLUMN($F$8))&gt;$E14),0,$C14*((3*(((COLUMN()-COLUMN($F$8))-$D14+1)/$F14)^2-2*(((COLUMN()-COLUMN($F$8))-$D14+1)/$F14)^3)-(3*(((COLUMN()-COLUMN($F$8))-$D14)/$F14)^2-2*(((COLUMN()-COLUMN($F$8))-$D14)/$F14)^3)))</f>
        <v>0</v>
      </c>
      <c r="M14" s="1016" t="n">
        <f aca="false">IF(OR((COLUMN()-COLUMN($F$8))&lt;$D14,(COLUMN()-COLUMN($F$8))&gt;$E14),0,$C14*((3*(((COLUMN()-COLUMN($F$8))-$D14+1)/$F14)^2-2*(((COLUMN()-COLUMN($F$8))-$D14+1)/$F14)^3)-(3*(((COLUMN()-COLUMN($F$8))-$D14)/$F14)^2-2*(((COLUMN()-COLUMN($F$8))-$D14)/$F14)^3)))</f>
        <v>0</v>
      </c>
      <c r="N14" s="1016" t="n">
        <f aca="false">IF(OR((COLUMN()-COLUMN($F$8))&lt;$D14,(COLUMN()-COLUMN($F$8))&gt;$E14),0,$C14*((3*(((COLUMN()-COLUMN($F$8))-$D14+1)/$F14)^2-2*(((COLUMN()-COLUMN($F$8))-$D14+1)/$F14)^3)-(3*(((COLUMN()-COLUMN($F$8))-$D14)/$F14)^2-2*(((COLUMN()-COLUMN($F$8))-$D14)/$F14)^3)))</f>
        <v>0</v>
      </c>
      <c r="O14" s="1016" t="n">
        <f aca="false">IF(OR((COLUMN()-COLUMN($F$8))&lt;$D14,(COLUMN()-COLUMN($F$8))&gt;$E14),0,$C14*((3*(((COLUMN()-COLUMN($F$8))-$D14+1)/$F14)^2-2*(((COLUMN()-COLUMN($F$8))-$D14+1)/$F14)^3)-(3*(((COLUMN()-COLUMN($F$8))-$D14)/$F14)^2-2*(((COLUMN()-COLUMN($F$8))-$D14)/$F14)^3)))</f>
        <v>284277.758905556</v>
      </c>
      <c r="P14" s="1016" t="n">
        <f aca="false">IF(OR((COLUMN()-COLUMN($F$8))&lt;$D14,(COLUMN()-COLUMN($F$8))&gt;$E14),0,$C14*((3*(((COLUMN()-COLUMN($F$8))-$D14+1)/$F14)^2-2*(((COLUMN()-COLUMN($F$8))-$D14+1)/$F14)^3)-(3*(((COLUMN()-COLUMN($F$8))-$D14)/$F14)^2-2*(((COLUMN()-COLUMN($F$8))-$D14)/$F14)^3)))</f>
        <v>799944.391338889</v>
      </c>
      <c r="Q14" s="1016" t="n">
        <f aca="false">IF(OR((COLUMN()-COLUMN($F$8))&lt;$D14,(COLUMN()-COLUMN($F$8))&gt;$E14),0,$C14*((3*(((COLUMN()-COLUMN($F$8))-$D14+1)/$F14)^2-2*(((COLUMN()-COLUMN($F$8))-$D14+1)/$F14)^3)-(3*(((COLUMN()-COLUMN($F$8))-$D14)/$F14)^2-2*(((COLUMN()-COLUMN($F$8))-$D14)/$F14)^3)))</f>
        <v>1236277.69570556</v>
      </c>
      <c r="R14" s="1016" t="n">
        <f aca="false">IF(OR((COLUMN()-COLUMN($F$8))&lt;$D14,(COLUMN()-COLUMN($F$8))&gt;$E14),0,$C14*((3*(((COLUMN()-COLUMN($F$8))-$D14+1)/$F14)^2-2*(((COLUMN()-COLUMN($F$8))-$D14+1)/$F14)^3)-(3*(((COLUMN()-COLUMN($F$8))-$D14)/$F14)^2-2*(((COLUMN()-COLUMN($F$8))-$D14)/$F14)^3)))</f>
        <v>1593277.67200556</v>
      </c>
      <c r="S14" s="1016" t="n">
        <f aca="false">IF(OR((COLUMN()-COLUMN($F$8))&lt;$D14,(COLUMN()-COLUMN($F$8))&gt;$E14),0,$C14*((3*(((COLUMN()-COLUMN($F$8))-$D14+1)/$F14)^2-2*(((COLUMN()-COLUMN($F$8))-$D14+1)/$F14)^3)-(3*(((COLUMN()-COLUMN($F$8))-$D14)/$F14)^2-2*(((COLUMN()-COLUMN($F$8))-$D14)/$F14)^3)))</f>
        <v>1870944.32023889</v>
      </c>
      <c r="T14" s="1016" t="n">
        <f aca="false">IF(OR((COLUMN()-COLUMN($F$8))&lt;$D14,(COLUMN()-COLUMN($F$8))&gt;$E14),0,$C14*((3*(((COLUMN()-COLUMN($F$8))-$D14+1)/$F14)^2-2*(((COLUMN()-COLUMN($F$8))-$D14+1)/$F14)^3)-(3*(((COLUMN()-COLUMN($F$8))-$D14)/$F14)^2-2*(((COLUMN()-COLUMN($F$8))-$D14)/$F14)^3)))</f>
        <v>2069277.64040556</v>
      </c>
      <c r="U14" s="1016" t="n">
        <f aca="false">IF(OR((COLUMN()-COLUMN($F$8))&lt;$D14,(COLUMN()-COLUMN($F$8))&gt;$E14),0,$C14*((3*(((COLUMN()-COLUMN($F$8))-$D14+1)/$F14)^2-2*(((COLUMN()-COLUMN($F$8))-$D14+1)/$F14)^3)-(3*(((COLUMN()-COLUMN($F$8))-$D14)/$F14)^2-2*(((COLUMN()-COLUMN($F$8))-$D14)/$F14)^3)))</f>
        <v>2188277.63250555</v>
      </c>
      <c r="V14" s="1016" t="n">
        <f aca="false">IF(OR((COLUMN()-COLUMN($F$8))&lt;$D14,(COLUMN()-COLUMN($F$8))&gt;$E14),0,$C14*((3*(((COLUMN()-COLUMN($F$8))-$D14+1)/$F14)^2-2*(((COLUMN()-COLUMN($F$8))-$D14+1)/$F14)^3)-(3*(((COLUMN()-COLUMN($F$8))-$D14)/$F14)^2-2*(((COLUMN()-COLUMN($F$8))-$D14)/$F14)^3)))</f>
        <v>2227944.29653889</v>
      </c>
      <c r="W14" s="1016" t="n">
        <f aca="false">IF(OR((COLUMN()-COLUMN($F$8))&lt;$D14,(COLUMN()-COLUMN($F$8))&gt;$E14),0,$C14*((3*(((COLUMN()-COLUMN($F$8))-$D14+1)/$F14)^2-2*(((COLUMN()-COLUMN($F$8))-$D14+1)/$F14)^3)-(3*(((COLUMN()-COLUMN($F$8))-$D14)/$F14)^2-2*(((COLUMN()-COLUMN($F$8))-$D14)/$F14)^3)))</f>
        <v>2188277.63250556</v>
      </c>
      <c r="X14" s="1016" t="n">
        <f aca="false">IF(OR((COLUMN()-COLUMN($F$8))&lt;$D14,(COLUMN()-COLUMN($F$8))&gt;$E14),0,$C14*((3*(((COLUMN()-COLUMN($F$8))-$D14+1)/$F14)^2-2*(((COLUMN()-COLUMN($F$8))-$D14+1)/$F14)^3)-(3*(((COLUMN()-COLUMN($F$8))-$D14)/$F14)^2-2*(((COLUMN()-COLUMN($F$8))-$D14)/$F14)^3)))</f>
        <v>2069277.64040555</v>
      </c>
      <c r="Y14" s="1016" t="n">
        <f aca="false">IF(OR((COLUMN()-COLUMN($F$8))&lt;$D14,(COLUMN()-COLUMN($F$8))&gt;$E14),0,$C14*((3*(((COLUMN()-COLUMN($F$8))-$D14+1)/$F14)^2-2*(((COLUMN()-COLUMN($F$8))-$D14+1)/$F14)^3)-(3*(((COLUMN()-COLUMN($F$8))-$D14)/$F14)^2-2*(((COLUMN()-COLUMN($F$8))-$D14)/$F14)^3)))</f>
        <v>1870944.32023889</v>
      </c>
      <c r="Z14" s="1016" t="n">
        <f aca="false">IF(OR((COLUMN()-COLUMN($F$8))&lt;$D14,(COLUMN()-COLUMN($F$8))&gt;$E14),0,$C14*((3*(((COLUMN()-COLUMN($F$8))-$D14+1)/$F14)^2-2*(((COLUMN()-COLUMN($F$8))-$D14+1)/$F14)^3)-(3*(((COLUMN()-COLUMN($F$8))-$D14)/$F14)^2-2*(((COLUMN()-COLUMN($F$8))-$D14)/$F14)^3)))</f>
        <v>1593277.67200556</v>
      </c>
      <c r="AA14" s="1016" t="n">
        <f aca="false">IF(OR((COLUMN()-COLUMN($F$8))&lt;$D14,(COLUMN()-COLUMN($F$8))&gt;$E14),0,$C14*((3*(((COLUMN()-COLUMN($F$8))-$D14+1)/$F14)^2-2*(((COLUMN()-COLUMN($F$8))-$D14+1)/$F14)^3)-(3*(((COLUMN()-COLUMN($F$8))-$D14)/$F14)^2-2*(((COLUMN()-COLUMN($F$8))-$D14)/$F14)^3)))</f>
        <v>1236277.69570555</v>
      </c>
      <c r="AB14" s="1016" t="n">
        <f aca="false">IF(OR((COLUMN()-COLUMN($F$8))&lt;$D14,(COLUMN()-COLUMN($F$8))&gt;$E14),0,$C14*((3*(((COLUMN()-COLUMN($F$8))-$D14+1)/$F14)^2-2*(((COLUMN()-COLUMN($F$8))-$D14+1)/$F14)^3)-(3*(((COLUMN()-COLUMN($F$8))-$D14)/$F14)^2-2*(((COLUMN()-COLUMN($F$8))-$D14)/$F14)^3)))</f>
        <v>799944.391338888</v>
      </c>
      <c r="AC14" s="1016" t="n">
        <f aca="false">IF(OR((COLUMN()-COLUMN($F$8))&lt;$D14,(COLUMN()-COLUMN($F$8))&gt;$E14),0,$C14*((3*(((COLUMN()-COLUMN($F$8))-$D14+1)/$F14)^2-2*(((COLUMN()-COLUMN($F$8))-$D14+1)/$F14)^3)-(3*(((COLUMN()-COLUMN($F$8))-$D14)/$F14)^2-2*(((COLUMN()-COLUMN($F$8))-$D14)/$F14)^3)))</f>
        <v>284277.75890556</v>
      </c>
      <c r="AD14" s="1016" t="n">
        <f aca="false">IF(OR((COLUMN()-COLUMN($F$8))&lt;$D14,(COLUMN()-COLUMN($F$8))&gt;$E14),0,$C14*((3*(((COLUMN()-COLUMN($F$8))-$D14+1)/$F14)^2-2*(((COLUMN()-COLUMN($F$8))-$D14+1)/$F14)^3)-(3*(((COLUMN()-COLUMN($F$8))-$D14)/$F14)^2-2*(((COLUMN()-COLUMN($F$8))-$D14)/$F14)^3)))</f>
        <v>0</v>
      </c>
      <c r="AE14" s="1016" t="n">
        <f aca="false">IF(OR((COLUMN()-COLUMN($F$8))&lt;$D14,(COLUMN()-COLUMN($F$8))&gt;$E14),0,$C14*((3*(((COLUMN()-COLUMN($F$8))-$D14+1)/$F14)^2-2*(((COLUMN()-COLUMN($F$8))-$D14+1)/$F14)^3)-(3*(((COLUMN()-COLUMN($F$8))-$D14)/$F14)^2-2*(((COLUMN()-COLUMN($F$8))-$D14)/$F14)^3)))</f>
        <v>0</v>
      </c>
      <c r="AF14" s="1016" t="n">
        <f aca="false">IF(OR((COLUMN()-COLUMN($F$8))&lt;$D14,(COLUMN()-COLUMN($F$8))&gt;$E14),0,$C14*((3*(((COLUMN()-COLUMN($F$8))-$D14+1)/$F14)^2-2*(((COLUMN()-COLUMN($F$8))-$D14+1)/$F14)^3)-(3*(((COLUMN()-COLUMN($F$8))-$D14)/$F14)^2-2*(((COLUMN()-COLUMN($F$8))-$D14)/$F14)^3)))</f>
        <v>0</v>
      </c>
      <c r="AG14" s="1016" t="n">
        <f aca="false">IF(OR((COLUMN()-COLUMN($F$8))&lt;$D14,(COLUMN()-COLUMN($F$8))&gt;$E14),0,$C14*((3*(((COLUMN()-COLUMN($F$8))-$D14+1)/$F14)^2-2*(((COLUMN()-COLUMN($F$8))-$D14+1)/$F14)^3)-(3*(((COLUMN()-COLUMN($F$8))-$D14)/$F14)^2-2*(((COLUMN()-COLUMN($F$8))-$D14)/$F14)^3)))</f>
        <v>0</v>
      </c>
      <c r="AH14" s="1016" t="n">
        <f aca="false">IF(OR((COLUMN()-COLUMN($F$8))&lt;$D14,(COLUMN()-COLUMN($F$8))&gt;$E14),0,$C14*((3*(((COLUMN()-COLUMN($F$8))-$D14+1)/$F14)^2-2*(((COLUMN()-COLUMN($F$8))-$D14+1)/$F14)^3)-(3*(((COLUMN()-COLUMN($F$8))-$D14)/$F14)^2-2*(((COLUMN()-COLUMN($F$8))-$D14)/$F14)^3)))</f>
        <v>0</v>
      </c>
      <c r="AI14" s="1016" t="n">
        <f aca="false">IF(OR((COLUMN()-COLUMN($F$8))&lt;$D14,(COLUMN()-COLUMN($F$8))&gt;$E14),0,$C14*((3*(((COLUMN()-COLUMN($F$8))-$D14+1)/$F14)^2-2*(((COLUMN()-COLUMN($F$8))-$D14+1)/$F14)^3)-(3*(((COLUMN()-COLUMN($F$8))-$D14)/$F14)^2-2*(((COLUMN()-COLUMN($F$8))-$D14)/$F14)^3)))</f>
        <v>0</v>
      </c>
      <c r="AJ14" s="1016" t="n">
        <f aca="false">IF(OR((COLUMN()-COLUMN($F$8))&lt;$D14,(COLUMN()-COLUMN($F$8))&gt;$E14),0,$C14*((3*(((COLUMN()-COLUMN($F$8))-$D14+1)/$F14)^2-2*(((COLUMN()-COLUMN($F$8))-$D14+1)/$F14)^3)-(3*(((COLUMN()-COLUMN($F$8))-$D14)/$F14)^2-2*(((COLUMN()-COLUMN($F$8))-$D14)/$F14)^3)))</f>
        <v>0</v>
      </c>
    </row>
    <row r="15" customFormat="false" ht="15" hidden="false" customHeight="true" outlineLevel="0" collapsed="false">
      <c r="A15" s="1" t="s">
        <v>4896</v>
      </c>
      <c r="C15" s="1017" t="n">
        <f aca="false">'Construction Budget'!H359</f>
        <v>22577593.5</v>
      </c>
      <c r="D15" s="1" t="n">
        <v>13</v>
      </c>
      <c r="E15" s="1" t="n">
        <v>25</v>
      </c>
      <c r="F15" s="1" t="n">
        <v>13</v>
      </c>
      <c r="G15" s="1018" t="n">
        <f aca="false">IF(OR((COLUMN()-COLUMN($F$8))&lt;$D15,(COLUMN()-COLUMN($F$8))&gt;$E15),0,$C15*((3*(((COLUMN()-COLUMN($F$8))-$D15+1)/$F15)^2-2*(((COLUMN()-COLUMN($F$8))-$D15+1)/$F15)^3)-(3*(((COLUMN()-COLUMN($F$8))-$D15)/$F15)^2-2*(((COLUMN()-COLUMN($F$8))-$D15)/$F15)^3)))</f>
        <v>0</v>
      </c>
      <c r="H15" s="1019" t="n">
        <f aca="false">IF(OR((COLUMN()-COLUMN($F$8))&lt;$D15,(COLUMN()-COLUMN($F$8))&gt;$E15),0,$C15*((3*(((COLUMN()-COLUMN($F$8))-$D15+1)/$F15)^2-2*(((COLUMN()-COLUMN($F$8))-$D15+1)/$F15)^3)-(3*(((COLUMN()-COLUMN($F$8))-$D15)/$F15)^2-2*(((COLUMN()-COLUMN($F$8))-$D15)/$F15)^3)))</f>
        <v>0</v>
      </c>
      <c r="I15" s="1019" t="n">
        <f aca="false">IF(OR((COLUMN()-COLUMN($F$8))&lt;$D15,(COLUMN()-COLUMN($F$8))&gt;$E15),0,$C15*((3*(((COLUMN()-COLUMN($F$8))-$D15+1)/$F15)^2-2*(((COLUMN()-COLUMN($F$8))-$D15+1)/$F15)^3)-(3*(((COLUMN()-COLUMN($F$8))-$D15)/$F15)^2-2*(((COLUMN()-COLUMN($F$8))-$D15)/$F15)^3)))</f>
        <v>0</v>
      </c>
      <c r="J15" s="1019" t="n">
        <f aca="false">IF(OR((COLUMN()-COLUMN($F$8))&lt;$D15,(COLUMN()-COLUMN($F$8))&gt;$E15),0,$C15*((3*(((COLUMN()-COLUMN($F$8))-$D15+1)/$F15)^2-2*(((COLUMN()-COLUMN($F$8))-$D15+1)/$F15)^3)-(3*(((COLUMN()-COLUMN($F$8))-$D15)/$F15)^2-2*(((COLUMN()-COLUMN($F$8))-$D15)/$F15)^3)))</f>
        <v>0</v>
      </c>
      <c r="K15" s="1019" t="n">
        <f aca="false">IF(OR((COLUMN()-COLUMN($F$8))&lt;$D15,(COLUMN()-COLUMN($F$8))&gt;$E15),0,$C15*((3*(((COLUMN()-COLUMN($F$8))-$D15+1)/$F15)^2-2*(((COLUMN()-COLUMN($F$8))-$D15+1)/$F15)^3)-(3*(((COLUMN()-COLUMN($F$8))-$D15)/$F15)^2-2*(((COLUMN()-COLUMN($F$8))-$D15)/$F15)^3)))</f>
        <v>0</v>
      </c>
      <c r="L15" s="1019" t="n">
        <f aca="false">IF(OR((COLUMN()-COLUMN($F$8))&lt;$D15,(COLUMN()-COLUMN($F$8))&gt;$E15),0,$C15*((3*(((COLUMN()-COLUMN($F$8))-$D15+1)/$F15)^2-2*(((COLUMN()-COLUMN($F$8))-$D15+1)/$F15)^3)-(3*(((COLUMN()-COLUMN($F$8))-$D15)/$F15)^2-2*(((COLUMN()-COLUMN($F$8))-$D15)/$F15)^3)))</f>
        <v>0</v>
      </c>
      <c r="M15" s="1019" t="n">
        <f aca="false">IF(OR((COLUMN()-COLUMN($F$8))&lt;$D15,(COLUMN()-COLUMN($F$8))&gt;$E15),0,$C15*((3*(((COLUMN()-COLUMN($F$8))-$D15+1)/$F15)^2-2*(((COLUMN()-COLUMN($F$8))-$D15+1)/$F15)^3)-(3*(((COLUMN()-COLUMN($F$8))-$D15)/$F15)^2-2*(((COLUMN()-COLUMN($F$8))-$D15)/$F15)^3)))</f>
        <v>0</v>
      </c>
      <c r="N15" s="1019" t="n">
        <f aca="false">IF(OR((COLUMN()-COLUMN($F$8))&lt;$D15,(COLUMN()-COLUMN($F$8))&gt;$E15),0,$C15*((3*(((COLUMN()-COLUMN($F$8))-$D15+1)/$F15)^2-2*(((COLUMN()-COLUMN($F$8))-$D15+1)/$F15)^3)-(3*(((COLUMN()-COLUMN($F$8))-$D15)/$F15)^2-2*(((COLUMN()-COLUMN($F$8))-$D15)/$F15)^3)))</f>
        <v>0</v>
      </c>
      <c r="O15" s="1019" t="n">
        <f aca="false">IF(OR((COLUMN()-COLUMN($F$8))&lt;$D15,(COLUMN()-COLUMN($F$8))&gt;$E15),0,$C15*((3*(((COLUMN()-COLUMN($F$8))-$D15+1)/$F15)^2-2*(((COLUMN()-COLUMN($F$8))-$D15+1)/$F15)^3)-(3*(((COLUMN()-COLUMN($F$8))-$D15)/$F15)^2-2*(((COLUMN()-COLUMN($F$8))-$D15)/$F15)^3)))</f>
        <v>0</v>
      </c>
      <c r="P15" s="1019" t="n">
        <f aca="false">IF(OR((COLUMN()-COLUMN($F$8))&lt;$D15,(COLUMN()-COLUMN($F$8))&gt;$E15),0,$C15*((3*(((COLUMN()-COLUMN($F$8))-$D15+1)/$F15)^2-2*(((COLUMN()-COLUMN($F$8))-$D15+1)/$F15)^3)-(3*(((COLUMN()-COLUMN($F$8))-$D15)/$F15)^2-2*(((COLUMN()-COLUMN($F$8))-$D15)/$F15)^3)))</f>
        <v>0</v>
      </c>
      <c r="Q15" s="1019" t="n">
        <f aca="false">IF(OR((COLUMN()-COLUMN($F$8))&lt;$D15,(COLUMN()-COLUMN($F$8))&gt;$E15),0,$C15*((3*(((COLUMN()-COLUMN($F$8))-$D15+1)/$F15)^2-2*(((COLUMN()-COLUMN($F$8))-$D15+1)/$F15)^3)-(3*(((COLUMN()-COLUMN($F$8))-$D15)/$F15)^2-2*(((COLUMN()-COLUMN($F$8))-$D15)/$F15)^3)))</f>
        <v>0</v>
      </c>
      <c r="R15" s="1019" t="n">
        <f aca="false">IF(OR((COLUMN()-COLUMN($F$8))&lt;$D15,(COLUMN()-COLUMN($F$8))&gt;$E15),0,$C15*((3*(((COLUMN()-COLUMN($F$8))-$D15+1)/$F15)^2-2*(((COLUMN()-COLUMN($F$8))-$D15+1)/$F15)^3)-(3*(((COLUMN()-COLUMN($F$8))-$D15)/$F15)^2-2*(((COLUMN()-COLUMN($F$8))-$D15)/$F15)^3)))</f>
        <v>0</v>
      </c>
      <c r="S15" s="1019" t="n">
        <f aca="false">IF(OR((COLUMN()-COLUMN($F$8))&lt;$D15,(COLUMN()-COLUMN($F$8))&gt;$E15),0,$C15*((3*(((COLUMN()-COLUMN($F$8))-$D15+1)/$F15)^2-2*(((COLUMN()-COLUMN($F$8))-$D15+1)/$F15)^3)-(3*(((COLUMN()-COLUMN($F$8))-$D15)/$F15)^2-2*(((COLUMN()-COLUMN($F$8))-$D15)/$F15)^3)))</f>
        <v>380232.571461083</v>
      </c>
      <c r="T15" s="1019" t="n">
        <f aca="false">IF(OR((COLUMN()-COLUMN($F$8))&lt;$D15,(COLUMN()-COLUMN($F$8))&gt;$E15),0,$C15*((3*(((COLUMN()-COLUMN($F$8))-$D15+1)/$F15)^2-2*(((COLUMN()-COLUMN($F$8))-$D15+1)/$F15)^3)-(3*(((COLUMN()-COLUMN($F$8))-$D15)/$F15)^2-2*(((COLUMN()-COLUMN($F$8))-$D15)/$F15)^3)))</f>
        <v>1058485.26649977</v>
      </c>
      <c r="U15" s="1019" t="n">
        <f aca="false">IF(OR((COLUMN()-COLUMN($F$8))&lt;$D15,(COLUMN()-COLUMN($F$8))&gt;$E15),0,$C15*((3*(((COLUMN()-COLUMN($F$8))-$D15+1)/$F15)^2-2*(((COLUMN()-COLUMN($F$8))-$D15+1)/$F15)^3)-(3*(((COLUMN()-COLUMN($F$8))-$D15)/$F15)^2-2*(((COLUMN()-COLUMN($F$8))-$D15)/$F15)^3)))</f>
        <v>1613419.28971325</v>
      </c>
      <c r="V15" s="1019" t="n">
        <f aca="false">IF(OR((COLUMN()-COLUMN($F$8))&lt;$D15,(COLUMN()-COLUMN($F$8))&gt;$E15),0,$C15*((3*(((COLUMN()-COLUMN($F$8))-$D15+1)/$F15)^2-2*(((COLUMN()-COLUMN($F$8))-$D15+1)/$F15)^3)-(3*(((COLUMN()-COLUMN($F$8))-$D15)/$F15)^2-2*(((COLUMN()-COLUMN($F$8))-$D15)/$F15)^3)))</f>
        <v>2045034.6411015</v>
      </c>
      <c r="W15" s="1019" t="n">
        <f aca="false">IF(OR((COLUMN()-COLUMN($F$8))&lt;$D15,(COLUMN()-COLUMN($F$8))&gt;$E15),0,$C15*((3*(((COLUMN()-COLUMN($F$8))-$D15+1)/$F15)^2-2*(((COLUMN()-COLUMN($F$8))-$D15+1)/$F15)^3)-(3*(((COLUMN()-COLUMN($F$8))-$D15)/$F15)^2-2*(((COLUMN()-COLUMN($F$8))-$D15)/$F15)^3)))</f>
        <v>2353331.32066454</v>
      </c>
      <c r="X15" s="1019" t="n">
        <f aca="false">IF(OR((COLUMN()-COLUMN($F$8))&lt;$D15,(COLUMN()-COLUMN($F$8))&gt;$E15),0,$C15*((3*(((COLUMN()-COLUMN($F$8))-$D15+1)/$F15)^2-2*(((COLUMN()-COLUMN($F$8))-$D15+1)/$F15)^3)-(3*(((COLUMN()-COLUMN($F$8))-$D15)/$F15)^2-2*(((COLUMN()-COLUMN($F$8))-$D15)/$F15)^3)))</f>
        <v>2538309.32840237</v>
      </c>
      <c r="Y15" s="1019" t="n">
        <f aca="false">IF(OR((COLUMN()-COLUMN($F$8))&lt;$D15,(COLUMN()-COLUMN($F$8))&gt;$E15),0,$C15*((3*(((COLUMN()-COLUMN($F$8))-$D15+1)/$F15)^2-2*(((COLUMN()-COLUMN($F$8))-$D15+1)/$F15)^3)-(3*(((COLUMN()-COLUMN($F$8))-$D15)/$F15)^2-2*(((COLUMN()-COLUMN($F$8))-$D15)/$F15)^3)))</f>
        <v>2599968.66431498</v>
      </c>
      <c r="Z15" s="1019" t="n">
        <f aca="false">IF(OR((COLUMN()-COLUMN($F$8))&lt;$D15,(COLUMN()-COLUMN($F$8))&gt;$E15),0,$C15*((3*(((COLUMN()-COLUMN($F$8))-$D15+1)/$F15)^2-2*(((COLUMN()-COLUMN($F$8))-$D15+1)/$F15)^3)-(3*(((COLUMN()-COLUMN($F$8))-$D15)/$F15)^2-2*(((COLUMN()-COLUMN($F$8))-$D15)/$F15)^3)))</f>
        <v>2538309.32840237</v>
      </c>
      <c r="AA15" s="1019" t="n">
        <f aca="false">IF(OR((COLUMN()-COLUMN($F$8))&lt;$D15,(COLUMN()-COLUMN($F$8))&gt;$E15),0,$C15*((3*(((COLUMN()-COLUMN($F$8))-$D15+1)/$F15)^2-2*(((COLUMN()-COLUMN($F$8))-$D15+1)/$F15)^3)-(3*(((COLUMN()-COLUMN($F$8))-$D15)/$F15)^2-2*(((COLUMN()-COLUMN($F$8))-$D15)/$F15)^3)))</f>
        <v>2353331.32066454</v>
      </c>
      <c r="AB15" s="1019" t="n">
        <f aca="false">IF(OR((COLUMN()-COLUMN($F$8))&lt;$D15,(COLUMN()-COLUMN($F$8))&gt;$E15),0,$C15*((3*(((COLUMN()-COLUMN($F$8))-$D15+1)/$F15)^2-2*(((COLUMN()-COLUMN($F$8))-$D15+1)/$F15)^3)-(3*(((COLUMN()-COLUMN($F$8))-$D15)/$F15)^2-2*(((COLUMN()-COLUMN($F$8))-$D15)/$F15)^3)))</f>
        <v>2045034.64110151</v>
      </c>
      <c r="AC15" s="1019" t="n">
        <f aca="false">IF(OR((COLUMN()-COLUMN($F$8))&lt;$D15,(COLUMN()-COLUMN($F$8))&gt;$E15),0,$C15*((3*(((COLUMN()-COLUMN($F$8))-$D15+1)/$F15)^2-2*(((COLUMN()-COLUMN($F$8))-$D15+1)/$F15)^3)-(3*(((COLUMN()-COLUMN($F$8))-$D15)/$F15)^2-2*(((COLUMN()-COLUMN($F$8))-$D15)/$F15)^3)))</f>
        <v>1613419.28971325</v>
      </c>
      <c r="AD15" s="1019" t="n">
        <f aca="false">IF(OR((COLUMN()-COLUMN($F$8))&lt;$D15,(COLUMN()-COLUMN($F$8))&gt;$E15),0,$C15*((3*(((COLUMN()-COLUMN($F$8))-$D15+1)/$F15)^2-2*(((COLUMN()-COLUMN($F$8))-$D15+1)/$F15)^3)-(3*(((COLUMN()-COLUMN($F$8))-$D15)/$F15)^2-2*(((COLUMN()-COLUMN($F$8))-$D15)/$F15)^3)))</f>
        <v>1058485.26649978</v>
      </c>
      <c r="AE15" s="1019" t="n">
        <f aca="false">IF(OR((COLUMN()-COLUMN($F$8))&lt;$D15,(COLUMN()-COLUMN($F$8))&gt;$E15),0,$C15*((3*(((COLUMN()-COLUMN($F$8))-$D15+1)/$F15)^2-2*(((COLUMN()-COLUMN($F$8))-$D15+1)/$F15)^3)-(3*(((COLUMN()-COLUMN($F$8))-$D15)/$F15)^2-2*(((COLUMN()-COLUMN($F$8))-$D15)/$F15)^3)))</f>
        <v>380232.571461073</v>
      </c>
      <c r="AF15" s="1019" t="n">
        <f aca="false">IF(OR((COLUMN()-COLUMN($F$8))&lt;$D15,(COLUMN()-COLUMN($F$8))&gt;$E15),0,$C15*((3*(((COLUMN()-COLUMN($F$8))-$D15+1)/$F15)^2-2*(((COLUMN()-COLUMN($F$8))-$D15+1)/$F15)^3)-(3*(((COLUMN()-COLUMN($F$8))-$D15)/$F15)^2-2*(((COLUMN()-COLUMN($F$8))-$D15)/$F15)^3)))</f>
        <v>0</v>
      </c>
      <c r="AG15" s="1019" t="n">
        <f aca="false">IF(OR((COLUMN()-COLUMN($F$8))&lt;$D15,(COLUMN()-COLUMN($F$8))&gt;$E15),0,$C15*((3*(((COLUMN()-COLUMN($F$8))-$D15+1)/$F15)^2-2*(((COLUMN()-COLUMN($F$8))-$D15+1)/$F15)^3)-(3*(((COLUMN()-COLUMN($F$8))-$D15)/$F15)^2-2*(((COLUMN()-COLUMN($F$8))-$D15)/$F15)^3)))</f>
        <v>0</v>
      </c>
      <c r="AH15" s="1019" t="n">
        <f aca="false">IF(OR((COLUMN()-COLUMN($F$8))&lt;$D15,(COLUMN()-COLUMN($F$8))&gt;$E15),0,$C15*((3*(((COLUMN()-COLUMN($F$8))-$D15+1)/$F15)^2-2*(((COLUMN()-COLUMN($F$8))-$D15+1)/$F15)^3)-(3*(((COLUMN()-COLUMN($F$8))-$D15)/$F15)^2-2*(((COLUMN()-COLUMN($F$8))-$D15)/$F15)^3)))</f>
        <v>0</v>
      </c>
      <c r="AI15" s="1019" t="n">
        <f aca="false">IF(OR((COLUMN()-COLUMN($F$8))&lt;$D15,(COLUMN()-COLUMN($F$8))&gt;$E15),0,$C15*((3*(((COLUMN()-COLUMN($F$8))-$D15+1)/$F15)^2-2*(((COLUMN()-COLUMN($F$8))-$D15+1)/$F15)^3)-(3*(((COLUMN()-COLUMN($F$8))-$D15)/$F15)^2-2*(((COLUMN()-COLUMN($F$8))-$D15)/$F15)^3)))</f>
        <v>0</v>
      </c>
      <c r="AJ15" s="1019" t="n">
        <f aca="false">IF(OR((COLUMN()-COLUMN($F$8))&lt;$D15,(COLUMN()-COLUMN($F$8))&gt;$E15),0,$C15*((3*(((COLUMN()-COLUMN($F$8))-$D15+1)/$F15)^2-2*(((COLUMN()-COLUMN($F$8))-$D15+1)/$F15)^3)-(3*(((COLUMN()-COLUMN($F$8))-$D15)/$F15)^2-2*(((COLUMN()-COLUMN($F$8))-$D15)/$F15)^3)))</f>
        <v>0</v>
      </c>
    </row>
    <row r="16" customFormat="false" ht="15" hidden="false" customHeight="true" outlineLevel="0" collapsed="false">
      <c r="A16" s="1013" t="s">
        <v>4897</v>
      </c>
      <c r="B16" s="1013"/>
      <c r="C16" s="1014" t="n">
        <f aca="false">'Construction Budget'!H495</f>
        <v>226484248.001927</v>
      </c>
      <c r="D16" s="1013" t="n">
        <v>10</v>
      </c>
      <c r="E16" s="1013" t="n">
        <v>28</v>
      </c>
      <c r="F16" s="1013" t="n">
        <v>19</v>
      </c>
      <c r="G16" s="1015" t="n">
        <f aca="false">IF(OR((COLUMN()-COLUMN($F$8))&lt;$D16,(COLUMN()-COLUMN($F$8))&gt;$E16),0,$C16*((3*(((COLUMN()-COLUMN($F$8))-$D16+1)/$F16)^2-2*(((COLUMN()-COLUMN($F$8))-$D16+1)/$F16)^3)-(3*(((COLUMN()-COLUMN($F$8))-$D16)/$F16)^2-2*(((COLUMN()-COLUMN($F$8))-$D16)/$F16)^3)))</f>
        <v>0</v>
      </c>
      <c r="H16" s="1016" t="n">
        <f aca="false">IF(OR((COLUMN()-COLUMN($F$8))&lt;$D16,(COLUMN()-COLUMN($F$8))&gt;$E16),0,$C16*((3*(((COLUMN()-COLUMN($F$8))-$D16+1)/$F16)^2-2*(((COLUMN()-COLUMN($F$8))-$D16+1)/$F16)^3)-(3*(((COLUMN()-COLUMN($F$8))-$D16)/$F16)^2-2*(((COLUMN()-COLUMN($F$8))-$D16)/$F16)^3)))</f>
        <v>0</v>
      </c>
      <c r="I16" s="1016" t="n">
        <f aca="false">IF(OR((COLUMN()-COLUMN($F$8))&lt;$D16,(COLUMN()-COLUMN($F$8))&gt;$E16),0,$C16*((3*(((COLUMN()-COLUMN($F$8))-$D16+1)/$F16)^2-2*(((COLUMN()-COLUMN($F$8))-$D16+1)/$F16)^3)-(3*(((COLUMN()-COLUMN($F$8))-$D16)/$F16)^2-2*(((COLUMN()-COLUMN($F$8))-$D16)/$F16)^3)))</f>
        <v>0</v>
      </c>
      <c r="J16" s="1016" t="n">
        <f aca="false">IF(OR((COLUMN()-COLUMN($F$8))&lt;$D16,(COLUMN()-COLUMN($F$8))&gt;$E16),0,$C16*((3*(((COLUMN()-COLUMN($F$8))-$D16+1)/$F16)^2-2*(((COLUMN()-COLUMN($F$8))-$D16+1)/$F16)^3)-(3*(((COLUMN()-COLUMN($F$8))-$D16)/$F16)^2-2*(((COLUMN()-COLUMN($F$8))-$D16)/$F16)^3)))</f>
        <v>0</v>
      </c>
      <c r="K16" s="1016" t="n">
        <f aca="false">IF(OR((COLUMN()-COLUMN($F$8))&lt;$D16,(COLUMN()-COLUMN($F$8))&gt;$E16),0,$C16*((3*(((COLUMN()-COLUMN($F$8))-$D16+1)/$F16)^2-2*(((COLUMN()-COLUMN($F$8))-$D16+1)/$F16)^3)-(3*(((COLUMN()-COLUMN($F$8))-$D16)/$F16)^2-2*(((COLUMN()-COLUMN($F$8))-$D16)/$F16)^3)))</f>
        <v>0</v>
      </c>
      <c r="L16" s="1016" t="n">
        <f aca="false">IF(OR((COLUMN()-COLUMN($F$8))&lt;$D16,(COLUMN()-COLUMN($F$8))&gt;$E16),0,$C16*((3*(((COLUMN()-COLUMN($F$8))-$D16+1)/$F16)^2-2*(((COLUMN()-COLUMN($F$8))-$D16+1)/$F16)^3)-(3*(((COLUMN()-COLUMN($F$8))-$D16)/$F16)^2-2*(((COLUMN()-COLUMN($F$8))-$D16)/$F16)^3)))</f>
        <v>0</v>
      </c>
      <c r="M16" s="1016" t="n">
        <f aca="false">IF(OR((COLUMN()-COLUMN($F$8))&lt;$D16,(COLUMN()-COLUMN($F$8))&gt;$E16),0,$C16*((3*(((COLUMN()-COLUMN($F$8))-$D16+1)/$F16)^2-2*(((COLUMN()-COLUMN($F$8))-$D16+1)/$F16)^3)-(3*(((COLUMN()-COLUMN($F$8))-$D16)/$F16)^2-2*(((COLUMN()-COLUMN($F$8))-$D16)/$F16)^3)))</f>
        <v>0</v>
      </c>
      <c r="N16" s="1016" t="n">
        <f aca="false">IF(OR((COLUMN()-COLUMN($F$8))&lt;$D16,(COLUMN()-COLUMN($F$8))&gt;$E16),0,$C16*((3*(((COLUMN()-COLUMN($F$8))-$D16+1)/$F16)^2-2*(((COLUMN()-COLUMN($F$8))-$D16+1)/$F16)^3)-(3*(((COLUMN()-COLUMN($F$8))-$D16)/$F16)^2-2*(((COLUMN()-COLUMN($F$8))-$D16)/$F16)^3)))</f>
        <v>0</v>
      </c>
      <c r="O16" s="1016" t="n">
        <f aca="false">IF(OR((COLUMN()-COLUMN($F$8))&lt;$D16,(COLUMN()-COLUMN($F$8))&gt;$E16),0,$C16*((3*(((COLUMN()-COLUMN($F$8))-$D16+1)/$F16)^2-2*(((COLUMN()-COLUMN($F$8))-$D16+1)/$F16)^3)-(3*(((COLUMN()-COLUMN($F$8))-$D16)/$F16)^2-2*(((COLUMN()-COLUMN($F$8))-$D16)/$F16)^3)))</f>
        <v>0</v>
      </c>
      <c r="P16" s="1016" t="n">
        <f aca="false">IF(OR((COLUMN()-COLUMN($F$8))&lt;$D16,(COLUMN()-COLUMN($F$8))&gt;$E16),0,$C16*((3*(((COLUMN()-COLUMN($F$8))-$D16+1)/$F16)^2-2*(((COLUMN()-COLUMN($F$8))-$D16+1)/$F16)^3)-(3*(((COLUMN()-COLUMN($F$8))-$D16)/$F16)^2-2*(((COLUMN()-COLUMN($F$8))-$D16)/$F16)^3)))</f>
        <v>1816100.54528444</v>
      </c>
      <c r="Q16" s="1016" t="n">
        <f aca="false">IF(OR((COLUMN()-COLUMN($F$8))&lt;$D16,(COLUMN()-COLUMN($F$8))&gt;$E16),0,$C16*((3*(((COLUMN()-COLUMN($F$8))-$D16+1)/$F16)^2-2*(((COLUMN()-COLUMN($F$8))-$D16+1)/$F16)^3)-(3*(((COLUMN()-COLUMN($F$8))-$D16)/$F16)^2-2*(((COLUMN()-COLUMN($F$8))-$D16)/$F16)^3)))</f>
        <v>5184141.55653922</v>
      </c>
      <c r="R16" s="1016" t="n">
        <f aca="false">IF(OR((COLUMN()-COLUMN($F$8))&lt;$D16,(COLUMN()-COLUMN($F$8))&gt;$E16),0,$C16*((3*(((COLUMN()-COLUMN($F$8))-$D16+1)/$F16)^2-2*(((COLUMN()-COLUMN($F$8))-$D16+1)/$F16)^3)-(3*(((COLUMN()-COLUMN($F$8))-$D16)/$F16)^2-2*(((COLUMN()-COLUMN($F$8))-$D16)/$F16)^3)))</f>
        <v>8155942.44882285</v>
      </c>
      <c r="S16" s="1016" t="n">
        <f aca="false">IF(OR((COLUMN()-COLUMN($F$8))&lt;$D16,(COLUMN()-COLUMN($F$8))&gt;$E16),0,$C16*((3*(((COLUMN()-COLUMN($F$8))-$D16+1)/$F16)^2-2*(((COLUMN()-COLUMN($F$8))-$D16+1)/$F16)^3)-(3*(((COLUMN()-COLUMN($F$8))-$D16)/$F16)^2-2*(((COLUMN()-COLUMN($F$8))-$D16)/$F16)^3)))</f>
        <v>10731503.2221353</v>
      </c>
      <c r="T16" s="1016" t="n">
        <f aca="false">IF(OR((COLUMN()-COLUMN($F$8))&lt;$D16,(COLUMN()-COLUMN($F$8))&gt;$E16),0,$C16*((3*(((COLUMN()-COLUMN($F$8))-$D16+1)/$F16)^2-2*(((COLUMN()-COLUMN($F$8))-$D16+1)/$F16)^3)-(3*(((COLUMN()-COLUMN($F$8))-$D16)/$F16)^2-2*(((COLUMN()-COLUMN($F$8))-$D16)/$F16)^3)))</f>
        <v>12910823.8764767</v>
      </c>
      <c r="U16" s="1016" t="n">
        <f aca="false">IF(OR((COLUMN()-COLUMN($F$8))&lt;$D16,(COLUMN()-COLUMN($F$8))&gt;$E16),0,$C16*((3*(((COLUMN()-COLUMN($F$8))-$D16+1)/$F16)^2-2*(((COLUMN()-COLUMN($F$8))-$D16+1)/$F16)^3)-(3*(((COLUMN()-COLUMN($F$8))-$D16)/$F16)^2-2*(((COLUMN()-COLUMN($F$8))-$D16)/$F16)^3)))</f>
        <v>14693904.4118468</v>
      </c>
      <c r="V16" s="1016" t="n">
        <f aca="false">IF(OR((COLUMN()-COLUMN($F$8))&lt;$D16,(COLUMN()-COLUMN($F$8))&gt;$E16),0,$C16*((3*(((COLUMN()-COLUMN($F$8))-$D16+1)/$F16)^2-2*(((COLUMN()-COLUMN($F$8))-$D16+1)/$F16)^3)-(3*(((COLUMN()-COLUMN($F$8))-$D16)/$F16)^2-2*(((COLUMN()-COLUMN($F$8))-$D16)/$F16)^3)))</f>
        <v>16080744.8282459</v>
      </c>
      <c r="W16" s="1016" t="n">
        <f aca="false">IF(OR((COLUMN()-COLUMN($F$8))&lt;$D16,(COLUMN()-COLUMN($F$8))&gt;$E16),0,$C16*((3*(((COLUMN()-COLUMN($F$8))-$D16+1)/$F16)^2-2*(((COLUMN()-COLUMN($F$8))-$D16+1)/$F16)^3)-(3*(((COLUMN()-COLUMN($F$8))-$D16)/$F16)^2-2*(((COLUMN()-COLUMN($F$8))-$D16)/$F16)^3)))</f>
        <v>17071345.1256737</v>
      </c>
      <c r="X16" s="1016" t="n">
        <f aca="false">IF(OR((COLUMN()-COLUMN($F$8))&lt;$D16,(COLUMN()-COLUMN($F$8))&gt;$E16),0,$C16*((3*(((COLUMN()-COLUMN($F$8))-$D16+1)/$F16)^2-2*(((COLUMN()-COLUMN($F$8))-$D16+1)/$F16)^3)-(3*(((COLUMN()-COLUMN($F$8))-$D16)/$F16)^2-2*(((COLUMN()-COLUMN($F$8))-$D16)/$F16)^3)))</f>
        <v>17665705.3041305</v>
      </c>
      <c r="Y16" s="1016" t="n">
        <f aca="false">IF(OR((COLUMN()-COLUMN($F$8))&lt;$D16,(COLUMN()-COLUMN($F$8))&gt;$E16),0,$C16*((3*(((COLUMN()-COLUMN($F$8))-$D16+1)/$F16)^2-2*(((COLUMN()-COLUMN($F$8))-$D16+1)/$F16)^3)-(3*(((COLUMN()-COLUMN($F$8))-$D16)/$F16)^2-2*(((COLUMN()-COLUMN($F$8))-$D16)/$F16)^3)))</f>
        <v>17863825.363616</v>
      </c>
      <c r="Z16" s="1016" t="n">
        <f aca="false">IF(OR((COLUMN()-COLUMN($F$8))&lt;$D16,(COLUMN()-COLUMN($F$8))&gt;$E16),0,$C16*((3*(((COLUMN()-COLUMN($F$8))-$D16+1)/$F16)^2-2*(((COLUMN()-COLUMN($F$8))-$D16+1)/$F16)^3)-(3*(((COLUMN()-COLUMN($F$8))-$D16)/$F16)^2-2*(((COLUMN()-COLUMN($F$8))-$D16)/$F16)^3)))</f>
        <v>17665705.3041305</v>
      </c>
      <c r="AA16" s="1016" t="n">
        <f aca="false">IF(OR((COLUMN()-COLUMN($F$8))&lt;$D16,(COLUMN()-COLUMN($F$8))&gt;$E16),0,$C16*((3*(((COLUMN()-COLUMN($F$8))-$D16+1)/$F16)^2-2*(((COLUMN()-COLUMN($F$8))-$D16+1)/$F16)^3)-(3*(((COLUMN()-COLUMN($F$8))-$D16)/$F16)^2-2*(((COLUMN()-COLUMN($F$8))-$D16)/$F16)^3)))</f>
        <v>17071345.1256738</v>
      </c>
      <c r="AB16" s="1016" t="n">
        <f aca="false">IF(OR((COLUMN()-COLUMN($F$8))&lt;$D16,(COLUMN()-COLUMN($F$8))&gt;$E16),0,$C16*((3*(((COLUMN()-COLUMN($F$8))-$D16+1)/$F16)^2-2*(((COLUMN()-COLUMN($F$8))-$D16+1)/$F16)^3)-(3*(((COLUMN()-COLUMN($F$8))-$D16)/$F16)^2-2*(((COLUMN()-COLUMN($F$8))-$D16)/$F16)^3)))</f>
        <v>16080744.8282459</v>
      </c>
      <c r="AC16" s="1016" t="n">
        <f aca="false">IF(OR((COLUMN()-COLUMN($F$8))&lt;$D16,(COLUMN()-COLUMN($F$8))&gt;$E16),0,$C16*((3*(((COLUMN()-COLUMN($F$8))-$D16+1)/$F16)^2-2*(((COLUMN()-COLUMN($F$8))-$D16+1)/$F16)^3)-(3*(((COLUMN()-COLUMN($F$8))-$D16)/$F16)^2-2*(((COLUMN()-COLUMN($F$8))-$D16)/$F16)^3)))</f>
        <v>14693904.4118468</v>
      </c>
      <c r="AD16" s="1016" t="n">
        <f aca="false">IF(OR((COLUMN()-COLUMN($F$8))&lt;$D16,(COLUMN()-COLUMN($F$8))&gt;$E16),0,$C16*((3*(((COLUMN()-COLUMN($F$8))-$D16+1)/$F16)^2-2*(((COLUMN()-COLUMN($F$8))-$D16+1)/$F16)^3)-(3*(((COLUMN()-COLUMN($F$8))-$D16)/$F16)^2-2*(((COLUMN()-COLUMN($F$8))-$D16)/$F16)^3)))</f>
        <v>12910823.8764767</v>
      </c>
      <c r="AE16" s="1016" t="n">
        <f aca="false">IF(OR((COLUMN()-COLUMN($F$8))&lt;$D16,(COLUMN()-COLUMN($F$8))&gt;$E16),0,$C16*((3*(((COLUMN()-COLUMN($F$8))-$D16+1)/$F16)^2-2*(((COLUMN()-COLUMN($F$8))-$D16+1)/$F16)^3)-(3*(((COLUMN()-COLUMN($F$8))-$D16)/$F16)^2-2*(((COLUMN()-COLUMN($F$8))-$D16)/$F16)^3)))</f>
        <v>10731503.2221353</v>
      </c>
      <c r="AF16" s="1016" t="n">
        <f aca="false">IF(OR((COLUMN()-COLUMN($F$8))&lt;$D16,(COLUMN()-COLUMN($F$8))&gt;$E16),0,$C16*((3*(((COLUMN()-COLUMN($F$8))-$D16+1)/$F16)^2-2*(((COLUMN()-COLUMN($F$8))-$D16+1)/$F16)^3)-(3*(((COLUMN()-COLUMN($F$8))-$D16)/$F16)^2-2*(((COLUMN()-COLUMN($F$8))-$D16)/$F16)^3)))</f>
        <v>8155942.44882282</v>
      </c>
      <c r="AG16" s="1016" t="n">
        <f aca="false">IF(OR((COLUMN()-COLUMN($F$8))&lt;$D16,(COLUMN()-COLUMN($F$8))&gt;$E16),0,$C16*((3*(((COLUMN()-COLUMN($F$8))-$D16+1)/$F16)^2-2*(((COLUMN()-COLUMN($F$8))-$D16+1)/$F16)^3)-(3*(((COLUMN()-COLUMN($F$8))-$D16)/$F16)^2-2*(((COLUMN()-COLUMN($F$8))-$D16)/$F16)^3)))</f>
        <v>5184141.55653926</v>
      </c>
      <c r="AH16" s="1016" t="n">
        <f aca="false">IF(OR((COLUMN()-COLUMN($F$8))&lt;$D16,(COLUMN()-COLUMN($F$8))&gt;$E16),0,$C16*((3*(((COLUMN()-COLUMN($F$8))-$D16+1)/$F16)^2-2*(((COLUMN()-COLUMN($F$8))-$D16+1)/$F16)^3)-(3*(((COLUMN()-COLUMN($F$8))-$D16)/$F16)^2-2*(((COLUMN()-COLUMN($F$8))-$D16)/$F16)^3)))</f>
        <v>1816100.54528445</v>
      </c>
      <c r="AI16" s="1016" t="n">
        <f aca="false">IF(OR((COLUMN()-COLUMN($F$8))&lt;$D16,(COLUMN()-COLUMN($F$8))&gt;$E16),0,$C16*((3*(((COLUMN()-COLUMN($F$8))-$D16+1)/$F16)^2-2*(((COLUMN()-COLUMN($F$8))-$D16+1)/$F16)^3)-(3*(((COLUMN()-COLUMN($F$8))-$D16)/$F16)^2-2*(((COLUMN()-COLUMN($F$8))-$D16)/$F16)^3)))</f>
        <v>0</v>
      </c>
      <c r="AJ16" s="1016" t="n">
        <f aca="false">IF(OR((COLUMN()-COLUMN($F$8))&lt;$D16,(COLUMN()-COLUMN($F$8))&gt;$E16),0,$C16*((3*(((COLUMN()-COLUMN($F$8))-$D16+1)/$F16)^2-2*(((COLUMN()-COLUMN($F$8))-$D16+1)/$F16)^3)-(3*(((COLUMN()-COLUMN($F$8))-$D16)/$F16)^2-2*(((COLUMN()-COLUMN($F$8))-$D16)/$F16)^3)))</f>
        <v>0</v>
      </c>
    </row>
    <row r="17" customFormat="false" ht="15" hidden="false" customHeight="true" outlineLevel="0" collapsed="false">
      <c r="A17" s="1" t="s">
        <v>4898</v>
      </c>
      <c r="C17" s="1017" t="n">
        <f aca="false">'Construction Budget'!H665</f>
        <v>248147784.950389</v>
      </c>
      <c r="D17" s="1" t="n">
        <v>8</v>
      </c>
      <c r="E17" s="1" t="n">
        <v>28</v>
      </c>
      <c r="F17" s="1" t="n">
        <v>21</v>
      </c>
      <c r="G17" s="1018" t="n">
        <f aca="false">IF(OR((COLUMN()-COLUMN($F$8))&lt;$D17,(COLUMN()-COLUMN($F$8))&gt;$E17),0,$C17*((3*(((COLUMN()-COLUMN($F$8))-$D17+1)/$F17)^2-2*(((COLUMN()-COLUMN($F$8))-$D17+1)/$F17)^3)-(3*(((COLUMN()-COLUMN($F$8))-$D17)/$F17)^2-2*(((COLUMN()-COLUMN($F$8))-$D17)/$F17)^3)))</f>
        <v>0</v>
      </c>
      <c r="H17" s="1019" t="n">
        <f aca="false">IF(OR((COLUMN()-COLUMN($F$8))&lt;$D17,(COLUMN()-COLUMN($F$8))&gt;$E17),0,$C17*((3*(((COLUMN()-COLUMN($F$8))-$D17+1)/$F17)^2-2*(((COLUMN()-COLUMN($F$8))-$D17+1)/$F17)^3)-(3*(((COLUMN()-COLUMN($F$8))-$D17)/$F17)^2-2*(((COLUMN()-COLUMN($F$8))-$D17)/$F17)^3)))</f>
        <v>0</v>
      </c>
      <c r="I17" s="1019" t="n">
        <f aca="false">IF(OR((COLUMN()-COLUMN($F$8))&lt;$D17,(COLUMN()-COLUMN($F$8))&gt;$E17),0,$C17*((3*(((COLUMN()-COLUMN($F$8))-$D17+1)/$F17)^2-2*(((COLUMN()-COLUMN($F$8))-$D17+1)/$F17)^3)-(3*(((COLUMN()-COLUMN($F$8))-$D17)/$F17)^2-2*(((COLUMN()-COLUMN($F$8))-$D17)/$F17)^3)))</f>
        <v>0</v>
      </c>
      <c r="J17" s="1019" t="n">
        <f aca="false">IF(OR((COLUMN()-COLUMN($F$8))&lt;$D17,(COLUMN()-COLUMN($F$8))&gt;$E17),0,$C17*((3*(((COLUMN()-COLUMN($F$8))-$D17+1)/$F17)^2-2*(((COLUMN()-COLUMN($F$8))-$D17+1)/$F17)^3)-(3*(((COLUMN()-COLUMN($F$8))-$D17)/$F17)^2-2*(((COLUMN()-COLUMN($F$8))-$D17)/$F17)^3)))</f>
        <v>0</v>
      </c>
      <c r="K17" s="1019" t="n">
        <f aca="false">IF(OR((COLUMN()-COLUMN($F$8))&lt;$D17,(COLUMN()-COLUMN($F$8))&gt;$E17),0,$C17*((3*(((COLUMN()-COLUMN($F$8))-$D17+1)/$F17)^2-2*(((COLUMN()-COLUMN($F$8))-$D17+1)/$F17)^3)-(3*(((COLUMN()-COLUMN($F$8))-$D17)/$F17)^2-2*(((COLUMN()-COLUMN($F$8))-$D17)/$F17)^3)))</f>
        <v>0</v>
      </c>
      <c r="L17" s="1019" t="n">
        <f aca="false">IF(OR((COLUMN()-COLUMN($F$8))&lt;$D17,(COLUMN()-COLUMN($F$8))&gt;$E17),0,$C17*((3*(((COLUMN()-COLUMN($F$8))-$D17+1)/$F17)^2-2*(((COLUMN()-COLUMN($F$8))-$D17+1)/$F17)^3)-(3*(((COLUMN()-COLUMN($F$8))-$D17)/$F17)^2-2*(((COLUMN()-COLUMN($F$8))-$D17)/$F17)^3)))</f>
        <v>0</v>
      </c>
      <c r="M17" s="1019" t="n">
        <f aca="false">IF(OR((COLUMN()-COLUMN($F$8))&lt;$D17,(COLUMN()-COLUMN($F$8))&gt;$E17),0,$C17*((3*(((COLUMN()-COLUMN($F$8))-$D17+1)/$F17)^2-2*(((COLUMN()-COLUMN($F$8))-$D17+1)/$F17)^3)-(3*(((COLUMN()-COLUMN($F$8))-$D17)/$F17)^2-2*(((COLUMN()-COLUMN($F$8))-$D17)/$F17)^3)))</f>
        <v>0</v>
      </c>
      <c r="N17" s="1019" t="n">
        <f aca="false">IF(OR((COLUMN()-COLUMN($F$8))&lt;$D17,(COLUMN()-COLUMN($F$8))&gt;$E17),0,$C17*((3*(((COLUMN()-COLUMN($F$8))-$D17+1)/$F17)^2-2*(((COLUMN()-COLUMN($F$8))-$D17+1)/$F17)^3)-(3*(((COLUMN()-COLUMN($F$8))-$D17)/$F17)^2-2*(((COLUMN()-COLUMN($F$8))-$D17)/$F17)^3)))</f>
        <v>1634490.32307242</v>
      </c>
      <c r="O17" s="1019" t="n">
        <f aca="false">IF(OR((COLUMN()-COLUMN($F$8))&lt;$D17,(COLUMN()-COLUMN($F$8))&gt;$E17),0,$C17*((3*(((COLUMN()-COLUMN($F$8))-$D17+1)/$F17)^2-2*(((COLUMN()-COLUMN($F$8))-$D17+1)/$F17)^3)-(3*(((COLUMN()-COLUMN($F$8))-$D17)/$F17)^2-2*(((COLUMN()-COLUMN($F$8))-$D17)/$F17)^3)))</f>
        <v>4689111.58258482</v>
      </c>
      <c r="P17" s="1019" t="n">
        <f aca="false">IF(OR((COLUMN()-COLUMN($F$8))&lt;$D17,(COLUMN()-COLUMN($F$8))&gt;$E17),0,$C17*((3*(((COLUMN()-COLUMN($F$8))-$D17+1)/$F17)^2-2*(((COLUMN()-COLUMN($F$8))-$D17+1)/$F17)^3)-(3*(((COLUMN()-COLUMN($F$8))-$D17)/$F17)^2-2*(((COLUMN()-COLUMN($F$8))-$D17)/$F17)^3)))</f>
        <v>7422193.76214855</v>
      </c>
      <c r="Q17" s="1019" t="n">
        <f aca="false">IF(OR((COLUMN()-COLUMN($F$8))&lt;$D17,(COLUMN()-COLUMN($F$8))&gt;$E17),0,$C17*((3*(((COLUMN()-COLUMN($F$8))-$D17+1)/$F17)^2-2*(((COLUMN()-COLUMN($F$8))-$D17+1)/$F17)^3)-(3*(((COLUMN()-COLUMN($F$8))-$D17)/$F17)^2-2*(((COLUMN()-COLUMN($F$8))-$D17)/$F17)^3)))</f>
        <v>9833736.8617636</v>
      </c>
      <c r="R17" s="1019" t="n">
        <f aca="false">IF(OR((COLUMN()-COLUMN($F$8))&lt;$D17,(COLUMN()-COLUMN($F$8))&gt;$E17),0,$C17*((3*(((COLUMN()-COLUMN($F$8))-$D17+1)/$F17)^2-2*(((COLUMN()-COLUMN($F$8))-$D17+1)/$F17)^3)-(3*(((COLUMN()-COLUMN($F$8))-$D17)/$F17)^2-2*(((COLUMN()-COLUMN($F$8))-$D17)/$F17)^3)))</f>
        <v>11923740.88143</v>
      </c>
      <c r="S17" s="1019" t="n">
        <f aca="false">IF(OR((COLUMN()-COLUMN($F$8))&lt;$D17,(COLUMN()-COLUMN($F$8))&gt;$E17),0,$C17*((3*(((COLUMN()-COLUMN($F$8))-$D17+1)/$F17)^2-2*(((COLUMN()-COLUMN($F$8))-$D17+1)/$F17)^3)-(3*(((COLUMN()-COLUMN($F$8))-$D17)/$F17)^2-2*(((COLUMN()-COLUMN($F$8))-$D17)/$F17)^3)))</f>
        <v>13692205.8211477</v>
      </c>
      <c r="T17" s="1019" t="n">
        <f aca="false">IF(OR((COLUMN()-COLUMN($F$8))&lt;$D17,(COLUMN()-COLUMN($F$8))&gt;$E17),0,$C17*((3*(((COLUMN()-COLUMN($F$8))-$D17+1)/$F17)^2-2*(((COLUMN()-COLUMN($F$8))-$D17+1)/$F17)^3)-(3*(((COLUMN()-COLUMN($F$8))-$D17)/$F17)^2-2*(((COLUMN()-COLUMN($F$8))-$D17)/$F17)^3)))</f>
        <v>15139131.6809167</v>
      </c>
      <c r="U17" s="1019" t="n">
        <f aca="false">IF(OR((COLUMN()-COLUMN($F$8))&lt;$D17,(COLUMN()-COLUMN($F$8))&gt;$E17),0,$C17*((3*(((COLUMN()-COLUMN($F$8))-$D17+1)/$F17)^2-2*(((COLUMN()-COLUMN($F$8))-$D17+1)/$F17)^3)-(3*(((COLUMN()-COLUMN($F$8))-$D17)/$F17)^2-2*(((COLUMN()-COLUMN($F$8))-$D17)/$F17)^3)))</f>
        <v>16264518.4607371</v>
      </c>
      <c r="V17" s="1019" t="n">
        <f aca="false">IF(OR((COLUMN()-COLUMN($F$8))&lt;$D17,(COLUMN()-COLUMN($F$8))&gt;$E17),0,$C17*((3*(((COLUMN()-COLUMN($F$8))-$D17+1)/$F17)^2-2*(((COLUMN()-COLUMN($F$8))-$D17+1)/$F17)^3)-(3*(((COLUMN()-COLUMN($F$8))-$D17)/$F17)^2-2*(((COLUMN()-COLUMN($F$8))-$D17)/$F17)^3)))</f>
        <v>17068366.1606088</v>
      </c>
      <c r="W17" s="1019" t="n">
        <f aca="false">IF(OR((COLUMN()-COLUMN($F$8))&lt;$D17,(COLUMN()-COLUMN($F$8))&gt;$E17),0,$C17*((3*(((COLUMN()-COLUMN($F$8))-$D17+1)/$F17)^2-2*(((COLUMN()-COLUMN($F$8))-$D17+1)/$F17)^3)-(3*(((COLUMN()-COLUMN($F$8))-$D17)/$F17)^2-2*(((COLUMN()-COLUMN($F$8))-$D17)/$F17)^3)))</f>
        <v>17550674.7805318</v>
      </c>
      <c r="X17" s="1019" t="n">
        <f aca="false">IF(OR((COLUMN()-COLUMN($F$8))&lt;$D17,(COLUMN()-COLUMN($F$8))&gt;$E17),0,$C17*((3*(((COLUMN()-COLUMN($F$8))-$D17+1)/$F17)^2-2*(((COLUMN()-COLUMN($F$8))-$D17+1)/$F17)^3)-(3*(((COLUMN()-COLUMN($F$8))-$D17)/$F17)^2-2*(((COLUMN()-COLUMN($F$8))-$D17)/$F17)^3)))</f>
        <v>17711444.3205061</v>
      </c>
      <c r="Y17" s="1019" t="n">
        <f aca="false">IF(OR((COLUMN()-COLUMN($F$8))&lt;$D17,(COLUMN()-COLUMN($F$8))&gt;$E17),0,$C17*((3*(((COLUMN()-COLUMN($F$8))-$D17+1)/$F17)^2-2*(((COLUMN()-COLUMN($F$8))-$D17+1)/$F17)^3)-(3*(((COLUMN()-COLUMN($F$8))-$D17)/$F17)^2-2*(((COLUMN()-COLUMN($F$8))-$D17)/$F17)^3)))</f>
        <v>17550674.7805318</v>
      </c>
      <c r="Z17" s="1019" t="n">
        <f aca="false">IF(OR((COLUMN()-COLUMN($F$8))&lt;$D17,(COLUMN()-COLUMN($F$8))&gt;$E17),0,$C17*((3*(((COLUMN()-COLUMN($F$8))-$D17+1)/$F17)^2-2*(((COLUMN()-COLUMN($F$8))-$D17+1)/$F17)^3)-(3*(((COLUMN()-COLUMN($F$8))-$D17)/$F17)^2-2*(((COLUMN()-COLUMN($F$8))-$D17)/$F17)^3)))</f>
        <v>17068366.1606088</v>
      </c>
      <c r="AA17" s="1019" t="n">
        <f aca="false">IF(OR((COLUMN()-COLUMN($F$8))&lt;$D17,(COLUMN()-COLUMN($F$8))&gt;$E17),0,$C17*((3*(((COLUMN()-COLUMN($F$8))-$D17+1)/$F17)^2-2*(((COLUMN()-COLUMN($F$8))-$D17+1)/$F17)^3)-(3*(((COLUMN()-COLUMN($F$8))-$D17)/$F17)^2-2*(((COLUMN()-COLUMN($F$8))-$D17)/$F17)^3)))</f>
        <v>16264518.4607371</v>
      </c>
      <c r="AB17" s="1019" t="n">
        <f aca="false">IF(OR((COLUMN()-COLUMN($F$8))&lt;$D17,(COLUMN()-COLUMN($F$8))&gt;$E17),0,$C17*((3*(((COLUMN()-COLUMN($F$8))-$D17+1)/$F17)^2-2*(((COLUMN()-COLUMN($F$8))-$D17+1)/$F17)^3)-(3*(((COLUMN()-COLUMN($F$8))-$D17)/$F17)^2-2*(((COLUMN()-COLUMN($F$8))-$D17)/$F17)^3)))</f>
        <v>15139131.6809167</v>
      </c>
      <c r="AC17" s="1019" t="n">
        <f aca="false">IF(OR((COLUMN()-COLUMN($F$8))&lt;$D17,(COLUMN()-COLUMN($F$8))&gt;$E17),0,$C17*((3*(((COLUMN()-COLUMN($F$8))-$D17+1)/$F17)^2-2*(((COLUMN()-COLUMN($F$8))-$D17+1)/$F17)^3)-(3*(((COLUMN()-COLUMN($F$8))-$D17)/$F17)^2-2*(((COLUMN()-COLUMN($F$8))-$D17)/$F17)^3)))</f>
        <v>13692205.8211476</v>
      </c>
      <c r="AD17" s="1019" t="n">
        <f aca="false">IF(OR((COLUMN()-COLUMN($F$8))&lt;$D17,(COLUMN()-COLUMN($F$8))&gt;$E17),0,$C17*((3*(((COLUMN()-COLUMN($F$8))-$D17+1)/$F17)^2-2*(((COLUMN()-COLUMN($F$8))-$D17+1)/$F17)^3)-(3*(((COLUMN()-COLUMN($F$8))-$D17)/$F17)^2-2*(((COLUMN()-COLUMN($F$8))-$D17)/$F17)^3)))</f>
        <v>11923740.88143</v>
      </c>
      <c r="AE17" s="1019" t="n">
        <f aca="false">IF(OR((COLUMN()-COLUMN($F$8))&lt;$D17,(COLUMN()-COLUMN($F$8))&gt;$E17),0,$C17*((3*(((COLUMN()-COLUMN($F$8))-$D17+1)/$F17)^2-2*(((COLUMN()-COLUMN($F$8))-$D17+1)/$F17)^3)-(3*(((COLUMN()-COLUMN($F$8))-$D17)/$F17)^2-2*(((COLUMN()-COLUMN($F$8))-$D17)/$F17)^3)))</f>
        <v>9833736.86176359</v>
      </c>
      <c r="AF17" s="1019" t="n">
        <f aca="false">IF(OR((COLUMN()-COLUMN($F$8))&lt;$D17,(COLUMN()-COLUMN($F$8))&gt;$E17),0,$C17*((3*(((COLUMN()-COLUMN($F$8))-$D17+1)/$F17)^2-2*(((COLUMN()-COLUMN($F$8))-$D17+1)/$F17)^3)-(3*(((COLUMN()-COLUMN($F$8))-$D17)/$F17)^2-2*(((COLUMN()-COLUMN($F$8))-$D17)/$F17)^3)))</f>
        <v>7422193.76214862</v>
      </c>
      <c r="AG17" s="1019" t="n">
        <f aca="false">IF(OR((COLUMN()-COLUMN($F$8))&lt;$D17,(COLUMN()-COLUMN($F$8))&gt;$E17),0,$C17*((3*(((COLUMN()-COLUMN($F$8))-$D17+1)/$F17)^2-2*(((COLUMN()-COLUMN($F$8))-$D17+1)/$F17)^3)-(3*(((COLUMN()-COLUMN($F$8))-$D17)/$F17)^2-2*(((COLUMN()-COLUMN($F$8))-$D17)/$F17)^3)))</f>
        <v>4689111.58258484</v>
      </c>
      <c r="AH17" s="1019" t="n">
        <f aca="false">IF(OR((COLUMN()-COLUMN($F$8))&lt;$D17,(COLUMN()-COLUMN($F$8))&gt;$E17),0,$C17*((3*(((COLUMN()-COLUMN($F$8))-$D17+1)/$F17)^2-2*(((COLUMN()-COLUMN($F$8))-$D17+1)/$F17)^3)-(3*(((COLUMN()-COLUMN($F$8))-$D17)/$F17)^2-2*(((COLUMN()-COLUMN($F$8))-$D17)/$F17)^3)))</f>
        <v>1634490.32307236</v>
      </c>
      <c r="AI17" s="1019" t="n">
        <f aca="false">IF(OR((COLUMN()-COLUMN($F$8))&lt;$D17,(COLUMN()-COLUMN($F$8))&gt;$E17),0,$C17*((3*(((COLUMN()-COLUMN($F$8))-$D17+1)/$F17)^2-2*(((COLUMN()-COLUMN($F$8))-$D17+1)/$F17)^3)-(3*(((COLUMN()-COLUMN($F$8))-$D17)/$F17)^2-2*(((COLUMN()-COLUMN($F$8))-$D17)/$F17)^3)))</f>
        <v>0</v>
      </c>
      <c r="AJ17" s="1019" t="n">
        <f aca="false">IF(OR((COLUMN()-COLUMN($F$8))&lt;$D17,(COLUMN()-COLUMN($F$8))&gt;$E17),0,$C17*((3*(((COLUMN()-COLUMN($F$8))-$D17+1)/$F17)^2-2*(((COLUMN()-COLUMN($F$8))-$D17+1)/$F17)^3)-(3*(((COLUMN()-COLUMN($F$8))-$D17)/$F17)^2-2*(((COLUMN()-COLUMN($F$8))-$D17)/$F17)^3)))</f>
        <v>0</v>
      </c>
    </row>
    <row r="18" customFormat="false" ht="15" hidden="false" customHeight="true" outlineLevel="0" collapsed="false">
      <c r="A18" s="1013" t="s">
        <v>1900</v>
      </c>
      <c r="B18" s="1013"/>
      <c r="C18" s="1014" t="n">
        <f aca="false">'Construction Budget'!H239</f>
        <v>13742209.9773727</v>
      </c>
      <c r="D18" s="1013" t="n">
        <v>15</v>
      </c>
      <c r="E18" s="1013" t="n">
        <v>23</v>
      </c>
      <c r="F18" s="1013" t="n">
        <v>9</v>
      </c>
      <c r="G18" s="1015" t="n">
        <f aca="false">IF(OR((COLUMN()-COLUMN($F$8))&lt;$D18,(COLUMN()-COLUMN($F$8))&gt;$E18),0,$C18*((3*(((COLUMN()-COLUMN($F$8))-$D18+1)/$F18)^2-2*(((COLUMN()-COLUMN($F$8))-$D18+1)/$F18)^3)-(3*(((COLUMN()-COLUMN($F$8))-$D18)/$F18)^2-2*(((COLUMN()-COLUMN($F$8))-$D18)/$F18)^3)))</f>
        <v>0</v>
      </c>
      <c r="H18" s="1016" t="n">
        <f aca="false">IF(OR((COLUMN()-COLUMN($F$8))&lt;$D18,(COLUMN()-COLUMN($F$8))&gt;$E18),0,$C18*((3*(((COLUMN()-COLUMN($F$8))-$D18+1)/$F18)^2-2*(((COLUMN()-COLUMN($F$8))-$D18+1)/$F18)^3)-(3*(((COLUMN()-COLUMN($F$8))-$D18)/$F18)^2-2*(((COLUMN()-COLUMN($F$8))-$D18)/$F18)^3)))</f>
        <v>0</v>
      </c>
      <c r="I18" s="1016" t="n">
        <f aca="false">IF(OR((COLUMN()-COLUMN($F$8))&lt;$D18,(COLUMN()-COLUMN($F$8))&gt;$E18),0,$C18*((3*(((COLUMN()-COLUMN($F$8))-$D18+1)/$F18)^2-2*(((COLUMN()-COLUMN($F$8))-$D18+1)/$F18)^3)-(3*(((COLUMN()-COLUMN($F$8))-$D18)/$F18)^2-2*(((COLUMN()-COLUMN($F$8))-$D18)/$F18)^3)))</f>
        <v>0</v>
      </c>
      <c r="J18" s="1016" t="n">
        <f aca="false">IF(OR((COLUMN()-COLUMN($F$8))&lt;$D18,(COLUMN()-COLUMN($F$8))&gt;$E18),0,$C18*((3*(((COLUMN()-COLUMN($F$8))-$D18+1)/$F18)^2-2*(((COLUMN()-COLUMN($F$8))-$D18+1)/$F18)^3)-(3*(((COLUMN()-COLUMN($F$8))-$D18)/$F18)^2-2*(((COLUMN()-COLUMN($F$8))-$D18)/$F18)^3)))</f>
        <v>0</v>
      </c>
      <c r="K18" s="1016" t="n">
        <f aca="false">IF(OR((COLUMN()-COLUMN($F$8))&lt;$D18,(COLUMN()-COLUMN($F$8))&gt;$E18),0,$C18*((3*(((COLUMN()-COLUMN($F$8))-$D18+1)/$F18)^2-2*(((COLUMN()-COLUMN($F$8))-$D18+1)/$F18)^3)-(3*(((COLUMN()-COLUMN($F$8))-$D18)/$F18)^2-2*(((COLUMN()-COLUMN($F$8))-$D18)/$F18)^3)))</f>
        <v>0</v>
      </c>
      <c r="L18" s="1016" t="n">
        <f aca="false">IF(OR((COLUMN()-COLUMN($F$8))&lt;$D18,(COLUMN()-COLUMN($F$8))&gt;$E18),0,$C18*((3*(((COLUMN()-COLUMN($F$8))-$D18+1)/$F18)^2-2*(((COLUMN()-COLUMN($F$8))-$D18+1)/$F18)^3)-(3*(((COLUMN()-COLUMN($F$8))-$D18)/$F18)^2-2*(((COLUMN()-COLUMN($F$8))-$D18)/$F18)^3)))</f>
        <v>0</v>
      </c>
      <c r="M18" s="1016" t="n">
        <f aca="false">IF(OR((COLUMN()-COLUMN($F$8))&lt;$D18,(COLUMN()-COLUMN($F$8))&gt;$E18),0,$C18*((3*(((COLUMN()-COLUMN($F$8))-$D18+1)/$F18)^2-2*(((COLUMN()-COLUMN($F$8))-$D18+1)/$F18)^3)-(3*(((COLUMN()-COLUMN($F$8))-$D18)/$F18)^2-2*(((COLUMN()-COLUMN($F$8))-$D18)/$F18)^3)))</f>
        <v>0</v>
      </c>
      <c r="N18" s="1016" t="n">
        <f aca="false">IF(OR((COLUMN()-COLUMN($F$8))&lt;$D18,(COLUMN()-COLUMN($F$8))&gt;$E18),0,$C18*((3*(((COLUMN()-COLUMN($F$8))-$D18+1)/$F18)^2-2*(((COLUMN()-COLUMN($F$8))-$D18+1)/$F18)^3)-(3*(((COLUMN()-COLUMN($F$8))-$D18)/$F18)^2-2*(((COLUMN()-COLUMN($F$8))-$D18)/$F18)^3)))</f>
        <v>0</v>
      </c>
      <c r="O18" s="1016" t="n">
        <f aca="false">IF(OR((COLUMN()-COLUMN($F$8))&lt;$D18,(COLUMN()-COLUMN($F$8))&gt;$E18),0,$C18*((3*(((COLUMN()-COLUMN($F$8))-$D18+1)/$F18)^2-2*(((COLUMN()-COLUMN($F$8))-$D18+1)/$F18)^3)-(3*(((COLUMN()-COLUMN($F$8))-$D18)/$F18)^2-2*(((COLUMN()-COLUMN($F$8))-$D18)/$F18)^3)))</f>
        <v>0</v>
      </c>
      <c r="P18" s="1016" t="n">
        <f aca="false">IF(OR((COLUMN()-COLUMN($F$8))&lt;$D18,(COLUMN()-COLUMN($F$8))&gt;$E18),0,$C18*((3*(((COLUMN()-COLUMN($F$8))-$D18+1)/$F18)^2-2*(((COLUMN()-COLUMN($F$8))-$D18+1)/$F18)^3)-(3*(((COLUMN()-COLUMN($F$8))-$D18)/$F18)^2-2*(((COLUMN()-COLUMN($F$8))-$D18)/$F18)^3)))</f>
        <v>0</v>
      </c>
      <c r="Q18" s="1016" t="n">
        <f aca="false">IF(OR((COLUMN()-COLUMN($F$8))&lt;$D18,(COLUMN()-COLUMN($F$8))&gt;$E18),0,$C18*((3*(((COLUMN()-COLUMN($F$8))-$D18+1)/$F18)^2-2*(((COLUMN()-COLUMN($F$8))-$D18+1)/$F18)^3)-(3*(((COLUMN()-COLUMN($F$8))-$D18)/$F18)^2-2*(((COLUMN()-COLUMN($F$8))-$D18)/$F18)^3)))</f>
        <v>0</v>
      </c>
      <c r="R18" s="1016" t="n">
        <f aca="false">IF(OR((COLUMN()-COLUMN($F$8))&lt;$D18,(COLUMN()-COLUMN($F$8))&gt;$E18),0,$C18*((3*(((COLUMN()-COLUMN($F$8))-$D18+1)/$F18)^2-2*(((COLUMN()-COLUMN($F$8))-$D18+1)/$F18)^3)-(3*(((COLUMN()-COLUMN($F$8))-$D18)/$F18)^2-2*(((COLUMN()-COLUMN($F$8))-$D18)/$F18)^3)))</f>
        <v>0</v>
      </c>
      <c r="S18" s="1016" t="n">
        <f aca="false">IF(OR((COLUMN()-COLUMN($F$8))&lt;$D18,(COLUMN()-COLUMN($F$8))&gt;$E18),0,$C18*((3*(((COLUMN()-COLUMN($F$8))-$D18+1)/$F18)^2-2*(((COLUMN()-COLUMN($F$8))-$D18+1)/$F18)^3)-(3*(((COLUMN()-COLUMN($F$8))-$D18)/$F18)^2-2*(((COLUMN()-COLUMN($F$8))-$D18)/$F18)^3)))</f>
        <v>0</v>
      </c>
      <c r="T18" s="1016" t="n">
        <f aca="false">IF(OR((COLUMN()-COLUMN($F$8))&lt;$D18,(COLUMN()-COLUMN($F$8))&gt;$E18),0,$C18*((3*(((COLUMN()-COLUMN($F$8))-$D18+1)/$F18)^2-2*(((COLUMN()-COLUMN($F$8))-$D18+1)/$F18)^3)-(3*(((COLUMN()-COLUMN($F$8))-$D18)/$F18)^2-2*(((COLUMN()-COLUMN($F$8))-$D18)/$F18)^3)))</f>
        <v>0</v>
      </c>
      <c r="U18" s="1016" t="n">
        <f aca="false">IF(OR((COLUMN()-COLUMN($F$8))&lt;$D18,(COLUMN()-COLUMN($F$8))&gt;$E18),0,$C18*((3*(((COLUMN()-COLUMN($F$8))-$D18+1)/$F18)^2-2*(((COLUMN()-COLUMN($F$8))-$D18+1)/$F18)^3)-(3*(((COLUMN()-COLUMN($F$8))-$D18)/$F18)^2-2*(((COLUMN()-COLUMN($F$8))-$D18)/$F18)^3)))</f>
        <v>471269.203613603</v>
      </c>
      <c r="V18" s="1016" t="n">
        <f aca="false">IF(OR((COLUMN()-COLUMN($F$8))&lt;$D18,(COLUMN()-COLUMN($F$8))&gt;$E18),0,$C18*((3*(((COLUMN()-COLUMN($F$8))-$D18+1)/$F18)^2-2*(((COLUMN()-COLUMN($F$8))-$D18+1)/$F18)^3)-(3*(((COLUMN()-COLUMN($F$8))-$D18)/$F18)^2-2*(((COLUMN()-COLUMN($F$8))-$D18)/$F18)^3)))</f>
        <v>1263001.46568446</v>
      </c>
      <c r="W18" s="1016" t="n">
        <f aca="false">IF(OR((COLUMN()-COLUMN($F$8))&lt;$D18,(COLUMN()-COLUMN($F$8))&gt;$E18),0,$C18*((3*(((COLUMN()-COLUMN($F$8))-$D18+1)/$F18)^2-2*(((COLUMN()-COLUMN($F$8))-$D18+1)/$F18)^3)-(3*(((COLUMN()-COLUMN($F$8))-$D18)/$F18)^2-2*(((COLUMN()-COLUMN($F$8))-$D18)/$F18)^3)))</f>
        <v>1828524.51002078</v>
      </c>
      <c r="X18" s="1016" t="n">
        <f aca="false">IF(OR((COLUMN()-COLUMN($F$8))&lt;$D18,(COLUMN()-COLUMN($F$8))&gt;$E18),0,$C18*((3*(((COLUMN()-COLUMN($F$8))-$D18+1)/$F18)^2-2*(((COLUMN()-COLUMN($F$8))-$D18+1)/$F18)^3)-(3*(((COLUMN()-COLUMN($F$8))-$D18)/$F18)^2-2*(((COLUMN()-COLUMN($F$8))-$D18)/$F18)^3)))</f>
        <v>2167838.33662257</v>
      </c>
      <c r="Y18" s="1016" t="n">
        <f aca="false">IF(OR((COLUMN()-COLUMN($F$8))&lt;$D18,(COLUMN()-COLUMN($F$8))&gt;$E18),0,$C18*((3*(((COLUMN()-COLUMN($F$8))-$D18+1)/$F18)^2-2*(((COLUMN()-COLUMN($F$8))-$D18+1)/$F18)^3)-(3*(((COLUMN()-COLUMN($F$8))-$D18)/$F18)^2-2*(((COLUMN()-COLUMN($F$8))-$D18)/$F18)^3)))</f>
        <v>2280942.94548984</v>
      </c>
      <c r="Z18" s="1016" t="n">
        <f aca="false">IF(OR((COLUMN()-COLUMN($F$8))&lt;$D18,(COLUMN()-COLUMN($F$8))&gt;$E18),0,$C18*((3*(((COLUMN()-COLUMN($F$8))-$D18+1)/$F18)^2-2*(((COLUMN()-COLUMN($F$8))-$D18+1)/$F18)^3)-(3*(((COLUMN()-COLUMN($F$8))-$D18)/$F18)^2-2*(((COLUMN()-COLUMN($F$8))-$D18)/$F18)^3)))</f>
        <v>2167838.33662257</v>
      </c>
      <c r="AA18" s="1016" t="n">
        <f aca="false">IF(OR((COLUMN()-COLUMN($F$8))&lt;$D18,(COLUMN()-COLUMN($F$8))&gt;$E18),0,$C18*((3*(((COLUMN()-COLUMN($F$8))-$D18+1)/$F18)^2-2*(((COLUMN()-COLUMN($F$8))-$D18+1)/$F18)^3)-(3*(((COLUMN()-COLUMN($F$8))-$D18)/$F18)^2-2*(((COLUMN()-COLUMN($F$8))-$D18)/$F18)^3)))</f>
        <v>1828524.51002078</v>
      </c>
      <c r="AB18" s="1016" t="n">
        <f aca="false">IF(OR((COLUMN()-COLUMN($F$8))&lt;$D18,(COLUMN()-COLUMN($F$8))&gt;$E18),0,$C18*((3*(((COLUMN()-COLUMN($F$8))-$D18+1)/$F18)^2-2*(((COLUMN()-COLUMN($F$8))-$D18+1)/$F18)^3)-(3*(((COLUMN()-COLUMN($F$8))-$D18)/$F18)^2-2*(((COLUMN()-COLUMN($F$8))-$D18)/$F18)^3)))</f>
        <v>1263001.46568446</v>
      </c>
      <c r="AC18" s="1016" t="n">
        <f aca="false">IF(OR((COLUMN()-COLUMN($F$8))&lt;$D18,(COLUMN()-COLUMN($F$8))&gt;$E18),0,$C18*((3*(((COLUMN()-COLUMN($F$8))-$D18+1)/$F18)^2-2*(((COLUMN()-COLUMN($F$8))-$D18+1)/$F18)^3)-(3*(((COLUMN()-COLUMN($F$8))-$D18)/$F18)^2-2*(((COLUMN()-COLUMN($F$8))-$D18)/$F18)^3)))</f>
        <v>471269.2036136</v>
      </c>
      <c r="AD18" s="1016" t="n">
        <f aca="false">IF(OR((COLUMN()-COLUMN($F$8))&lt;$D18,(COLUMN()-COLUMN($F$8))&gt;$E18),0,$C18*((3*(((COLUMN()-COLUMN($F$8))-$D18+1)/$F18)^2-2*(((COLUMN()-COLUMN($F$8))-$D18+1)/$F18)^3)-(3*(((COLUMN()-COLUMN($F$8))-$D18)/$F18)^2-2*(((COLUMN()-COLUMN($F$8))-$D18)/$F18)^3)))</f>
        <v>0</v>
      </c>
      <c r="AE18" s="1016" t="n">
        <f aca="false">IF(OR((COLUMN()-COLUMN($F$8))&lt;$D18,(COLUMN()-COLUMN($F$8))&gt;$E18),0,$C18*((3*(((COLUMN()-COLUMN($F$8))-$D18+1)/$F18)^2-2*(((COLUMN()-COLUMN($F$8))-$D18+1)/$F18)^3)-(3*(((COLUMN()-COLUMN($F$8))-$D18)/$F18)^2-2*(((COLUMN()-COLUMN($F$8))-$D18)/$F18)^3)))</f>
        <v>0</v>
      </c>
      <c r="AF18" s="1016" t="n">
        <f aca="false">IF(OR((COLUMN()-COLUMN($F$8))&lt;$D18,(COLUMN()-COLUMN($F$8))&gt;$E18),0,$C18*((3*(((COLUMN()-COLUMN($F$8))-$D18+1)/$F18)^2-2*(((COLUMN()-COLUMN($F$8))-$D18+1)/$F18)^3)-(3*(((COLUMN()-COLUMN($F$8))-$D18)/$F18)^2-2*(((COLUMN()-COLUMN($F$8))-$D18)/$F18)^3)))</f>
        <v>0</v>
      </c>
      <c r="AG18" s="1016" t="n">
        <f aca="false">IF(OR((COLUMN()-COLUMN($F$8))&lt;$D18,(COLUMN()-COLUMN($F$8))&gt;$E18),0,$C18*((3*(((COLUMN()-COLUMN($F$8))-$D18+1)/$F18)^2-2*(((COLUMN()-COLUMN($F$8))-$D18+1)/$F18)^3)-(3*(((COLUMN()-COLUMN($F$8))-$D18)/$F18)^2-2*(((COLUMN()-COLUMN($F$8))-$D18)/$F18)^3)))</f>
        <v>0</v>
      </c>
      <c r="AH18" s="1016" t="n">
        <f aca="false">IF(OR((COLUMN()-COLUMN($F$8))&lt;$D18,(COLUMN()-COLUMN($F$8))&gt;$E18),0,$C18*((3*(((COLUMN()-COLUMN($F$8))-$D18+1)/$F18)^2-2*(((COLUMN()-COLUMN($F$8))-$D18+1)/$F18)^3)-(3*(((COLUMN()-COLUMN($F$8))-$D18)/$F18)^2-2*(((COLUMN()-COLUMN($F$8))-$D18)/$F18)^3)))</f>
        <v>0</v>
      </c>
      <c r="AI18" s="1016" t="n">
        <f aca="false">IF(OR((COLUMN()-COLUMN($F$8))&lt;$D18,(COLUMN()-COLUMN($F$8))&gt;$E18),0,$C18*((3*(((COLUMN()-COLUMN($F$8))-$D18+1)/$F18)^2-2*(((COLUMN()-COLUMN($F$8))-$D18+1)/$F18)^3)-(3*(((COLUMN()-COLUMN($F$8))-$D18)/$F18)^2-2*(((COLUMN()-COLUMN($F$8))-$D18)/$F18)^3)))</f>
        <v>0</v>
      </c>
      <c r="AJ18" s="1016" t="n">
        <f aca="false">IF(OR((COLUMN()-COLUMN($F$8))&lt;$D18,(COLUMN()-COLUMN($F$8))&gt;$E18),0,$C18*((3*(((COLUMN()-COLUMN($F$8))-$D18+1)/$F18)^2-2*(((COLUMN()-COLUMN($F$8))-$D18+1)/$F18)^3)-(3*(((COLUMN()-COLUMN($F$8))-$D18)/$F18)^2-2*(((COLUMN()-COLUMN($F$8))-$D18)/$F18)^3)))</f>
        <v>0</v>
      </c>
    </row>
    <row r="19" customFormat="false" ht="15" hidden="false" customHeight="true" outlineLevel="0" collapsed="false">
      <c r="A19" s="1" t="s">
        <v>1901</v>
      </c>
      <c r="C19" s="1017" t="n">
        <f aca="false">'Construction Budget'!H272</f>
        <v>33189552</v>
      </c>
      <c r="D19" s="1" t="n">
        <v>18</v>
      </c>
      <c r="E19" s="1" t="n">
        <v>28</v>
      </c>
      <c r="F19" s="1" t="n">
        <v>11</v>
      </c>
      <c r="G19" s="1018" t="n">
        <f aca="false">IF(OR((COLUMN()-COLUMN($F$8))&lt;$D19,(COLUMN()-COLUMN($F$8))&gt;$E19),0,$C19*((3*(((COLUMN()-COLUMN($F$8))-$D19+1)/$F19)^2-2*(((COLUMN()-COLUMN($F$8))-$D19+1)/$F19)^3)-(3*(((COLUMN()-COLUMN($F$8))-$D19)/$F19)^2-2*(((COLUMN()-COLUMN($F$8))-$D19)/$F19)^3)))</f>
        <v>0</v>
      </c>
      <c r="H19" s="1019" t="n">
        <f aca="false">IF(OR((COLUMN()-COLUMN($F$8))&lt;$D19,(COLUMN()-COLUMN($F$8))&gt;$E19),0,$C19*((3*(((COLUMN()-COLUMN($F$8))-$D19+1)/$F19)^2-2*(((COLUMN()-COLUMN($F$8))-$D19+1)/$F19)^3)-(3*(((COLUMN()-COLUMN($F$8))-$D19)/$F19)^2-2*(((COLUMN()-COLUMN($F$8))-$D19)/$F19)^3)))</f>
        <v>0</v>
      </c>
      <c r="I19" s="1019" t="n">
        <f aca="false">IF(OR((COLUMN()-COLUMN($F$8))&lt;$D19,(COLUMN()-COLUMN($F$8))&gt;$E19),0,$C19*((3*(((COLUMN()-COLUMN($F$8))-$D19+1)/$F19)^2-2*(((COLUMN()-COLUMN($F$8))-$D19+1)/$F19)^3)-(3*(((COLUMN()-COLUMN($F$8))-$D19)/$F19)^2-2*(((COLUMN()-COLUMN($F$8))-$D19)/$F19)^3)))</f>
        <v>0</v>
      </c>
      <c r="J19" s="1019" t="n">
        <f aca="false">IF(OR((COLUMN()-COLUMN($F$8))&lt;$D19,(COLUMN()-COLUMN($F$8))&gt;$E19),0,$C19*((3*(((COLUMN()-COLUMN($F$8))-$D19+1)/$F19)^2-2*(((COLUMN()-COLUMN($F$8))-$D19+1)/$F19)^3)-(3*(((COLUMN()-COLUMN($F$8))-$D19)/$F19)^2-2*(((COLUMN()-COLUMN($F$8))-$D19)/$F19)^3)))</f>
        <v>0</v>
      </c>
      <c r="K19" s="1019" t="n">
        <f aca="false">IF(OR((COLUMN()-COLUMN($F$8))&lt;$D19,(COLUMN()-COLUMN($F$8))&gt;$E19),0,$C19*((3*(((COLUMN()-COLUMN($F$8))-$D19+1)/$F19)^2-2*(((COLUMN()-COLUMN($F$8))-$D19+1)/$F19)^3)-(3*(((COLUMN()-COLUMN($F$8))-$D19)/$F19)^2-2*(((COLUMN()-COLUMN($F$8))-$D19)/$F19)^3)))</f>
        <v>0</v>
      </c>
      <c r="L19" s="1019" t="n">
        <f aca="false">IF(OR((COLUMN()-COLUMN($F$8))&lt;$D19,(COLUMN()-COLUMN($F$8))&gt;$E19),0,$C19*((3*(((COLUMN()-COLUMN($F$8))-$D19+1)/$F19)^2-2*(((COLUMN()-COLUMN($F$8))-$D19+1)/$F19)^3)-(3*(((COLUMN()-COLUMN($F$8))-$D19)/$F19)^2-2*(((COLUMN()-COLUMN($F$8))-$D19)/$F19)^3)))</f>
        <v>0</v>
      </c>
      <c r="M19" s="1019" t="n">
        <f aca="false">IF(OR((COLUMN()-COLUMN($F$8))&lt;$D19,(COLUMN()-COLUMN($F$8))&gt;$E19),0,$C19*((3*(((COLUMN()-COLUMN($F$8))-$D19+1)/$F19)^2-2*(((COLUMN()-COLUMN($F$8))-$D19+1)/$F19)^3)-(3*(((COLUMN()-COLUMN($F$8))-$D19)/$F19)^2-2*(((COLUMN()-COLUMN($F$8))-$D19)/$F19)^3)))</f>
        <v>0</v>
      </c>
      <c r="N19" s="1019" t="n">
        <f aca="false">IF(OR((COLUMN()-COLUMN($F$8))&lt;$D19,(COLUMN()-COLUMN($F$8))&gt;$E19),0,$C19*((3*(((COLUMN()-COLUMN($F$8))-$D19+1)/$F19)^2-2*(((COLUMN()-COLUMN($F$8))-$D19+1)/$F19)^3)-(3*(((COLUMN()-COLUMN($F$8))-$D19)/$F19)^2-2*(((COLUMN()-COLUMN($F$8))-$D19)/$F19)^3)))</f>
        <v>0</v>
      </c>
      <c r="O19" s="1019" t="n">
        <f aca="false">IF(OR((COLUMN()-COLUMN($F$8))&lt;$D19,(COLUMN()-COLUMN($F$8))&gt;$E19),0,$C19*((3*(((COLUMN()-COLUMN($F$8))-$D19+1)/$F19)^2-2*(((COLUMN()-COLUMN($F$8))-$D19+1)/$F19)^3)-(3*(((COLUMN()-COLUMN($F$8))-$D19)/$F19)^2-2*(((COLUMN()-COLUMN($F$8))-$D19)/$F19)^3)))</f>
        <v>0</v>
      </c>
      <c r="P19" s="1019" t="n">
        <f aca="false">IF(OR((COLUMN()-COLUMN($F$8))&lt;$D19,(COLUMN()-COLUMN($F$8))&gt;$E19),0,$C19*((3*(((COLUMN()-COLUMN($F$8))-$D19+1)/$F19)^2-2*(((COLUMN()-COLUMN($F$8))-$D19+1)/$F19)^3)-(3*(((COLUMN()-COLUMN($F$8))-$D19)/$F19)^2-2*(((COLUMN()-COLUMN($F$8))-$D19)/$F19)^3)))</f>
        <v>0</v>
      </c>
      <c r="Q19" s="1019" t="n">
        <f aca="false">IF(OR((COLUMN()-COLUMN($F$8))&lt;$D19,(COLUMN()-COLUMN($F$8))&gt;$E19),0,$C19*((3*(((COLUMN()-COLUMN($F$8))-$D19+1)/$F19)^2-2*(((COLUMN()-COLUMN($F$8))-$D19+1)/$F19)^3)-(3*(((COLUMN()-COLUMN($F$8))-$D19)/$F19)^2-2*(((COLUMN()-COLUMN($F$8))-$D19)/$F19)^3)))</f>
        <v>0</v>
      </c>
      <c r="R19" s="1019" t="n">
        <f aca="false">IF(OR((COLUMN()-COLUMN($F$8))&lt;$D19,(COLUMN()-COLUMN($F$8))&gt;$E19),0,$C19*((3*(((COLUMN()-COLUMN($F$8))-$D19+1)/$F19)^2-2*(((COLUMN()-COLUMN($F$8))-$D19+1)/$F19)^3)-(3*(((COLUMN()-COLUMN($F$8))-$D19)/$F19)^2-2*(((COLUMN()-COLUMN($F$8))-$D19)/$F19)^3)))</f>
        <v>0</v>
      </c>
      <c r="S19" s="1019" t="n">
        <f aca="false">IF(OR((COLUMN()-COLUMN($F$8))&lt;$D19,(COLUMN()-COLUMN($F$8))&gt;$E19),0,$C19*((3*(((COLUMN()-COLUMN($F$8))-$D19+1)/$F19)^2-2*(((COLUMN()-COLUMN($F$8))-$D19+1)/$F19)^3)-(3*(((COLUMN()-COLUMN($F$8))-$D19)/$F19)^2-2*(((COLUMN()-COLUMN($F$8))-$D19)/$F19)^3)))</f>
        <v>0</v>
      </c>
      <c r="T19" s="1019" t="n">
        <f aca="false">IF(OR((COLUMN()-COLUMN($F$8))&lt;$D19,(COLUMN()-COLUMN($F$8))&gt;$E19),0,$C19*((3*(((COLUMN()-COLUMN($F$8))-$D19+1)/$F19)^2-2*(((COLUMN()-COLUMN($F$8))-$D19+1)/$F19)^3)-(3*(((COLUMN()-COLUMN($F$8))-$D19)/$F19)^2-2*(((COLUMN()-COLUMN($F$8))-$D19)/$F19)^3)))</f>
        <v>0</v>
      </c>
      <c r="U19" s="1019" t="n">
        <f aca="false">IF(OR((COLUMN()-COLUMN($F$8))&lt;$D19,(COLUMN()-COLUMN($F$8))&gt;$E19),0,$C19*((3*(((COLUMN()-COLUMN($F$8))-$D19+1)/$F19)^2-2*(((COLUMN()-COLUMN($F$8))-$D19+1)/$F19)^3)-(3*(((COLUMN()-COLUMN($F$8))-$D19)/$F19)^2-2*(((COLUMN()-COLUMN($F$8))-$D19)/$F19)^3)))</f>
        <v>0</v>
      </c>
      <c r="V19" s="1019" t="n">
        <f aca="false">IF(OR((COLUMN()-COLUMN($F$8))&lt;$D19,(COLUMN()-COLUMN($F$8))&gt;$E19),0,$C19*((3*(((COLUMN()-COLUMN($F$8))-$D19+1)/$F19)^2-2*(((COLUMN()-COLUMN($F$8))-$D19+1)/$F19)^3)-(3*(((COLUMN()-COLUMN($F$8))-$D19)/$F19)^2-2*(((COLUMN()-COLUMN($F$8))-$D19)/$F19)^3)))</f>
        <v>0</v>
      </c>
      <c r="W19" s="1019" t="n">
        <f aca="false">IF(OR((COLUMN()-COLUMN($F$8))&lt;$D19,(COLUMN()-COLUMN($F$8))&gt;$E19),0,$C19*((3*(((COLUMN()-COLUMN($F$8))-$D19+1)/$F19)^2-2*(((COLUMN()-COLUMN($F$8))-$D19+1)/$F19)^3)-(3*(((COLUMN()-COLUMN($F$8))-$D19)/$F19)^2-2*(((COLUMN()-COLUMN($F$8))-$D19)/$F19)^3)))</f>
        <v>0</v>
      </c>
      <c r="X19" s="1019" t="n">
        <f aca="false">IF(OR((COLUMN()-COLUMN($F$8))&lt;$D19,(COLUMN()-COLUMN($F$8))&gt;$E19),0,$C19*((3*(((COLUMN()-COLUMN($F$8))-$D19+1)/$F19)^2-2*(((COLUMN()-COLUMN($F$8))-$D19+1)/$F19)^3)-(3*(((COLUMN()-COLUMN($F$8))-$D19)/$F19)^2-2*(((COLUMN()-COLUMN($F$8))-$D19)/$F19)^3)))</f>
        <v>773009.85123967</v>
      </c>
      <c r="Y19" s="1019" t="n">
        <f aca="false">IF(OR((COLUMN()-COLUMN($F$8))&lt;$D19,(COLUMN()-COLUMN($F$8))&gt;$E19),0,$C19*((3*(((COLUMN()-COLUMN($F$8))-$D19+1)/$F19)^2-2*(((COLUMN()-COLUMN($F$8))-$D19+1)/$F19)^3)-(3*(((COLUMN()-COLUMN($F$8))-$D19)/$F19)^2-2*(((COLUMN()-COLUMN($F$8))-$D19)/$F19)^3)))</f>
        <v>2119543.14049587</v>
      </c>
      <c r="Z19" s="1019" t="n">
        <f aca="false">IF(OR((COLUMN()-COLUMN($F$8))&lt;$D19,(COLUMN()-COLUMN($F$8))&gt;$E19),0,$C19*((3*(((COLUMN()-COLUMN($F$8))-$D19+1)/$F19)^2-2*(((COLUMN()-COLUMN($F$8))-$D19+1)/$F19)^3)-(3*(((COLUMN()-COLUMN($F$8))-$D19)/$F19)^2-2*(((COLUMN()-COLUMN($F$8))-$D19)/$F19)^3)))</f>
        <v>3166846.80991736</v>
      </c>
      <c r="AA19" s="1019" t="n">
        <f aca="false">IF(OR((COLUMN()-COLUMN($F$8))&lt;$D19,(COLUMN()-COLUMN($F$8))&gt;$E19),0,$C19*((3*(((COLUMN()-COLUMN($F$8))-$D19+1)/$F19)^2-2*(((COLUMN()-COLUMN($F$8))-$D19+1)/$F19)^3)-(3*(((COLUMN()-COLUMN($F$8))-$D19)/$F19)^2-2*(((COLUMN()-COLUMN($F$8))-$D19)/$F19)^3)))</f>
        <v>3914920.85950413</v>
      </c>
      <c r="AB19" s="1019" t="n">
        <f aca="false">IF(OR((COLUMN()-COLUMN($F$8))&lt;$D19,(COLUMN()-COLUMN($F$8))&gt;$E19),0,$C19*((3*(((COLUMN()-COLUMN($F$8))-$D19+1)/$F19)^2-2*(((COLUMN()-COLUMN($F$8))-$D19+1)/$F19)^3)-(3*(((COLUMN()-COLUMN($F$8))-$D19)/$F19)^2-2*(((COLUMN()-COLUMN($F$8))-$D19)/$F19)^3)))</f>
        <v>4363765.2892562</v>
      </c>
      <c r="AC19" s="1019" t="n">
        <f aca="false">IF(OR((COLUMN()-COLUMN($F$8))&lt;$D19,(COLUMN()-COLUMN($F$8))&gt;$E19),0,$C19*((3*(((COLUMN()-COLUMN($F$8))-$D19+1)/$F19)^2-2*(((COLUMN()-COLUMN($F$8))-$D19+1)/$F19)^3)-(3*(((COLUMN()-COLUMN($F$8))-$D19)/$F19)^2-2*(((COLUMN()-COLUMN($F$8))-$D19)/$F19)^3)))</f>
        <v>4513380.09917356</v>
      </c>
      <c r="AD19" s="1019" t="n">
        <f aca="false">IF(OR((COLUMN()-COLUMN($F$8))&lt;$D19,(COLUMN()-COLUMN($F$8))&gt;$E19),0,$C19*((3*(((COLUMN()-COLUMN($F$8))-$D19+1)/$F19)^2-2*(((COLUMN()-COLUMN($F$8))-$D19+1)/$F19)^3)-(3*(((COLUMN()-COLUMN($F$8))-$D19)/$F19)^2-2*(((COLUMN()-COLUMN($F$8))-$D19)/$F19)^3)))</f>
        <v>4363765.2892562</v>
      </c>
      <c r="AE19" s="1019" t="n">
        <f aca="false">IF(OR((COLUMN()-COLUMN($F$8))&lt;$D19,(COLUMN()-COLUMN($F$8))&gt;$E19),0,$C19*((3*(((COLUMN()-COLUMN($F$8))-$D19+1)/$F19)^2-2*(((COLUMN()-COLUMN($F$8))-$D19+1)/$F19)^3)-(3*(((COLUMN()-COLUMN($F$8))-$D19)/$F19)^2-2*(((COLUMN()-COLUMN($F$8))-$D19)/$F19)^3)))</f>
        <v>3914920.85950413</v>
      </c>
      <c r="AF19" s="1019" t="n">
        <f aca="false">IF(OR((COLUMN()-COLUMN($F$8))&lt;$D19,(COLUMN()-COLUMN($F$8))&gt;$E19),0,$C19*((3*(((COLUMN()-COLUMN($F$8))-$D19+1)/$F19)^2-2*(((COLUMN()-COLUMN($F$8))-$D19+1)/$F19)^3)-(3*(((COLUMN()-COLUMN($F$8))-$D19)/$F19)^2-2*(((COLUMN()-COLUMN($F$8))-$D19)/$F19)^3)))</f>
        <v>3166846.80991736</v>
      </c>
      <c r="AG19" s="1019" t="n">
        <f aca="false">IF(OR((COLUMN()-COLUMN($F$8))&lt;$D19,(COLUMN()-COLUMN($F$8))&gt;$E19),0,$C19*((3*(((COLUMN()-COLUMN($F$8))-$D19+1)/$F19)^2-2*(((COLUMN()-COLUMN($F$8))-$D19+1)/$F19)^3)-(3*(((COLUMN()-COLUMN($F$8))-$D19)/$F19)^2-2*(((COLUMN()-COLUMN($F$8))-$D19)/$F19)^3)))</f>
        <v>2119543.14049587</v>
      </c>
      <c r="AH19" s="1019" t="n">
        <f aca="false">IF(OR((COLUMN()-COLUMN($F$8))&lt;$D19,(COLUMN()-COLUMN($F$8))&gt;$E19),0,$C19*((3*(((COLUMN()-COLUMN($F$8))-$D19+1)/$F19)^2-2*(((COLUMN()-COLUMN($F$8))-$D19+1)/$F19)^3)-(3*(((COLUMN()-COLUMN($F$8))-$D19)/$F19)^2-2*(((COLUMN()-COLUMN($F$8))-$D19)/$F19)^3)))</f>
        <v>773009.851239671</v>
      </c>
      <c r="AI19" s="1019" t="n">
        <f aca="false">IF(OR((COLUMN()-COLUMN($F$8))&lt;$D19,(COLUMN()-COLUMN($F$8))&gt;$E19),0,$C19*((3*(((COLUMN()-COLUMN($F$8))-$D19+1)/$F19)^2-2*(((COLUMN()-COLUMN($F$8))-$D19+1)/$F19)^3)-(3*(((COLUMN()-COLUMN($F$8))-$D19)/$F19)^2-2*(((COLUMN()-COLUMN($F$8))-$D19)/$F19)^3)))</f>
        <v>0</v>
      </c>
      <c r="AJ19" s="1019" t="n">
        <f aca="false">IF(OR((COLUMN()-COLUMN($F$8))&lt;$D19,(COLUMN()-COLUMN($F$8))&gt;$E19),0,$C19*((3*(((COLUMN()-COLUMN($F$8))-$D19+1)/$F19)^2-2*(((COLUMN()-COLUMN($F$8))-$D19+1)/$F19)^3)-(3*(((COLUMN()-COLUMN($F$8))-$D19)/$F19)^2-2*(((COLUMN()-COLUMN($F$8))-$D19)/$F19)^3)))</f>
        <v>0</v>
      </c>
    </row>
    <row r="20" customFormat="false" ht="15" hidden="false" customHeight="true" outlineLevel="0" collapsed="false">
      <c r="A20" s="1013" t="s">
        <v>1902</v>
      </c>
      <c r="B20" s="1013"/>
      <c r="C20" s="1014" t="n">
        <f aca="false">'Construction Budget'!H292</f>
        <v>4010233.425</v>
      </c>
      <c r="D20" s="1013" t="n">
        <v>20</v>
      </c>
      <c r="E20" s="1013" t="n">
        <v>28</v>
      </c>
      <c r="F20" s="1013" t="n">
        <v>9</v>
      </c>
      <c r="G20" s="1015" t="n">
        <f aca="false">IF(OR((COLUMN()-COLUMN($F$8))&lt;$D20,(COLUMN()-COLUMN($F$8))&gt;$E20),0,$C20*((3*(((COLUMN()-COLUMN($F$8))-$D20+1)/$F20)^2-2*(((COLUMN()-COLUMN($F$8))-$D20+1)/$F20)^3)-(3*(((COLUMN()-COLUMN($F$8))-$D20)/$F20)^2-2*(((COLUMN()-COLUMN($F$8))-$D20)/$F20)^3)))</f>
        <v>0</v>
      </c>
      <c r="H20" s="1016" t="n">
        <f aca="false">IF(OR((COLUMN()-COLUMN($F$8))&lt;$D20,(COLUMN()-COLUMN($F$8))&gt;$E20),0,$C20*((3*(((COLUMN()-COLUMN($F$8))-$D20+1)/$F20)^2-2*(((COLUMN()-COLUMN($F$8))-$D20+1)/$F20)^3)-(3*(((COLUMN()-COLUMN($F$8))-$D20)/$F20)^2-2*(((COLUMN()-COLUMN($F$8))-$D20)/$F20)^3)))</f>
        <v>0</v>
      </c>
      <c r="I20" s="1016" t="n">
        <f aca="false">IF(OR((COLUMN()-COLUMN($F$8))&lt;$D20,(COLUMN()-COLUMN($F$8))&gt;$E20),0,$C20*((3*(((COLUMN()-COLUMN($F$8))-$D20+1)/$F20)^2-2*(((COLUMN()-COLUMN($F$8))-$D20+1)/$F20)^3)-(3*(((COLUMN()-COLUMN($F$8))-$D20)/$F20)^2-2*(((COLUMN()-COLUMN($F$8))-$D20)/$F20)^3)))</f>
        <v>0</v>
      </c>
      <c r="J20" s="1016" t="n">
        <f aca="false">IF(OR((COLUMN()-COLUMN($F$8))&lt;$D20,(COLUMN()-COLUMN($F$8))&gt;$E20),0,$C20*((3*(((COLUMN()-COLUMN($F$8))-$D20+1)/$F20)^2-2*(((COLUMN()-COLUMN($F$8))-$D20+1)/$F20)^3)-(3*(((COLUMN()-COLUMN($F$8))-$D20)/$F20)^2-2*(((COLUMN()-COLUMN($F$8))-$D20)/$F20)^3)))</f>
        <v>0</v>
      </c>
      <c r="K20" s="1016" t="n">
        <f aca="false">IF(OR((COLUMN()-COLUMN($F$8))&lt;$D20,(COLUMN()-COLUMN($F$8))&gt;$E20),0,$C20*((3*(((COLUMN()-COLUMN($F$8))-$D20+1)/$F20)^2-2*(((COLUMN()-COLUMN($F$8))-$D20+1)/$F20)^3)-(3*(((COLUMN()-COLUMN($F$8))-$D20)/$F20)^2-2*(((COLUMN()-COLUMN($F$8))-$D20)/$F20)^3)))</f>
        <v>0</v>
      </c>
      <c r="L20" s="1016" t="n">
        <f aca="false">IF(OR((COLUMN()-COLUMN($F$8))&lt;$D20,(COLUMN()-COLUMN($F$8))&gt;$E20),0,$C20*((3*(((COLUMN()-COLUMN($F$8))-$D20+1)/$F20)^2-2*(((COLUMN()-COLUMN($F$8))-$D20+1)/$F20)^3)-(3*(((COLUMN()-COLUMN($F$8))-$D20)/$F20)^2-2*(((COLUMN()-COLUMN($F$8))-$D20)/$F20)^3)))</f>
        <v>0</v>
      </c>
      <c r="M20" s="1016" t="n">
        <f aca="false">IF(OR((COLUMN()-COLUMN($F$8))&lt;$D20,(COLUMN()-COLUMN($F$8))&gt;$E20),0,$C20*((3*(((COLUMN()-COLUMN($F$8))-$D20+1)/$F20)^2-2*(((COLUMN()-COLUMN($F$8))-$D20+1)/$F20)^3)-(3*(((COLUMN()-COLUMN($F$8))-$D20)/$F20)^2-2*(((COLUMN()-COLUMN($F$8))-$D20)/$F20)^3)))</f>
        <v>0</v>
      </c>
      <c r="N20" s="1016" t="n">
        <f aca="false">IF(OR((COLUMN()-COLUMN($F$8))&lt;$D20,(COLUMN()-COLUMN($F$8))&gt;$E20),0,$C20*((3*(((COLUMN()-COLUMN($F$8))-$D20+1)/$F20)^2-2*(((COLUMN()-COLUMN($F$8))-$D20+1)/$F20)^3)-(3*(((COLUMN()-COLUMN($F$8))-$D20)/$F20)^2-2*(((COLUMN()-COLUMN($F$8))-$D20)/$F20)^3)))</f>
        <v>0</v>
      </c>
      <c r="O20" s="1016" t="n">
        <f aca="false">IF(OR((COLUMN()-COLUMN($F$8))&lt;$D20,(COLUMN()-COLUMN($F$8))&gt;$E20),0,$C20*((3*(((COLUMN()-COLUMN($F$8))-$D20+1)/$F20)^2-2*(((COLUMN()-COLUMN($F$8))-$D20+1)/$F20)^3)-(3*(((COLUMN()-COLUMN($F$8))-$D20)/$F20)^2-2*(((COLUMN()-COLUMN($F$8))-$D20)/$F20)^3)))</f>
        <v>0</v>
      </c>
      <c r="P20" s="1016" t="n">
        <f aca="false">IF(OR((COLUMN()-COLUMN($F$8))&lt;$D20,(COLUMN()-COLUMN($F$8))&gt;$E20),0,$C20*((3*(((COLUMN()-COLUMN($F$8))-$D20+1)/$F20)^2-2*(((COLUMN()-COLUMN($F$8))-$D20+1)/$F20)^3)-(3*(((COLUMN()-COLUMN($F$8))-$D20)/$F20)^2-2*(((COLUMN()-COLUMN($F$8))-$D20)/$F20)^3)))</f>
        <v>0</v>
      </c>
      <c r="Q20" s="1016" t="n">
        <f aca="false">IF(OR((COLUMN()-COLUMN($F$8))&lt;$D20,(COLUMN()-COLUMN($F$8))&gt;$E20),0,$C20*((3*(((COLUMN()-COLUMN($F$8))-$D20+1)/$F20)^2-2*(((COLUMN()-COLUMN($F$8))-$D20+1)/$F20)^3)-(3*(((COLUMN()-COLUMN($F$8))-$D20)/$F20)^2-2*(((COLUMN()-COLUMN($F$8))-$D20)/$F20)^3)))</f>
        <v>0</v>
      </c>
      <c r="R20" s="1016" t="n">
        <f aca="false">IF(OR((COLUMN()-COLUMN($F$8))&lt;$D20,(COLUMN()-COLUMN($F$8))&gt;$E20),0,$C20*((3*(((COLUMN()-COLUMN($F$8))-$D20+1)/$F20)^2-2*(((COLUMN()-COLUMN($F$8))-$D20+1)/$F20)^3)-(3*(((COLUMN()-COLUMN($F$8))-$D20)/$F20)^2-2*(((COLUMN()-COLUMN($F$8))-$D20)/$F20)^3)))</f>
        <v>0</v>
      </c>
      <c r="S20" s="1016" t="n">
        <f aca="false">IF(OR((COLUMN()-COLUMN($F$8))&lt;$D20,(COLUMN()-COLUMN($F$8))&gt;$E20),0,$C20*((3*(((COLUMN()-COLUMN($F$8))-$D20+1)/$F20)^2-2*(((COLUMN()-COLUMN($F$8))-$D20+1)/$F20)^3)-(3*(((COLUMN()-COLUMN($F$8))-$D20)/$F20)^2-2*(((COLUMN()-COLUMN($F$8))-$D20)/$F20)^3)))</f>
        <v>0</v>
      </c>
      <c r="T20" s="1016" t="n">
        <f aca="false">IF(OR((COLUMN()-COLUMN($F$8))&lt;$D20,(COLUMN()-COLUMN($F$8))&gt;$E20),0,$C20*((3*(((COLUMN()-COLUMN($F$8))-$D20+1)/$F20)^2-2*(((COLUMN()-COLUMN($F$8))-$D20+1)/$F20)^3)-(3*(((COLUMN()-COLUMN($F$8))-$D20)/$F20)^2-2*(((COLUMN()-COLUMN($F$8))-$D20)/$F20)^3)))</f>
        <v>0</v>
      </c>
      <c r="U20" s="1016" t="n">
        <f aca="false">IF(OR((COLUMN()-COLUMN($F$8))&lt;$D20,(COLUMN()-COLUMN($F$8))&gt;$E20),0,$C20*((3*(((COLUMN()-COLUMN($F$8))-$D20+1)/$F20)^2-2*(((COLUMN()-COLUMN($F$8))-$D20+1)/$F20)^3)-(3*(((COLUMN()-COLUMN($F$8))-$D20)/$F20)^2-2*(((COLUMN()-COLUMN($F$8))-$D20)/$F20)^3)))</f>
        <v>0</v>
      </c>
      <c r="V20" s="1016" t="n">
        <f aca="false">IF(OR((COLUMN()-COLUMN($F$8))&lt;$D20,(COLUMN()-COLUMN($F$8))&gt;$E20),0,$C20*((3*(((COLUMN()-COLUMN($F$8))-$D20+1)/$F20)^2-2*(((COLUMN()-COLUMN($F$8))-$D20+1)/$F20)^3)-(3*(((COLUMN()-COLUMN($F$8))-$D20)/$F20)^2-2*(((COLUMN()-COLUMN($F$8))-$D20)/$F20)^3)))</f>
        <v>0</v>
      </c>
      <c r="W20" s="1016" t="n">
        <f aca="false">IF(OR((COLUMN()-COLUMN($F$8))&lt;$D20,(COLUMN()-COLUMN($F$8))&gt;$E20),0,$C20*((3*(((COLUMN()-COLUMN($F$8))-$D20+1)/$F20)^2-2*(((COLUMN()-COLUMN($F$8))-$D20+1)/$F20)^3)-(3*(((COLUMN()-COLUMN($F$8))-$D20)/$F20)^2-2*(((COLUMN()-COLUMN($F$8))-$D20)/$F20)^3)))</f>
        <v>0</v>
      </c>
      <c r="X20" s="1016" t="n">
        <f aca="false">IF(OR((COLUMN()-COLUMN($F$8))&lt;$D20,(COLUMN()-COLUMN($F$8))&gt;$E20),0,$C20*((3*(((COLUMN()-COLUMN($F$8))-$D20+1)/$F20)^2-2*(((COLUMN()-COLUMN($F$8))-$D20+1)/$F20)^3)-(3*(((COLUMN()-COLUMN($F$8))-$D20)/$F20)^2-2*(((COLUMN()-COLUMN($F$8))-$D20)/$F20)^3)))</f>
        <v>0</v>
      </c>
      <c r="Y20" s="1016" t="n">
        <f aca="false">IF(OR((COLUMN()-COLUMN($F$8))&lt;$D20,(COLUMN()-COLUMN($F$8))&gt;$E20),0,$C20*((3*(((COLUMN()-COLUMN($F$8))-$D20+1)/$F20)^2-2*(((COLUMN()-COLUMN($F$8))-$D20+1)/$F20)^3)-(3*(((COLUMN()-COLUMN($F$8))-$D20)/$F20)^2-2*(((COLUMN()-COLUMN($F$8))-$D20)/$F20)^3)))</f>
        <v>0</v>
      </c>
      <c r="Z20" s="1016" t="n">
        <f aca="false">IF(OR((COLUMN()-COLUMN($F$8))&lt;$D20,(COLUMN()-COLUMN($F$8))&gt;$E20),0,$C20*((3*(((COLUMN()-COLUMN($F$8))-$D20+1)/$F20)^2-2*(((COLUMN()-COLUMN($F$8))-$D20+1)/$F20)^3)-(3*(((COLUMN()-COLUMN($F$8))-$D20)/$F20)^2-2*(((COLUMN()-COLUMN($F$8))-$D20)/$F20)^3)))</f>
        <v>137525.151748971</v>
      </c>
      <c r="AA20" s="1016" t="n">
        <f aca="false">IF(OR((COLUMN()-COLUMN($F$8))&lt;$D20,(COLUMN()-COLUMN($F$8))&gt;$E20),0,$C20*((3*(((COLUMN()-COLUMN($F$8))-$D20+1)/$F20)^2-2*(((COLUMN()-COLUMN($F$8))-$D20+1)/$F20)^3)-(3*(((COLUMN()-COLUMN($F$8))-$D20)/$F20)^2-2*(((COLUMN()-COLUMN($F$8))-$D20)/$F20)^3)))</f>
        <v>368567.406687243</v>
      </c>
      <c r="AB20" s="1016" t="n">
        <f aca="false">IF(OR((COLUMN()-COLUMN($F$8))&lt;$D20,(COLUMN()-COLUMN($F$8))&gt;$E20),0,$C20*((3*(((COLUMN()-COLUMN($F$8))-$D20+1)/$F20)^2-2*(((COLUMN()-COLUMN($F$8))-$D20+1)/$F20)^3)-(3*(((COLUMN()-COLUMN($F$8))-$D20)/$F20)^2-2*(((COLUMN()-COLUMN($F$8))-$D20)/$F20)^3)))</f>
        <v>533597.588786008</v>
      </c>
      <c r="AC20" s="1016" t="n">
        <f aca="false">IF(OR((COLUMN()-COLUMN($F$8))&lt;$D20,(COLUMN()-COLUMN($F$8))&gt;$E20),0,$C20*((3*(((COLUMN()-COLUMN($F$8))-$D20+1)/$F20)^2-2*(((COLUMN()-COLUMN($F$8))-$D20+1)/$F20)^3)-(3*(((COLUMN()-COLUMN($F$8))-$D20)/$F20)^2-2*(((COLUMN()-COLUMN($F$8))-$D20)/$F20)^3)))</f>
        <v>632615.698045268</v>
      </c>
      <c r="AD20" s="1016" t="n">
        <f aca="false">IF(OR((COLUMN()-COLUMN($F$8))&lt;$D20,(COLUMN()-COLUMN($F$8))&gt;$E20),0,$C20*((3*(((COLUMN()-COLUMN($F$8))-$D20+1)/$F20)^2-2*(((COLUMN()-COLUMN($F$8))-$D20+1)/$F20)^3)-(3*(((COLUMN()-COLUMN($F$8))-$D20)/$F20)^2-2*(((COLUMN()-COLUMN($F$8))-$D20)/$F20)^3)))</f>
        <v>665621.734465021</v>
      </c>
      <c r="AE20" s="1016" t="n">
        <f aca="false">IF(OR((COLUMN()-COLUMN($F$8))&lt;$D20,(COLUMN()-COLUMN($F$8))&gt;$E20),0,$C20*((3*(((COLUMN()-COLUMN($F$8))-$D20+1)/$F20)^2-2*(((COLUMN()-COLUMN($F$8))-$D20+1)/$F20)^3)-(3*(((COLUMN()-COLUMN($F$8))-$D20)/$F20)^2-2*(((COLUMN()-COLUMN($F$8))-$D20)/$F20)^3)))</f>
        <v>632615.698045268</v>
      </c>
      <c r="AF20" s="1016" t="n">
        <f aca="false">IF(OR((COLUMN()-COLUMN($F$8))&lt;$D20,(COLUMN()-COLUMN($F$8))&gt;$E20),0,$C20*((3*(((COLUMN()-COLUMN($F$8))-$D20+1)/$F20)^2-2*(((COLUMN()-COLUMN($F$8))-$D20+1)/$F20)^3)-(3*(((COLUMN()-COLUMN($F$8))-$D20)/$F20)^2-2*(((COLUMN()-COLUMN($F$8))-$D20)/$F20)^3)))</f>
        <v>533597.588786008</v>
      </c>
      <c r="AG20" s="1016" t="n">
        <f aca="false">IF(OR((COLUMN()-COLUMN($F$8))&lt;$D20,(COLUMN()-COLUMN($F$8))&gt;$E20),0,$C20*((3*(((COLUMN()-COLUMN($F$8))-$D20+1)/$F20)^2-2*(((COLUMN()-COLUMN($F$8))-$D20+1)/$F20)^3)-(3*(((COLUMN()-COLUMN($F$8))-$D20)/$F20)^2-2*(((COLUMN()-COLUMN($F$8))-$D20)/$F20)^3)))</f>
        <v>368567.406687244</v>
      </c>
      <c r="AH20" s="1016" t="n">
        <f aca="false">IF(OR((COLUMN()-COLUMN($F$8))&lt;$D20,(COLUMN()-COLUMN($F$8))&gt;$E20),0,$C20*((3*(((COLUMN()-COLUMN($F$8))-$D20+1)/$F20)^2-2*(((COLUMN()-COLUMN($F$8))-$D20+1)/$F20)^3)-(3*(((COLUMN()-COLUMN($F$8))-$D20)/$F20)^2-2*(((COLUMN()-COLUMN($F$8))-$D20)/$F20)^3)))</f>
        <v>137525.15174897</v>
      </c>
      <c r="AI20" s="1016" t="n">
        <f aca="false">IF(OR((COLUMN()-COLUMN($F$8))&lt;$D20,(COLUMN()-COLUMN($F$8))&gt;$E20),0,$C20*((3*(((COLUMN()-COLUMN($F$8))-$D20+1)/$F20)^2-2*(((COLUMN()-COLUMN($F$8))-$D20+1)/$F20)^3)-(3*(((COLUMN()-COLUMN($F$8))-$D20)/$F20)^2-2*(((COLUMN()-COLUMN($F$8))-$D20)/$F20)^3)))</f>
        <v>0</v>
      </c>
      <c r="AJ20" s="1016" t="n">
        <f aca="false">IF(OR((COLUMN()-COLUMN($F$8))&lt;$D20,(COLUMN()-COLUMN($F$8))&gt;$E20),0,$C20*((3*(((COLUMN()-COLUMN($F$8))-$D20+1)/$F20)^2-2*(((COLUMN()-COLUMN($F$8))-$D20+1)/$F20)^3)-(3*(((COLUMN()-COLUMN($F$8))-$D20)/$F20)^2-2*(((COLUMN()-COLUMN($F$8))-$D20)/$F20)^3)))</f>
        <v>0</v>
      </c>
    </row>
    <row r="21" customFormat="false" ht="15" hidden="false" customHeight="true" outlineLevel="0" collapsed="false">
      <c r="A21" s="1" t="s">
        <v>4061</v>
      </c>
      <c r="B21" s="1" t="s">
        <v>4899</v>
      </c>
      <c r="C21" s="1017" t="n">
        <f aca="false">'Construction Budget'!H75</f>
        <v>47367292.5</v>
      </c>
      <c r="D21" s="1" t="n">
        <v>18</v>
      </c>
      <c r="E21" s="1" t="n">
        <v>29</v>
      </c>
      <c r="F21" s="1" t="n">
        <v>12</v>
      </c>
      <c r="G21" s="1018" t="n">
        <f aca="false">IF(OR((COLUMN()-COLUMN($F$8))&lt;$D21,(COLUMN()-COLUMN($F$8))&gt;$E21),0,$C21*((3*(((COLUMN()-COLUMN($F$8))-$D21+1)/$F21)^2-2*(((COLUMN()-COLUMN($F$8))-$D21+1)/$F21)^3)-(3*(((COLUMN()-COLUMN($F$8))-$D21)/$F21)^2-2*(((COLUMN()-COLUMN($F$8))-$D21)/$F21)^3)))</f>
        <v>0</v>
      </c>
      <c r="H21" s="1019" t="n">
        <f aca="false">IF(OR((COLUMN()-COLUMN($F$8))&lt;$D21,(COLUMN()-COLUMN($F$8))&gt;$E21),0,$C21*((3*(((COLUMN()-COLUMN($F$8))-$D21+1)/$F21)^2-2*(((COLUMN()-COLUMN($F$8))-$D21+1)/$F21)^3)-(3*(((COLUMN()-COLUMN($F$8))-$D21)/$F21)^2-2*(((COLUMN()-COLUMN($F$8))-$D21)/$F21)^3)))</f>
        <v>0</v>
      </c>
      <c r="I21" s="1019" t="n">
        <f aca="false">IF(OR((COLUMN()-COLUMN($F$8))&lt;$D21,(COLUMN()-COLUMN($F$8))&gt;$E21),0,$C21*((3*(((COLUMN()-COLUMN($F$8))-$D21+1)/$F21)^2-2*(((COLUMN()-COLUMN($F$8))-$D21+1)/$F21)^3)-(3*(((COLUMN()-COLUMN($F$8))-$D21)/$F21)^2-2*(((COLUMN()-COLUMN($F$8))-$D21)/$F21)^3)))</f>
        <v>0</v>
      </c>
      <c r="J21" s="1019" t="n">
        <f aca="false">IF(OR((COLUMN()-COLUMN($F$8))&lt;$D21,(COLUMN()-COLUMN($F$8))&gt;$E21),0,$C21*((3*(((COLUMN()-COLUMN($F$8))-$D21+1)/$F21)^2-2*(((COLUMN()-COLUMN($F$8))-$D21+1)/$F21)^3)-(3*(((COLUMN()-COLUMN($F$8))-$D21)/$F21)^2-2*(((COLUMN()-COLUMN($F$8))-$D21)/$F21)^3)))</f>
        <v>0</v>
      </c>
      <c r="K21" s="1019" t="n">
        <f aca="false">IF(OR((COLUMN()-COLUMN($F$8))&lt;$D21,(COLUMN()-COLUMN($F$8))&gt;$E21),0,$C21*((3*(((COLUMN()-COLUMN($F$8))-$D21+1)/$F21)^2-2*(((COLUMN()-COLUMN($F$8))-$D21+1)/$F21)^3)-(3*(((COLUMN()-COLUMN($F$8))-$D21)/$F21)^2-2*(((COLUMN()-COLUMN($F$8))-$D21)/$F21)^3)))</f>
        <v>0</v>
      </c>
      <c r="L21" s="1019" t="n">
        <f aca="false">IF(OR((COLUMN()-COLUMN($F$8))&lt;$D21,(COLUMN()-COLUMN($F$8))&gt;$E21),0,$C21*((3*(((COLUMN()-COLUMN($F$8))-$D21+1)/$F21)^2-2*(((COLUMN()-COLUMN($F$8))-$D21+1)/$F21)^3)-(3*(((COLUMN()-COLUMN($F$8))-$D21)/$F21)^2-2*(((COLUMN()-COLUMN($F$8))-$D21)/$F21)^3)))</f>
        <v>0</v>
      </c>
      <c r="M21" s="1019" t="n">
        <f aca="false">IF(OR((COLUMN()-COLUMN($F$8))&lt;$D21,(COLUMN()-COLUMN($F$8))&gt;$E21),0,$C21*((3*(((COLUMN()-COLUMN($F$8))-$D21+1)/$F21)^2-2*(((COLUMN()-COLUMN($F$8))-$D21+1)/$F21)^3)-(3*(((COLUMN()-COLUMN($F$8))-$D21)/$F21)^2-2*(((COLUMN()-COLUMN($F$8))-$D21)/$F21)^3)))</f>
        <v>0</v>
      </c>
      <c r="N21" s="1019" t="n">
        <f aca="false">IF(OR((COLUMN()-COLUMN($F$8))&lt;$D21,(COLUMN()-COLUMN($F$8))&gt;$E21),0,$C21*((3*(((COLUMN()-COLUMN($F$8))-$D21+1)/$F21)^2-2*(((COLUMN()-COLUMN($F$8))-$D21+1)/$F21)^3)-(3*(((COLUMN()-COLUMN($F$8))-$D21)/$F21)^2-2*(((COLUMN()-COLUMN($F$8))-$D21)/$F21)^3)))</f>
        <v>0</v>
      </c>
      <c r="O21" s="1019" t="n">
        <f aca="false">IF(OR((COLUMN()-COLUMN($F$8))&lt;$D21,(COLUMN()-COLUMN($F$8))&gt;$E21),0,$C21*((3*(((COLUMN()-COLUMN($F$8))-$D21+1)/$F21)^2-2*(((COLUMN()-COLUMN($F$8))-$D21+1)/$F21)^3)-(3*(((COLUMN()-COLUMN($F$8))-$D21)/$F21)^2-2*(((COLUMN()-COLUMN($F$8))-$D21)/$F21)^3)))</f>
        <v>0</v>
      </c>
      <c r="P21" s="1019" t="n">
        <f aca="false">IF(OR((COLUMN()-COLUMN($F$8))&lt;$D21,(COLUMN()-COLUMN($F$8))&gt;$E21),0,$C21*((3*(((COLUMN()-COLUMN($F$8))-$D21+1)/$F21)^2-2*(((COLUMN()-COLUMN($F$8))-$D21+1)/$F21)^3)-(3*(((COLUMN()-COLUMN($F$8))-$D21)/$F21)^2-2*(((COLUMN()-COLUMN($F$8))-$D21)/$F21)^3)))</f>
        <v>0</v>
      </c>
      <c r="Q21" s="1019" t="n">
        <f aca="false">IF(OR((COLUMN()-COLUMN($F$8))&lt;$D21,(COLUMN()-COLUMN($F$8))&gt;$E21),0,$C21*((3*(((COLUMN()-COLUMN($F$8))-$D21+1)/$F21)^2-2*(((COLUMN()-COLUMN($F$8))-$D21+1)/$F21)^3)-(3*(((COLUMN()-COLUMN($F$8))-$D21)/$F21)^2-2*(((COLUMN()-COLUMN($F$8))-$D21)/$F21)^3)))</f>
        <v>0</v>
      </c>
      <c r="R21" s="1019" t="n">
        <f aca="false">IF(OR((COLUMN()-COLUMN($F$8))&lt;$D21,(COLUMN()-COLUMN($F$8))&gt;$E21),0,$C21*((3*(((COLUMN()-COLUMN($F$8))-$D21+1)/$F21)^2-2*(((COLUMN()-COLUMN($F$8))-$D21+1)/$F21)^3)-(3*(((COLUMN()-COLUMN($F$8))-$D21)/$F21)^2-2*(((COLUMN()-COLUMN($F$8))-$D21)/$F21)^3)))</f>
        <v>0</v>
      </c>
      <c r="S21" s="1019" t="n">
        <f aca="false">IF(OR((COLUMN()-COLUMN($F$8))&lt;$D21,(COLUMN()-COLUMN($F$8))&gt;$E21),0,$C21*((3*(((COLUMN()-COLUMN($F$8))-$D21+1)/$F21)^2-2*(((COLUMN()-COLUMN($F$8))-$D21+1)/$F21)^3)-(3*(((COLUMN()-COLUMN($F$8))-$D21)/$F21)^2-2*(((COLUMN()-COLUMN($F$8))-$D21)/$F21)^3)))</f>
        <v>0</v>
      </c>
      <c r="T21" s="1019" t="n">
        <f aca="false">IF(OR((COLUMN()-COLUMN($F$8))&lt;$D21,(COLUMN()-COLUMN($F$8))&gt;$E21),0,$C21*((3*(((COLUMN()-COLUMN($F$8))-$D21+1)/$F21)^2-2*(((COLUMN()-COLUMN($F$8))-$D21+1)/$F21)^3)-(3*(((COLUMN()-COLUMN($F$8))-$D21)/$F21)^2-2*(((COLUMN()-COLUMN($F$8))-$D21)/$F21)^3)))</f>
        <v>0</v>
      </c>
      <c r="U21" s="1019" t="n">
        <f aca="false">IF(OR((COLUMN()-COLUMN($F$8))&lt;$D21,(COLUMN()-COLUMN($F$8))&gt;$E21),0,$C21*((3*(((COLUMN()-COLUMN($F$8))-$D21+1)/$F21)^2-2*(((COLUMN()-COLUMN($F$8))-$D21+1)/$F21)^3)-(3*(((COLUMN()-COLUMN($F$8))-$D21)/$F21)^2-2*(((COLUMN()-COLUMN($F$8))-$D21)/$F21)^3)))</f>
        <v>0</v>
      </c>
      <c r="V21" s="1019" t="n">
        <f aca="false">IF(OR((COLUMN()-COLUMN($F$8))&lt;$D21,(COLUMN()-COLUMN($F$8))&gt;$E21),0,$C21*((3*(((COLUMN()-COLUMN($F$8))-$D21+1)/$F21)^2-2*(((COLUMN()-COLUMN($F$8))-$D21+1)/$F21)^3)-(3*(((COLUMN()-COLUMN($F$8))-$D21)/$F21)^2-2*(((COLUMN()-COLUMN($F$8))-$D21)/$F21)^3)))</f>
        <v>0</v>
      </c>
      <c r="W21" s="1019" t="n">
        <f aca="false">IF(OR((COLUMN()-COLUMN($F$8))&lt;$D21,(COLUMN()-COLUMN($F$8))&gt;$E21),0,$C21*((3*(((COLUMN()-COLUMN($F$8))-$D21+1)/$F21)^2-2*(((COLUMN()-COLUMN($F$8))-$D21+1)/$F21)^3)-(3*(((COLUMN()-COLUMN($F$8))-$D21)/$F21)^2-2*(((COLUMN()-COLUMN($F$8))-$D21)/$F21)^3)))</f>
        <v>0</v>
      </c>
      <c r="X21" s="1019" t="n">
        <f aca="false">IF(OR((COLUMN()-COLUMN($F$8))&lt;$D21,(COLUMN()-COLUMN($F$8))&gt;$E21),0,$C21*((3*(((COLUMN()-COLUMN($F$8))-$D21+1)/$F21)^2-2*(((COLUMN()-COLUMN($F$8))-$D21+1)/$F21)^3)-(3*(((COLUMN()-COLUMN($F$8))-$D21)/$F21)^2-2*(((COLUMN()-COLUMN($F$8))-$D21)/$F21)^3)))</f>
        <v>931995.338541667</v>
      </c>
      <c r="Y21" s="1019" t="n">
        <f aca="false">IF(OR((COLUMN()-COLUMN($F$8))&lt;$D21,(COLUMN()-COLUMN($F$8))&gt;$E21),0,$C21*((3*(((COLUMN()-COLUMN($F$8))-$D21+1)/$F21)^2-2*(((COLUMN()-COLUMN($F$8))-$D21+1)/$F21)^3)-(3*(((COLUMN()-COLUMN($F$8))-$D21)/$F21)^2-2*(((COLUMN()-COLUMN($F$8))-$D21)/$F21)^3)))</f>
        <v>2576692.99479167</v>
      </c>
      <c r="Z21" s="1019" t="n">
        <f aca="false">IF(OR((COLUMN()-COLUMN($F$8))&lt;$D21,(COLUMN()-COLUMN($F$8))&gt;$E21),0,$C21*((3*(((COLUMN()-COLUMN($F$8))-$D21+1)/$F21)^2-2*(((COLUMN()-COLUMN($F$8))-$D21+1)/$F21)^3)-(3*(((COLUMN()-COLUMN($F$8))-$D21)/$F21)^2-2*(((COLUMN()-COLUMN($F$8))-$D21)/$F21)^3)))</f>
        <v>3892451.11979167</v>
      </c>
      <c r="AA21" s="1019" t="n">
        <f aca="false">IF(OR((COLUMN()-COLUMN($F$8))&lt;$D21,(COLUMN()-COLUMN($F$8))&gt;$E21),0,$C21*((3*(((COLUMN()-COLUMN($F$8))-$D21+1)/$F21)^2-2*(((COLUMN()-COLUMN($F$8))-$D21+1)/$F21)^3)-(3*(((COLUMN()-COLUMN($F$8))-$D21)/$F21)^2-2*(((COLUMN()-COLUMN($F$8))-$D21)/$F21)^3)))</f>
        <v>4879269.71354167</v>
      </c>
      <c r="AB21" s="1019" t="n">
        <f aca="false">IF(OR((COLUMN()-COLUMN($F$8))&lt;$D21,(COLUMN()-COLUMN($F$8))&gt;$E21),0,$C21*((3*(((COLUMN()-COLUMN($F$8))-$D21+1)/$F21)^2-2*(((COLUMN()-COLUMN($F$8))-$D21+1)/$F21)^3)-(3*(((COLUMN()-COLUMN($F$8))-$D21)/$F21)^2-2*(((COLUMN()-COLUMN($F$8))-$D21)/$F21)^3)))</f>
        <v>5537148.77604167</v>
      </c>
      <c r="AC21" s="1019" t="n">
        <f aca="false">IF(OR((COLUMN()-COLUMN($F$8))&lt;$D21,(COLUMN()-COLUMN($F$8))&gt;$E21),0,$C21*((3*(((COLUMN()-COLUMN($F$8))-$D21+1)/$F21)^2-2*(((COLUMN()-COLUMN($F$8))-$D21+1)/$F21)^3)-(3*(((COLUMN()-COLUMN($F$8))-$D21)/$F21)^2-2*(((COLUMN()-COLUMN($F$8))-$D21)/$F21)^3)))</f>
        <v>5866088.30729167</v>
      </c>
      <c r="AD21" s="1019" t="n">
        <f aca="false">IF(OR((COLUMN()-COLUMN($F$8))&lt;$D21,(COLUMN()-COLUMN($F$8))&gt;$E21),0,$C21*((3*(((COLUMN()-COLUMN($F$8))-$D21+1)/$F21)^2-2*(((COLUMN()-COLUMN($F$8))-$D21+1)/$F21)^3)-(3*(((COLUMN()-COLUMN($F$8))-$D21)/$F21)^2-2*(((COLUMN()-COLUMN($F$8))-$D21)/$F21)^3)))</f>
        <v>5866088.30729167</v>
      </c>
      <c r="AE21" s="1019" t="n">
        <f aca="false">IF(OR((COLUMN()-COLUMN($F$8))&lt;$D21,(COLUMN()-COLUMN($F$8))&gt;$E21),0,$C21*((3*(((COLUMN()-COLUMN($F$8))-$D21+1)/$F21)^2-2*(((COLUMN()-COLUMN($F$8))-$D21+1)/$F21)^3)-(3*(((COLUMN()-COLUMN($F$8))-$D21)/$F21)^2-2*(((COLUMN()-COLUMN($F$8))-$D21)/$F21)^3)))</f>
        <v>5537148.77604167</v>
      </c>
      <c r="AF21" s="1019" t="n">
        <f aca="false">IF(OR((COLUMN()-COLUMN($F$8))&lt;$D21,(COLUMN()-COLUMN($F$8))&gt;$E21),0,$C21*((3*(((COLUMN()-COLUMN($F$8))-$D21+1)/$F21)^2-2*(((COLUMN()-COLUMN($F$8))-$D21+1)/$F21)^3)-(3*(((COLUMN()-COLUMN($F$8))-$D21)/$F21)^2-2*(((COLUMN()-COLUMN($F$8))-$D21)/$F21)^3)))</f>
        <v>4879269.71354166</v>
      </c>
      <c r="AG21" s="1019" t="n">
        <f aca="false">IF(OR((COLUMN()-COLUMN($F$8))&lt;$D21,(COLUMN()-COLUMN($F$8))&gt;$E21),0,$C21*((3*(((COLUMN()-COLUMN($F$8))-$D21+1)/$F21)^2-2*(((COLUMN()-COLUMN($F$8))-$D21+1)/$F21)^3)-(3*(((COLUMN()-COLUMN($F$8))-$D21)/$F21)^2-2*(((COLUMN()-COLUMN($F$8))-$D21)/$F21)^3)))</f>
        <v>3892451.11979166</v>
      </c>
      <c r="AH21" s="1019" t="n">
        <f aca="false">IF(OR((COLUMN()-COLUMN($F$8))&lt;$D21,(COLUMN()-COLUMN($F$8))&gt;$E21),0,$C21*((3*(((COLUMN()-COLUMN($F$8))-$D21+1)/$F21)^2-2*(((COLUMN()-COLUMN($F$8))-$D21+1)/$F21)^3)-(3*(((COLUMN()-COLUMN($F$8))-$D21)/$F21)^2-2*(((COLUMN()-COLUMN($F$8))-$D21)/$F21)^3)))</f>
        <v>2576692.99479167</v>
      </c>
      <c r="AI21" s="1019" t="n">
        <f aca="false">IF(OR((COLUMN()-COLUMN($F$8))&lt;$D21,(COLUMN()-COLUMN($F$8))&gt;$E21),0,$C21*((3*(((COLUMN()-COLUMN($F$8))-$D21+1)/$F21)^2-2*(((COLUMN()-COLUMN($F$8))-$D21+1)/$F21)^3)-(3*(((COLUMN()-COLUMN($F$8))-$D21)/$F21)^2-2*(((COLUMN()-COLUMN($F$8))-$D21)/$F21)^3)))</f>
        <v>931995.338541672</v>
      </c>
      <c r="AJ21" s="1019" t="n">
        <f aca="false">IF(OR((COLUMN()-COLUMN($F$8))&lt;$D21,(COLUMN()-COLUMN($F$8))&gt;$E21),0,$C21*((3*(((COLUMN()-COLUMN($F$8))-$D21+1)/$F21)^2-2*(((COLUMN()-COLUMN($F$8))-$D21+1)/$F21)^3)-(3*(((COLUMN()-COLUMN($F$8))-$D21)/$F21)^2-2*(((COLUMN()-COLUMN($F$8))-$D21)/$F21)^3)))</f>
        <v>0</v>
      </c>
    </row>
    <row r="22" customFormat="false" ht="15" hidden="false" customHeight="true" outlineLevel="0" collapsed="false">
      <c r="A22" s="1013" t="s">
        <v>4900</v>
      </c>
      <c r="B22" s="1013"/>
      <c r="C22" s="1014" t="n">
        <f aca="false">'Construction Budget'!H742</f>
        <v>15750753.4249814</v>
      </c>
      <c r="D22" s="1013" t="n">
        <v>20</v>
      </c>
      <c r="E22" s="1013" t="n">
        <v>29</v>
      </c>
      <c r="F22" s="1013" t="n">
        <v>10</v>
      </c>
      <c r="G22" s="1015" t="n">
        <f aca="false">IF(OR((COLUMN()-COLUMN($F$8))&lt;$D22,(COLUMN()-COLUMN($F$8))&gt;$E22),0,$C22*((3*(((COLUMN()-COLUMN($F$8))-$D22+1)/$F22)^2-2*(((COLUMN()-COLUMN($F$8))-$D22+1)/$F22)^3)-(3*(((COLUMN()-COLUMN($F$8))-$D22)/$F22)^2-2*(((COLUMN()-COLUMN($F$8))-$D22)/$F22)^3)))</f>
        <v>0</v>
      </c>
      <c r="H22" s="1016" t="n">
        <f aca="false">IF(OR((COLUMN()-COLUMN($F$8))&lt;$D22,(COLUMN()-COLUMN($F$8))&gt;$E22),0,$C22*((3*(((COLUMN()-COLUMN($F$8))-$D22+1)/$F22)^2-2*(((COLUMN()-COLUMN($F$8))-$D22+1)/$F22)^3)-(3*(((COLUMN()-COLUMN($F$8))-$D22)/$F22)^2-2*(((COLUMN()-COLUMN($F$8))-$D22)/$F22)^3)))</f>
        <v>0</v>
      </c>
      <c r="I22" s="1016" t="n">
        <f aca="false">IF(OR((COLUMN()-COLUMN($F$8))&lt;$D22,(COLUMN()-COLUMN($F$8))&gt;$E22),0,$C22*((3*(((COLUMN()-COLUMN($F$8))-$D22+1)/$F22)^2-2*(((COLUMN()-COLUMN($F$8))-$D22+1)/$F22)^3)-(3*(((COLUMN()-COLUMN($F$8))-$D22)/$F22)^2-2*(((COLUMN()-COLUMN($F$8))-$D22)/$F22)^3)))</f>
        <v>0</v>
      </c>
      <c r="J22" s="1016" t="n">
        <f aca="false">IF(OR((COLUMN()-COLUMN($F$8))&lt;$D22,(COLUMN()-COLUMN($F$8))&gt;$E22),0,$C22*((3*(((COLUMN()-COLUMN($F$8))-$D22+1)/$F22)^2-2*(((COLUMN()-COLUMN($F$8))-$D22+1)/$F22)^3)-(3*(((COLUMN()-COLUMN($F$8))-$D22)/$F22)^2-2*(((COLUMN()-COLUMN($F$8))-$D22)/$F22)^3)))</f>
        <v>0</v>
      </c>
      <c r="K22" s="1016" t="n">
        <f aca="false">IF(OR((COLUMN()-COLUMN($F$8))&lt;$D22,(COLUMN()-COLUMN($F$8))&gt;$E22),0,$C22*((3*(((COLUMN()-COLUMN($F$8))-$D22+1)/$F22)^2-2*(((COLUMN()-COLUMN($F$8))-$D22+1)/$F22)^3)-(3*(((COLUMN()-COLUMN($F$8))-$D22)/$F22)^2-2*(((COLUMN()-COLUMN($F$8))-$D22)/$F22)^3)))</f>
        <v>0</v>
      </c>
      <c r="L22" s="1016" t="n">
        <f aca="false">IF(OR((COLUMN()-COLUMN($F$8))&lt;$D22,(COLUMN()-COLUMN($F$8))&gt;$E22),0,$C22*((3*(((COLUMN()-COLUMN($F$8))-$D22+1)/$F22)^2-2*(((COLUMN()-COLUMN($F$8))-$D22+1)/$F22)^3)-(3*(((COLUMN()-COLUMN($F$8))-$D22)/$F22)^2-2*(((COLUMN()-COLUMN($F$8))-$D22)/$F22)^3)))</f>
        <v>0</v>
      </c>
      <c r="M22" s="1016" t="n">
        <f aca="false">IF(OR((COLUMN()-COLUMN($F$8))&lt;$D22,(COLUMN()-COLUMN($F$8))&gt;$E22),0,$C22*((3*(((COLUMN()-COLUMN($F$8))-$D22+1)/$F22)^2-2*(((COLUMN()-COLUMN($F$8))-$D22+1)/$F22)^3)-(3*(((COLUMN()-COLUMN($F$8))-$D22)/$F22)^2-2*(((COLUMN()-COLUMN($F$8))-$D22)/$F22)^3)))</f>
        <v>0</v>
      </c>
      <c r="N22" s="1016" t="n">
        <f aca="false">IF(OR((COLUMN()-COLUMN($F$8))&lt;$D22,(COLUMN()-COLUMN($F$8))&gt;$E22),0,$C22*((3*(((COLUMN()-COLUMN($F$8))-$D22+1)/$F22)^2-2*(((COLUMN()-COLUMN($F$8))-$D22+1)/$F22)^3)-(3*(((COLUMN()-COLUMN($F$8))-$D22)/$F22)^2-2*(((COLUMN()-COLUMN($F$8))-$D22)/$F22)^3)))</f>
        <v>0</v>
      </c>
      <c r="O22" s="1016" t="n">
        <f aca="false">IF(OR((COLUMN()-COLUMN($F$8))&lt;$D22,(COLUMN()-COLUMN($F$8))&gt;$E22),0,$C22*((3*(((COLUMN()-COLUMN($F$8))-$D22+1)/$F22)^2-2*(((COLUMN()-COLUMN($F$8))-$D22+1)/$F22)^3)-(3*(((COLUMN()-COLUMN($F$8))-$D22)/$F22)^2-2*(((COLUMN()-COLUMN($F$8))-$D22)/$F22)^3)))</f>
        <v>0</v>
      </c>
      <c r="P22" s="1016" t="n">
        <f aca="false">IF(OR((COLUMN()-COLUMN($F$8))&lt;$D22,(COLUMN()-COLUMN($F$8))&gt;$E22),0,$C22*((3*(((COLUMN()-COLUMN($F$8))-$D22+1)/$F22)^2-2*(((COLUMN()-COLUMN($F$8))-$D22+1)/$F22)^3)-(3*(((COLUMN()-COLUMN($F$8))-$D22)/$F22)^2-2*(((COLUMN()-COLUMN($F$8))-$D22)/$F22)^3)))</f>
        <v>0</v>
      </c>
      <c r="Q22" s="1016" t="n">
        <f aca="false">IF(OR((COLUMN()-COLUMN($F$8))&lt;$D22,(COLUMN()-COLUMN($F$8))&gt;$E22),0,$C22*((3*(((COLUMN()-COLUMN($F$8))-$D22+1)/$F22)^2-2*(((COLUMN()-COLUMN($F$8))-$D22+1)/$F22)^3)-(3*(((COLUMN()-COLUMN($F$8))-$D22)/$F22)^2-2*(((COLUMN()-COLUMN($F$8))-$D22)/$F22)^3)))</f>
        <v>0</v>
      </c>
      <c r="R22" s="1016" t="n">
        <f aca="false">IF(OR((COLUMN()-COLUMN($F$8))&lt;$D22,(COLUMN()-COLUMN($F$8))&gt;$E22),0,$C22*((3*(((COLUMN()-COLUMN($F$8))-$D22+1)/$F22)^2-2*(((COLUMN()-COLUMN($F$8))-$D22+1)/$F22)^3)-(3*(((COLUMN()-COLUMN($F$8))-$D22)/$F22)^2-2*(((COLUMN()-COLUMN($F$8))-$D22)/$F22)^3)))</f>
        <v>0</v>
      </c>
      <c r="S22" s="1016" t="n">
        <f aca="false">IF(OR((COLUMN()-COLUMN($F$8))&lt;$D22,(COLUMN()-COLUMN($F$8))&gt;$E22),0,$C22*((3*(((COLUMN()-COLUMN($F$8))-$D22+1)/$F22)^2-2*(((COLUMN()-COLUMN($F$8))-$D22+1)/$F22)^3)-(3*(((COLUMN()-COLUMN($F$8))-$D22)/$F22)^2-2*(((COLUMN()-COLUMN($F$8))-$D22)/$F22)^3)))</f>
        <v>0</v>
      </c>
      <c r="T22" s="1016" t="n">
        <f aca="false">IF(OR((COLUMN()-COLUMN($F$8))&lt;$D22,(COLUMN()-COLUMN($F$8))&gt;$E22),0,$C22*((3*(((COLUMN()-COLUMN($F$8))-$D22+1)/$F22)^2-2*(((COLUMN()-COLUMN($F$8))-$D22+1)/$F22)^3)-(3*(((COLUMN()-COLUMN($F$8))-$D22)/$F22)^2-2*(((COLUMN()-COLUMN($F$8))-$D22)/$F22)^3)))</f>
        <v>0</v>
      </c>
      <c r="U22" s="1016" t="n">
        <f aca="false">IF(OR((COLUMN()-COLUMN($F$8))&lt;$D22,(COLUMN()-COLUMN($F$8))&gt;$E22),0,$C22*((3*(((COLUMN()-COLUMN($F$8))-$D22+1)/$F22)^2-2*(((COLUMN()-COLUMN($F$8))-$D22+1)/$F22)^3)-(3*(((COLUMN()-COLUMN($F$8))-$D22)/$F22)^2-2*(((COLUMN()-COLUMN($F$8))-$D22)/$F22)^3)))</f>
        <v>0</v>
      </c>
      <c r="V22" s="1016" t="n">
        <f aca="false">IF(OR((COLUMN()-COLUMN($F$8))&lt;$D22,(COLUMN()-COLUMN($F$8))&gt;$E22),0,$C22*((3*(((COLUMN()-COLUMN($F$8))-$D22+1)/$F22)^2-2*(((COLUMN()-COLUMN($F$8))-$D22+1)/$F22)^3)-(3*(((COLUMN()-COLUMN($F$8))-$D22)/$F22)^2-2*(((COLUMN()-COLUMN($F$8))-$D22)/$F22)^3)))</f>
        <v>0</v>
      </c>
      <c r="W22" s="1016" t="n">
        <f aca="false">IF(OR((COLUMN()-COLUMN($F$8))&lt;$D22,(COLUMN()-COLUMN($F$8))&gt;$E22),0,$C22*((3*(((COLUMN()-COLUMN($F$8))-$D22+1)/$F22)^2-2*(((COLUMN()-COLUMN($F$8))-$D22+1)/$F22)^3)-(3*(((COLUMN()-COLUMN($F$8))-$D22)/$F22)^2-2*(((COLUMN()-COLUMN($F$8))-$D22)/$F22)^3)))</f>
        <v>0</v>
      </c>
      <c r="X22" s="1016" t="n">
        <f aca="false">IF(OR((COLUMN()-COLUMN($F$8))&lt;$D22,(COLUMN()-COLUMN($F$8))&gt;$E22),0,$C22*((3*(((COLUMN()-COLUMN($F$8))-$D22+1)/$F22)^2-2*(((COLUMN()-COLUMN($F$8))-$D22+1)/$F22)^3)-(3*(((COLUMN()-COLUMN($F$8))-$D22)/$F22)^2-2*(((COLUMN()-COLUMN($F$8))-$D22)/$F22)^3)))</f>
        <v>0</v>
      </c>
      <c r="Y22" s="1016" t="n">
        <f aca="false">IF(OR((COLUMN()-COLUMN($F$8))&lt;$D22,(COLUMN()-COLUMN($F$8))&gt;$E22),0,$C22*((3*(((COLUMN()-COLUMN($F$8))-$D22+1)/$F22)^2-2*(((COLUMN()-COLUMN($F$8))-$D22+1)/$F22)^3)-(3*(((COLUMN()-COLUMN($F$8))-$D22)/$F22)^2-2*(((COLUMN()-COLUMN($F$8))-$D22)/$F22)^3)))</f>
        <v>0</v>
      </c>
      <c r="Z22" s="1016" t="n">
        <f aca="false">IF(OR((COLUMN()-COLUMN($F$8))&lt;$D22,(COLUMN()-COLUMN($F$8))&gt;$E22),0,$C22*((3*(((COLUMN()-COLUMN($F$8))-$D22+1)/$F22)^2-2*(((COLUMN()-COLUMN($F$8))-$D22+1)/$F22)^3)-(3*(((COLUMN()-COLUMN($F$8))-$D22)/$F22)^2-2*(((COLUMN()-COLUMN($F$8))-$D22)/$F22)^3)))</f>
        <v>441021.09589948</v>
      </c>
      <c r="AA22" s="1016" t="n">
        <f aca="false">IF(OR((COLUMN()-COLUMN($F$8))&lt;$D22,(COLUMN()-COLUMN($F$8))&gt;$E22),0,$C22*((3*(((COLUMN()-COLUMN($F$8))-$D22+1)/$F22)^2-2*(((COLUMN()-COLUMN($F$8))-$D22+1)/$F22)^3)-(3*(((COLUMN()-COLUMN($F$8))-$D22)/$F22)^2-2*(((COLUMN()-COLUMN($F$8))-$D22)/$F22)^3)))</f>
        <v>1197057.26029859</v>
      </c>
      <c r="AB22" s="1016" t="n">
        <f aca="false">IF(OR((COLUMN()-COLUMN($F$8))&lt;$D22,(COLUMN()-COLUMN($F$8))&gt;$E22),0,$C22*((3*(((COLUMN()-COLUMN($F$8))-$D22+1)/$F22)^2-2*(((COLUMN()-COLUMN($F$8))-$D22+1)/$F22)^3)-(3*(((COLUMN()-COLUMN($F$8))-$D22)/$F22)^2-2*(((COLUMN()-COLUMN($F$8))-$D22)/$F22)^3)))</f>
        <v>1764084.38359792</v>
      </c>
      <c r="AC22" s="1016" t="n">
        <f aca="false">IF(OR((COLUMN()-COLUMN($F$8))&lt;$D22,(COLUMN()-COLUMN($F$8))&gt;$E22),0,$C22*((3*(((COLUMN()-COLUMN($F$8))-$D22+1)/$F22)^2-2*(((COLUMN()-COLUMN($F$8))-$D22+1)/$F22)^3)-(3*(((COLUMN()-COLUMN($F$8))-$D22)/$F22)^2-2*(((COLUMN()-COLUMN($F$8))-$D22)/$F22)^3)))</f>
        <v>2142102.46579748</v>
      </c>
      <c r="AD22" s="1016" t="n">
        <f aca="false">IF(OR((COLUMN()-COLUMN($F$8))&lt;$D22,(COLUMN()-COLUMN($F$8))&gt;$E22),0,$C22*((3*(((COLUMN()-COLUMN($F$8))-$D22+1)/$F22)^2-2*(((COLUMN()-COLUMN($F$8))-$D22+1)/$F22)^3)-(3*(((COLUMN()-COLUMN($F$8))-$D22)/$F22)^2-2*(((COLUMN()-COLUMN($F$8))-$D22)/$F22)^3)))</f>
        <v>2331111.50689725</v>
      </c>
      <c r="AE22" s="1016" t="n">
        <f aca="false">IF(OR((COLUMN()-COLUMN($F$8))&lt;$D22,(COLUMN()-COLUMN($F$8))&gt;$E22),0,$C22*((3*(((COLUMN()-COLUMN($F$8))-$D22+1)/$F22)^2-2*(((COLUMN()-COLUMN($F$8))-$D22+1)/$F22)^3)-(3*(((COLUMN()-COLUMN($F$8))-$D22)/$F22)^2-2*(((COLUMN()-COLUMN($F$8))-$D22)/$F22)^3)))</f>
        <v>2331111.50689725</v>
      </c>
      <c r="AF22" s="1016" t="n">
        <f aca="false">IF(OR((COLUMN()-COLUMN($F$8))&lt;$D22,(COLUMN()-COLUMN($F$8))&gt;$E22),0,$C22*((3*(((COLUMN()-COLUMN($F$8))-$D22+1)/$F22)^2-2*(((COLUMN()-COLUMN($F$8))-$D22+1)/$F22)^3)-(3*(((COLUMN()-COLUMN($F$8))-$D22)/$F22)^2-2*(((COLUMN()-COLUMN($F$8))-$D22)/$F22)^3)))</f>
        <v>2142102.46579747</v>
      </c>
      <c r="AG22" s="1016" t="n">
        <f aca="false">IF(OR((COLUMN()-COLUMN($F$8))&lt;$D22,(COLUMN()-COLUMN($F$8))&gt;$E22),0,$C22*((3*(((COLUMN()-COLUMN($F$8))-$D22+1)/$F22)^2-2*(((COLUMN()-COLUMN($F$8))-$D22+1)/$F22)^3)-(3*(((COLUMN()-COLUMN($F$8))-$D22)/$F22)^2-2*(((COLUMN()-COLUMN($F$8))-$D22)/$F22)^3)))</f>
        <v>1764084.38359792</v>
      </c>
      <c r="AH22" s="1016" t="n">
        <f aca="false">IF(OR((COLUMN()-COLUMN($F$8))&lt;$D22,(COLUMN()-COLUMN($F$8))&gt;$E22),0,$C22*((3*(((COLUMN()-COLUMN($F$8))-$D22+1)/$F22)^2-2*(((COLUMN()-COLUMN($F$8))-$D22+1)/$F22)^3)-(3*(((COLUMN()-COLUMN($F$8))-$D22)/$F22)^2-2*(((COLUMN()-COLUMN($F$8))-$D22)/$F22)^3)))</f>
        <v>1197057.26029859</v>
      </c>
      <c r="AI22" s="1016" t="n">
        <f aca="false">IF(OR((COLUMN()-COLUMN($F$8))&lt;$D22,(COLUMN()-COLUMN($F$8))&gt;$E22),0,$C22*((3*(((COLUMN()-COLUMN($F$8))-$D22+1)/$F22)^2-2*(((COLUMN()-COLUMN($F$8))-$D22+1)/$F22)^3)-(3*(((COLUMN()-COLUMN($F$8))-$D22)/$F22)^2-2*(((COLUMN()-COLUMN($F$8))-$D22)/$F22)^3)))</f>
        <v>441021.095899481</v>
      </c>
      <c r="AJ22" s="1016" t="n">
        <f aca="false">IF(OR((COLUMN()-COLUMN($F$8))&lt;$D22,(COLUMN()-COLUMN($F$8))&gt;$E22),0,$C22*((3*(((COLUMN()-COLUMN($F$8))-$D22+1)/$F22)^2-2*(((COLUMN()-COLUMN($F$8))-$D22+1)/$F22)^3)-(3*(((COLUMN()-COLUMN($F$8))-$D22)/$F22)^2-2*(((COLUMN()-COLUMN($F$8))-$D22)/$F22)^3)))</f>
        <v>0</v>
      </c>
    </row>
    <row r="23" customFormat="false" ht="15" hidden="false" customHeight="true" outlineLevel="0" collapsed="false">
      <c r="A23" s="1" t="s">
        <v>4901</v>
      </c>
      <c r="B23" s="1" t="s">
        <v>4902</v>
      </c>
      <c r="C23" s="1017" t="n">
        <f aca="false">'Construction Budget'!H714</f>
        <v>60417387.7013327</v>
      </c>
      <c r="D23" s="1" t="n">
        <v>23</v>
      </c>
      <c r="E23" s="1" t="n">
        <v>30</v>
      </c>
      <c r="F23" s="1" t="n">
        <v>8</v>
      </c>
      <c r="G23" s="1018" t="n">
        <f aca="false">IF(OR((COLUMN()-COLUMN($F$8))&lt;$D23,(COLUMN()-COLUMN($F$8))&gt;$E23),0,$C23*((3*(((COLUMN()-COLUMN($F$8))-$D23+1)/$F23)^2-2*(((COLUMN()-COLUMN($F$8))-$D23+1)/$F23)^3)-(3*(((COLUMN()-COLUMN($F$8))-$D23)/$F23)^2-2*(((COLUMN()-COLUMN($F$8))-$D23)/$F23)^3)))</f>
        <v>0</v>
      </c>
      <c r="H23" s="1019" t="n">
        <f aca="false">IF(OR((COLUMN()-COLUMN($F$8))&lt;$D23,(COLUMN()-COLUMN($F$8))&gt;$E23),0,$C23*((3*(((COLUMN()-COLUMN($F$8))-$D23+1)/$F23)^2-2*(((COLUMN()-COLUMN($F$8))-$D23+1)/$F23)^3)-(3*(((COLUMN()-COLUMN($F$8))-$D23)/$F23)^2-2*(((COLUMN()-COLUMN($F$8))-$D23)/$F23)^3)))</f>
        <v>0</v>
      </c>
      <c r="I23" s="1019" t="n">
        <f aca="false">IF(OR((COLUMN()-COLUMN($F$8))&lt;$D23,(COLUMN()-COLUMN($F$8))&gt;$E23),0,$C23*((3*(((COLUMN()-COLUMN($F$8))-$D23+1)/$F23)^2-2*(((COLUMN()-COLUMN($F$8))-$D23+1)/$F23)^3)-(3*(((COLUMN()-COLUMN($F$8))-$D23)/$F23)^2-2*(((COLUMN()-COLUMN($F$8))-$D23)/$F23)^3)))</f>
        <v>0</v>
      </c>
      <c r="J23" s="1019" t="n">
        <f aca="false">IF(OR((COLUMN()-COLUMN($F$8))&lt;$D23,(COLUMN()-COLUMN($F$8))&gt;$E23),0,$C23*((3*(((COLUMN()-COLUMN($F$8))-$D23+1)/$F23)^2-2*(((COLUMN()-COLUMN($F$8))-$D23+1)/$F23)^3)-(3*(((COLUMN()-COLUMN($F$8))-$D23)/$F23)^2-2*(((COLUMN()-COLUMN($F$8))-$D23)/$F23)^3)))</f>
        <v>0</v>
      </c>
      <c r="K23" s="1019" t="n">
        <f aca="false">IF(OR((COLUMN()-COLUMN($F$8))&lt;$D23,(COLUMN()-COLUMN($F$8))&gt;$E23),0,$C23*((3*(((COLUMN()-COLUMN($F$8))-$D23+1)/$F23)^2-2*(((COLUMN()-COLUMN($F$8))-$D23+1)/$F23)^3)-(3*(((COLUMN()-COLUMN($F$8))-$D23)/$F23)^2-2*(((COLUMN()-COLUMN($F$8))-$D23)/$F23)^3)))</f>
        <v>0</v>
      </c>
      <c r="L23" s="1019" t="n">
        <f aca="false">IF(OR((COLUMN()-COLUMN($F$8))&lt;$D23,(COLUMN()-COLUMN($F$8))&gt;$E23),0,$C23*((3*(((COLUMN()-COLUMN($F$8))-$D23+1)/$F23)^2-2*(((COLUMN()-COLUMN($F$8))-$D23+1)/$F23)^3)-(3*(((COLUMN()-COLUMN($F$8))-$D23)/$F23)^2-2*(((COLUMN()-COLUMN($F$8))-$D23)/$F23)^3)))</f>
        <v>0</v>
      </c>
      <c r="M23" s="1019" t="n">
        <f aca="false">IF(OR((COLUMN()-COLUMN($F$8))&lt;$D23,(COLUMN()-COLUMN($F$8))&gt;$E23),0,$C23*((3*(((COLUMN()-COLUMN($F$8))-$D23+1)/$F23)^2-2*(((COLUMN()-COLUMN($F$8))-$D23+1)/$F23)^3)-(3*(((COLUMN()-COLUMN($F$8))-$D23)/$F23)^2-2*(((COLUMN()-COLUMN($F$8))-$D23)/$F23)^3)))</f>
        <v>0</v>
      </c>
      <c r="N23" s="1019" t="n">
        <f aca="false">IF(OR((COLUMN()-COLUMN($F$8))&lt;$D23,(COLUMN()-COLUMN($F$8))&gt;$E23),0,$C23*((3*(((COLUMN()-COLUMN($F$8))-$D23+1)/$F23)^2-2*(((COLUMN()-COLUMN($F$8))-$D23+1)/$F23)^3)-(3*(((COLUMN()-COLUMN($F$8))-$D23)/$F23)^2-2*(((COLUMN()-COLUMN($F$8))-$D23)/$F23)^3)))</f>
        <v>0</v>
      </c>
      <c r="O23" s="1019" t="n">
        <f aca="false">IF(OR((COLUMN()-COLUMN($F$8))&lt;$D23,(COLUMN()-COLUMN($F$8))&gt;$E23),0,$C23*((3*(((COLUMN()-COLUMN($F$8))-$D23+1)/$F23)^2-2*(((COLUMN()-COLUMN($F$8))-$D23+1)/$F23)^3)-(3*(((COLUMN()-COLUMN($F$8))-$D23)/$F23)^2-2*(((COLUMN()-COLUMN($F$8))-$D23)/$F23)^3)))</f>
        <v>0</v>
      </c>
      <c r="P23" s="1019" t="n">
        <f aca="false">IF(OR((COLUMN()-COLUMN($F$8))&lt;$D23,(COLUMN()-COLUMN($F$8))&gt;$E23),0,$C23*((3*(((COLUMN()-COLUMN($F$8))-$D23+1)/$F23)^2-2*(((COLUMN()-COLUMN($F$8))-$D23+1)/$F23)^3)-(3*(((COLUMN()-COLUMN($F$8))-$D23)/$F23)^2-2*(((COLUMN()-COLUMN($F$8))-$D23)/$F23)^3)))</f>
        <v>0</v>
      </c>
      <c r="Q23" s="1019" t="n">
        <f aca="false">IF(OR((COLUMN()-COLUMN($F$8))&lt;$D23,(COLUMN()-COLUMN($F$8))&gt;$E23),0,$C23*((3*(((COLUMN()-COLUMN($F$8))-$D23+1)/$F23)^2-2*(((COLUMN()-COLUMN($F$8))-$D23+1)/$F23)^3)-(3*(((COLUMN()-COLUMN($F$8))-$D23)/$F23)^2-2*(((COLUMN()-COLUMN($F$8))-$D23)/$F23)^3)))</f>
        <v>0</v>
      </c>
      <c r="R23" s="1019" t="n">
        <f aca="false">IF(OR((COLUMN()-COLUMN($F$8))&lt;$D23,(COLUMN()-COLUMN($F$8))&gt;$E23),0,$C23*((3*(((COLUMN()-COLUMN($F$8))-$D23+1)/$F23)^2-2*(((COLUMN()-COLUMN($F$8))-$D23+1)/$F23)^3)-(3*(((COLUMN()-COLUMN($F$8))-$D23)/$F23)^2-2*(((COLUMN()-COLUMN($F$8))-$D23)/$F23)^3)))</f>
        <v>0</v>
      </c>
      <c r="S23" s="1019" t="n">
        <f aca="false">IF(OR((COLUMN()-COLUMN($F$8))&lt;$D23,(COLUMN()-COLUMN($F$8))&gt;$E23),0,$C23*((3*(((COLUMN()-COLUMN($F$8))-$D23+1)/$F23)^2-2*(((COLUMN()-COLUMN($F$8))-$D23+1)/$F23)^3)-(3*(((COLUMN()-COLUMN($F$8))-$D23)/$F23)^2-2*(((COLUMN()-COLUMN($F$8))-$D23)/$F23)^3)))</f>
        <v>0</v>
      </c>
      <c r="T23" s="1019" t="n">
        <f aca="false">IF(OR((COLUMN()-COLUMN($F$8))&lt;$D23,(COLUMN()-COLUMN($F$8))&gt;$E23),0,$C23*((3*(((COLUMN()-COLUMN($F$8))-$D23+1)/$F23)^2-2*(((COLUMN()-COLUMN($F$8))-$D23+1)/$F23)^3)-(3*(((COLUMN()-COLUMN($F$8))-$D23)/$F23)^2-2*(((COLUMN()-COLUMN($F$8))-$D23)/$F23)^3)))</f>
        <v>0</v>
      </c>
      <c r="U23" s="1019" t="n">
        <f aca="false">IF(OR((COLUMN()-COLUMN($F$8))&lt;$D23,(COLUMN()-COLUMN($F$8))&gt;$E23),0,$C23*((3*(((COLUMN()-COLUMN($F$8))-$D23+1)/$F23)^2-2*(((COLUMN()-COLUMN($F$8))-$D23+1)/$F23)^3)-(3*(((COLUMN()-COLUMN($F$8))-$D23)/$F23)^2-2*(((COLUMN()-COLUMN($F$8))-$D23)/$F23)^3)))</f>
        <v>0</v>
      </c>
      <c r="V23" s="1019" t="n">
        <f aca="false">IF(OR((COLUMN()-COLUMN($F$8))&lt;$D23,(COLUMN()-COLUMN($F$8))&gt;$E23),0,$C23*((3*(((COLUMN()-COLUMN($F$8))-$D23+1)/$F23)^2-2*(((COLUMN()-COLUMN($F$8))-$D23+1)/$F23)^3)-(3*(((COLUMN()-COLUMN($F$8))-$D23)/$F23)^2-2*(((COLUMN()-COLUMN($F$8))-$D23)/$F23)^3)))</f>
        <v>0</v>
      </c>
      <c r="W23" s="1019" t="n">
        <f aca="false">IF(OR((COLUMN()-COLUMN($F$8))&lt;$D23,(COLUMN()-COLUMN($F$8))&gt;$E23),0,$C23*((3*(((COLUMN()-COLUMN($F$8))-$D23+1)/$F23)^2-2*(((COLUMN()-COLUMN($F$8))-$D23+1)/$F23)^3)-(3*(((COLUMN()-COLUMN($F$8))-$D23)/$F23)^2-2*(((COLUMN()-COLUMN($F$8))-$D23)/$F23)^3)))</f>
        <v>0</v>
      </c>
      <c r="X23" s="1019" t="n">
        <f aca="false">IF(OR((COLUMN()-COLUMN($F$8))&lt;$D23,(COLUMN()-COLUMN($F$8))&gt;$E23),0,$C23*((3*(((COLUMN()-COLUMN($F$8))-$D23+1)/$F23)^2-2*(((COLUMN()-COLUMN($F$8))-$D23+1)/$F23)^3)-(3*(((COLUMN()-COLUMN($F$8))-$D23)/$F23)^2-2*(((COLUMN()-COLUMN($F$8))-$D23)/$F23)^3)))</f>
        <v>0</v>
      </c>
      <c r="Y23" s="1019" t="n">
        <f aca="false">IF(OR((COLUMN()-COLUMN($F$8))&lt;$D23,(COLUMN()-COLUMN($F$8))&gt;$E23),0,$C23*((3*(((COLUMN()-COLUMN($F$8))-$D23+1)/$F23)^2-2*(((COLUMN()-COLUMN($F$8))-$D23+1)/$F23)^3)-(3*(((COLUMN()-COLUMN($F$8))-$D23)/$F23)^2-2*(((COLUMN()-COLUMN($F$8))-$D23)/$F23)^3)))</f>
        <v>0</v>
      </c>
      <c r="Z23" s="1019" t="n">
        <f aca="false">IF(OR((COLUMN()-COLUMN($F$8))&lt;$D23,(COLUMN()-COLUMN($F$8))&gt;$E23),0,$C23*((3*(((COLUMN()-COLUMN($F$8))-$D23+1)/$F23)^2-2*(((COLUMN()-COLUMN($F$8))-$D23+1)/$F23)^3)-(3*(((COLUMN()-COLUMN($F$8))-$D23)/$F23)^2-2*(((COLUMN()-COLUMN($F$8))-$D23)/$F23)^3)))</f>
        <v>0</v>
      </c>
      <c r="AA23" s="1019" t="n">
        <f aca="false">IF(OR((COLUMN()-COLUMN($F$8))&lt;$D23,(COLUMN()-COLUMN($F$8))&gt;$E23),0,$C23*((3*(((COLUMN()-COLUMN($F$8))-$D23+1)/$F23)^2-2*(((COLUMN()-COLUMN($F$8))-$D23+1)/$F23)^3)-(3*(((COLUMN()-COLUMN($F$8))-$D23)/$F23)^2-2*(((COLUMN()-COLUMN($F$8))-$D23)/$F23)^3)))</f>
        <v>0</v>
      </c>
      <c r="AB23" s="1019" t="n">
        <f aca="false">IF(OR((COLUMN()-COLUMN($F$8))&lt;$D23,(COLUMN()-COLUMN($F$8))&gt;$E23),0,$C23*((3*(((COLUMN()-COLUMN($F$8))-$D23+1)/$F23)^2-2*(((COLUMN()-COLUMN($F$8))-$D23+1)/$F23)^3)-(3*(((COLUMN()-COLUMN($F$8))-$D23)/$F23)^2-2*(((COLUMN()-COLUMN($F$8))-$D23)/$F23)^3)))</f>
        <v>0</v>
      </c>
      <c r="AC23" s="1019" t="n">
        <f aca="false">IF(OR((COLUMN()-COLUMN($F$8))&lt;$D23,(COLUMN()-COLUMN($F$8))&gt;$E23),0,$C23*((3*(((COLUMN()-COLUMN($F$8))-$D23+1)/$F23)^2-2*(((COLUMN()-COLUMN($F$8))-$D23+1)/$F23)^3)-(3*(((COLUMN()-COLUMN($F$8))-$D23)/$F23)^2-2*(((COLUMN()-COLUMN($F$8))-$D23)/$F23)^3)))</f>
        <v>2596059.62779164</v>
      </c>
      <c r="AD23" s="1019" t="n">
        <f aca="false">IF(OR((COLUMN()-COLUMN($F$8))&lt;$D23,(COLUMN()-COLUMN($F$8))&gt;$E23),0,$C23*((3*(((COLUMN()-COLUMN($F$8))-$D23+1)/$F23)^2-2*(((COLUMN()-COLUMN($F$8))-$D23+1)/$F23)^3)-(3*(((COLUMN()-COLUMN($F$8))-$D23)/$F23)^2-2*(((COLUMN()-COLUMN($F$8))-$D23)/$F23)^3)))</f>
        <v>6844157.20054159</v>
      </c>
      <c r="AE23" s="1019" t="n">
        <f aca="false">IF(OR((COLUMN()-COLUMN($F$8))&lt;$D23,(COLUMN()-COLUMN($F$8))&gt;$E23),0,$C23*((3*(((COLUMN()-COLUMN($F$8))-$D23+1)/$F23)^2-2*(((COLUMN()-COLUMN($F$8))-$D23+1)/$F23)^3)-(3*(((COLUMN()-COLUMN($F$8))-$D23)/$F23)^2-2*(((COLUMN()-COLUMN($F$8))-$D23)/$F23)^3)))</f>
        <v>9676222.24904157</v>
      </c>
      <c r="AF23" s="1019" t="n">
        <f aca="false">IF(OR((COLUMN()-COLUMN($F$8))&lt;$D23,(COLUMN()-COLUMN($F$8))&gt;$E23),0,$C23*((3*(((COLUMN()-COLUMN($F$8))-$D23+1)/$F23)^2-2*(((COLUMN()-COLUMN($F$8))-$D23+1)/$F23)^3)-(3*(((COLUMN()-COLUMN($F$8))-$D23)/$F23)^2-2*(((COLUMN()-COLUMN($F$8))-$D23)/$F23)^3)))</f>
        <v>11092254.7732915</v>
      </c>
      <c r="AG23" s="1019" t="n">
        <f aca="false">IF(OR((COLUMN()-COLUMN($F$8))&lt;$D23,(COLUMN()-COLUMN($F$8))&gt;$E23),0,$C23*((3*(((COLUMN()-COLUMN($F$8))-$D23+1)/$F23)^2-2*(((COLUMN()-COLUMN($F$8))-$D23+1)/$F23)^3)-(3*(((COLUMN()-COLUMN($F$8))-$D23)/$F23)^2-2*(((COLUMN()-COLUMN($F$8))-$D23)/$F23)^3)))</f>
        <v>11092254.7732915</v>
      </c>
      <c r="AH23" s="1019" t="n">
        <f aca="false">IF(OR((COLUMN()-COLUMN($F$8))&lt;$D23,(COLUMN()-COLUMN($F$8))&gt;$E23),0,$C23*((3*(((COLUMN()-COLUMN($F$8))-$D23+1)/$F23)^2-2*(((COLUMN()-COLUMN($F$8))-$D23+1)/$F23)^3)-(3*(((COLUMN()-COLUMN($F$8))-$D23)/$F23)^2-2*(((COLUMN()-COLUMN($F$8))-$D23)/$F23)^3)))</f>
        <v>9676222.24904157</v>
      </c>
      <c r="AI23" s="1019" t="n">
        <f aca="false">IF(OR((COLUMN()-COLUMN($F$8))&lt;$D23,(COLUMN()-COLUMN($F$8))&gt;$E23),0,$C23*((3*(((COLUMN()-COLUMN($F$8))-$D23+1)/$F23)^2-2*(((COLUMN()-COLUMN($F$8))-$D23+1)/$F23)^3)-(3*(((COLUMN()-COLUMN($F$8))-$D23)/$F23)^2-2*(((COLUMN()-COLUMN($F$8))-$D23)/$F23)^3)))</f>
        <v>6844157.20054159</v>
      </c>
      <c r="AJ23" s="1019" t="n">
        <f aca="false">IF(OR((COLUMN()-COLUMN($F$8))&lt;$D23,(COLUMN()-COLUMN($F$8))&gt;$E23),0,$C23*((3*(((COLUMN()-COLUMN($F$8))-$D23+1)/$F23)^2-2*(((COLUMN()-COLUMN($F$8))-$D23+1)/$F23)^3)-(3*(((COLUMN()-COLUMN($F$8))-$D23)/$F23)^2-2*(((COLUMN()-COLUMN($F$8))-$D23)/$F23)^3)))</f>
        <v>2596059.62779164</v>
      </c>
    </row>
    <row r="24" customFormat="false" ht="15" hidden="false" customHeight="true" outlineLevel="0" collapsed="false">
      <c r="A24" s="1013" t="s">
        <v>4903</v>
      </c>
      <c r="B24" s="1013"/>
      <c r="C24" s="1014" t="n">
        <f aca="false">'Construction Budget'!H58</f>
        <v>42983030.6038756</v>
      </c>
      <c r="D24" s="1013" t="n">
        <v>1</v>
      </c>
      <c r="E24" s="1013" t="n">
        <v>30</v>
      </c>
      <c r="F24" s="1013" t="n">
        <v>30</v>
      </c>
      <c r="G24" s="1015" t="n">
        <f aca="false">IF(AND((COLUMN()-COLUMN($F$8))&gt;=$D24,(COLUMN()-COLUMN($F$8))&lt;=$E24),$C24/$F24,0)</f>
        <v>1432767.68679585</v>
      </c>
      <c r="H24" s="1016" t="n">
        <f aca="false">IF(AND((COLUMN()-COLUMN($F$8))&gt;=$D24,(COLUMN()-COLUMN($F$8))&lt;=$E24),$C24/$F24,0)</f>
        <v>1432767.68679585</v>
      </c>
      <c r="I24" s="1016" t="n">
        <f aca="false">IF(AND((COLUMN()-COLUMN($F$8))&gt;=$D24,(COLUMN()-COLUMN($F$8))&lt;=$E24),$C24/$F24,0)</f>
        <v>1432767.68679585</v>
      </c>
      <c r="J24" s="1016" t="n">
        <f aca="false">IF(AND((COLUMN()-COLUMN($F$8))&gt;=$D24,(COLUMN()-COLUMN($F$8))&lt;=$E24),$C24/$F24,0)</f>
        <v>1432767.68679585</v>
      </c>
      <c r="K24" s="1016" t="n">
        <f aca="false">IF(AND((COLUMN()-COLUMN($F$8))&gt;=$D24,(COLUMN()-COLUMN($F$8))&lt;=$E24),$C24/$F24,0)</f>
        <v>1432767.68679585</v>
      </c>
      <c r="L24" s="1016" t="n">
        <f aca="false">IF(AND((COLUMN()-COLUMN($F$8))&gt;=$D24,(COLUMN()-COLUMN($F$8))&lt;=$E24),$C24/$F24,0)</f>
        <v>1432767.68679585</v>
      </c>
      <c r="M24" s="1016" t="n">
        <f aca="false">IF(AND((COLUMN()-COLUMN($F$8))&gt;=$D24,(COLUMN()-COLUMN($F$8))&lt;=$E24),$C24/$F24,0)</f>
        <v>1432767.68679585</v>
      </c>
      <c r="N24" s="1016" t="n">
        <f aca="false">IF(AND((COLUMN()-COLUMN($F$8))&gt;=$D24,(COLUMN()-COLUMN($F$8))&lt;=$E24),$C24/$F24,0)</f>
        <v>1432767.68679585</v>
      </c>
      <c r="O24" s="1016" t="n">
        <f aca="false">IF(AND((COLUMN()-COLUMN($F$8))&gt;=$D24,(COLUMN()-COLUMN($F$8))&lt;=$E24),$C24/$F24,0)</f>
        <v>1432767.68679585</v>
      </c>
      <c r="P24" s="1016" t="n">
        <f aca="false">IF(AND((COLUMN()-COLUMN($F$8))&gt;=$D24,(COLUMN()-COLUMN($F$8))&lt;=$E24),$C24/$F24,0)</f>
        <v>1432767.68679585</v>
      </c>
      <c r="Q24" s="1016" t="n">
        <f aca="false">IF(AND((COLUMN()-COLUMN($F$8))&gt;=$D24,(COLUMN()-COLUMN($F$8))&lt;=$E24),$C24/$F24,0)</f>
        <v>1432767.68679585</v>
      </c>
      <c r="R24" s="1016" t="n">
        <f aca="false">IF(AND((COLUMN()-COLUMN($F$8))&gt;=$D24,(COLUMN()-COLUMN($F$8))&lt;=$E24),$C24/$F24,0)</f>
        <v>1432767.68679585</v>
      </c>
      <c r="S24" s="1016" t="n">
        <f aca="false">IF(AND((COLUMN()-COLUMN($F$8))&gt;=$D24,(COLUMN()-COLUMN($F$8))&lt;=$E24),$C24/$F24,0)</f>
        <v>1432767.68679585</v>
      </c>
      <c r="T24" s="1016" t="n">
        <f aca="false">IF(AND((COLUMN()-COLUMN($F$8))&gt;=$D24,(COLUMN()-COLUMN($F$8))&lt;=$E24),$C24/$F24,0)</f>
        <v>1432767.68679585</v>
      </c>
      <c r="U24" s="1016" t="n">
        <f aca="false">IF(AND((COLUMN()-COLUMN($F$8))&gt;=$D24,(COLUMN()-COLUMN($F$8))&lt;=$E24),$C24/$F24,0)</f>
        <v>1432767.68679585</v>
      </c>
      <c r="V24" s="1016" t="n">
        <f aca="false">IF(AND((COLUMN()-COLUMN($F$8))&gt;=$D24,(COLUMN()-COLUMN($F$8))&lt;=$E24),$C24/$F24,0)</f>
        <v>1432767.68679585</v>
      </c>
      <c r="W24" s="1016" t="n">
        <f aca="false">IF(AND((COLUMN()-COLUMN($F$8))&gt;=$D24,(COLUMN()-COLUMN($F$8))&lt;=$E24),$C24/$F24,0)</f>
        <v>1432767.68679585</v>
      </c>
      <c r="X24" s="1016" t="n">
        <f aca="false">IF(AND((COLUMN()-COLUMN($F$8))&gt;=$D24,(COLUMN()-COLUMN($F$8))&lt;=$E24),$C24/$F24,0)</f>
        <v>1432767.68679585</v>
      </c>
      <c r="Y24" s="1016" t="n">
        <f aca="false">IF(AND((COLUMN()-COLUMN($F$8))&gt;=$D24,(COLUMN()-COLUMN($F$8))&lt;=$E24),$C24/$F24,0)</f>
        <v>1432767.68679585</v>
      </c>
      <c r="Z24" s="1016" t="n">
        <f aca="false">IF(AND((COLUMN()-COLUMN($F$8))&gt;=$D24,(COLUMN()-COLUMN($F$8))&lt;=$E24),$C24/$F24,0)</f>
        <v>1432767.68679585</v>
      </c>
      <c r="AA24" s="1016" t="n">
        <f aca="false">IF(AND((COLUMN()-COLUMN($F$8))&gt;=$D24,(COLUMN()-COLUMN($F$8))&lt;=$E24),$C24/$F24,0)</f>
        <v>1432767.68679585</v>
      </c>
      <c r="AB24" s="1016" t="n">
        <f aca="false">IF(AND((COLUMN()-COLUMN($F$8))&gt;=$D24,(COLUMN()-COLUMN($F$8))&lt;=$E24),$C24/$F24,0)</f>
        <v>1432767.68679585</v>
      </c>
      <c r="AC24" s="1016" t="n">
        <f aca="false">IF(AND((COLUMN()-COLUMN($F$8))&gt;=$D24,(COLUMN()-COLUMN($F$8))&lt;=$E24),$C24/$F24,0)</f>
        <v>1432767.68679585</v>
      </c>
      <c r="AD24" s="1016" t="n">
        <f aca="false">IF(AND((COLUMN()-COLUMN($F$8))&gt;=$D24,(COLUMN()-COLUMN($F$8))&lt;=$E24),$C24/$F24,0)</f>
        <v>1432767.68679585</v>
      </c>
      <c r="AE24" s="1016" t="n">
        <f aca="false">IF(AND((COLUMN()-COLUMN($F$8))&gt;=$D24,(COLUMN()-COLUMN($F$8))&lt;=$E24),$C24/$F24,0)</f>
        <v>1432767.68679585</v>
      </c>
      <c r="AF24" s="1016" t="n">
        <f aca="false">IF(AND((COLUMN()-COLUMN($F$8))&gt;=$D24,(COLUMN()-COLUMN($F$8))&lt;=$E24),$C24/$F24,0)</f>
        <v>1432767.68679585</v>
      </c>
      <c r="AG24" s="1016" t="n">
        <f aca="false">IF(AND((COLUMN()-COLUMN($F$8))&gt;=$D24,(COLUMN()-COLUMN($F$8))&lt;=$E24),$C24/$F24,0)</f>
        <v>1432767.68679585</v>
      </c>
      <c r="AH24" s="1016" t="n">
        <f aca="false">IF(AND((COLUMN()-COLUMN($F$8))&gt;=$D24,(COLUMN()-COLUMN($F$8))&lt;=$E24),$C24/$F24,0)</f>
        <v>1432767.68679585</v>
      </c>
      <c r="AI24" s="1016" t="n">
        <f aca="false">IF(AND((COLUMN()-COLUMN($F$8))&gt;=$D24,(COLUMN()-COLUMN($F$8))&lt;=$E24),$C24/$F24,0)</f>
        <v>1432767.68679585</v>
      </c>
      <c r="AJ24" s="1016" t="n">
        <f aca="false">IF(AND((COLUMN()-COLUMN($F$8))&gt;=$D24,(COLUMN()-COLUMN($F$8))&lt;=$E24),$C24/$F24,0)</f>
        <v>1432767.68679585</v>
      </c>
    </row>
    <row r="25" customFormat="false" ht="15" hidden="false" customHeight="true" outlineLevel="0" collapsed="false">
      <c r="A25" s="1" t="s">
        <v>4904</v>
      </c>
      <c r="C25" s="1017" t="n">
        <f aca="false">'Construction Budget'!H37</f>
        <v>113098590</v>
      </c>
      <c r="D25" s="1" t="n">
        <v>1</v>
      </c>
      <c r="E25" s="1" t="n">
        <v>30</v>
      </c>
      <c r="F25" s="1" t="n">
        <v>30</v>
      </c>
      <c r="G25" s="1018" t="n">
        <f aca="false">IF(AND((COLUMN()-COLUMN($F$8))&gt;=$D25,(COLUMN()-COLUMN($F$8))&lt;=$E25),$C25*($E25+1-(COLUMN()-COLUMN($F$8)))/($F25*($F25+1)/2),0)</f>
        <v>7296683.22580645</v>
      </c>
      <c r="H25" s="1019" t="n">
        <f aca="false">IF(AND((COLUMN()-COLUMN($F$8))&gt;=$D25,(COLUMN()-COLUMN($F$8))&lt;=$E25),$C25*($E25+1-(COLUMN()-COLUMN($F$8)))/($F25*($F25+1)/2),0)</f>
        <v>7053460.4516129</v>
      </c>
      <c r="I25" s="1019" t="n">
        <f aca="false">IF(AND((COLUMN()-COLUMN($F$8))&gt;=$D25,(COLUMN()-COLUMN($F$8))&lt;=$E25),$C25*($E25+1-(COLUMN()-COLUMN($F$8)))/($F25*($F25+1)/2),0)</f>
        <v>6810237.67741936</v>
      </c>
      <c r="J25" s="1019" t="n">
        <f aca="false">IF(AND((COLUMN()-COLUMN($F$8))&gt;=$D25,(COLUMN()-COLUMN($F$8))&lt;=$E25),$C25*($E25+1-(COLUMN()-COLUMN($F$8)))/($F25*($F25+1)/2),0)</f>
        <v>6567014.90322581</v>
      </c>
      <c r="K25" s="1019" t="n">
        <f aca="false">IF(AND((COLUMN()-COLUMN($F$8))&gt;=$D25,(COLUMN()-COLUMN($F$8))&lt;=$E25),$C25*($E25+1-(COLUMN()-COLUMN($F$8)))/($F25*($F25+1)/2),0)</f>
        <v>6323792.12903226</v>
      </c>
      <c r="L25" s="1019" t="n">
        <f aca="false">IF(AND((COLUMN()-COLUMN($F$8))&gt;=$D25,(COLUMN()-COLUMN($F$8))&lt;=$E25),$C25*($E25+1-(COLUMN()-COLUMN($F$8)))/($F25*($F25+1)/2),0)</f>
        <v>6080569.35483871</v>
      </c>
      <c r="M25" s="1019" t="n">
        <f aca="false">IF(AND((COLUMN()-COLUMN($F$8))&gt;=$D25,(COLUMN()-COLUMN($F$8))&lt;=$E25),$C25*($E25+1-(COLUMN()-COLUMN($F$8)))/($F25*($F25+1)/2),0)</f>
        <v>5837346.58064516</v>
      </c>
      <c r="N25" s="1019" t="n">
        <f aca="false">IF(AND((COLUMN()-COLUMN($F$8))&gt;=$D25,(COLUMN()-COLUMN($F$8))&lt;=$E25),$C25*($E25+1-(COLUMN()-COLUMN($F$8)))/($F25*($F25+1)/2),0)</f>
        <v>5594123.80645161</v>
      </c>
      <c r="O25" s="1019" t="n">
        <f aca="false">IF(AND((COLUMN()-COLUMN($F$8))&gt;=$D25,(COLUMN()-COLUMN($F$8))&lt;=$E25),$C25*($E25+1-(COLUMN()-COLUMN($F$8)))/($F25*($F25+1)/2),0)</f>
        <v>5350901.03225806</v>
      </c>
      <c r="P25" s="1019" t="n">
        <f aca="false">IF(AND((COLUMN()-COLUMN($F$8))&gt;=$D25,(COLUMN()-COLUMN($F$8))&lt;=$E25),$C25*($E25+1-(COLUMN()-COLUMN($F$8)))/($F25*($F25+1)/2),0)</f>
        <v>5107678.25806452</v>
      </c>
      <c r="Q25" s="1019" t="n">
        <f aca="false">IF(AND((COLUMN()-COLUMN($F$8))&gt;=$D25,(COLUMN()-COLUMN($F$8))&lt;=$E25),$C25*($E25+1-(COLUMN()-COLUMN($F$8)))/($F25*($F25+1)/2),0)</f>
        <v>4864455.48387097</v>
      </c>
      <c r="R25" s="1019" t="n">
        <f aca="false">IF(AND((COLUMN()-COLUMN($F$8))&gt;=$D25,(COLUMN()-COLUMN($F$8))&lt;=$E25),$C25*($E25+1-(COLUMN()-COLUMN($F$8)))/($F25*($F25+1)/2),0)</f>
        <v>4621232.70967742</v>
      </c>
      <c r="S25" s="1019" t="n">
        <f aca="false">IF(AND((COLUMN()-COLUMN($F$8))&gt;=$D25,(COLUMN()-COLUMN($F$8))&lt;=$E25),$C25*($E25+1-(COLUMN()-COLUMN($F$8)))/($F25*($F25+1)/2),0)</f>
        <v>4378009.93548387</v>
      </c>
      <c r="T25" s="1019" t="n">
        <f aca="false">IF(AND((COLUMN()-COLUMN($F$8))&gt;=$D25,(COLUMN()-COLUMN($F$8))&lt;=$E25),$C25*($E25+1-(COLUMN()-COLUMN($F$8)))/($F25*($F25+1)/2),0)</f>
        <v>4134787.16129032</v>
      </c>
      <c r="U25" s="1019" t="n">
        <f aca="false">IF(AND((COLUMN()-COLUMN($F$8))&gt;=$D25,(COLUMN()-COLUMN($F$8))&lt;=$E25),$C25*($E25+1-(COLUMN()-COLUMN($F$8)))/($F25*($F25+1)/2),0)</f>
        <v>3891564.38709677</v>
      </c>
      <c r="V25" s="1019" t="n">
        <f aca="false">IF(AND((COLUMN()-COLUMN($F$8))&gt;=$D25,(COLUMN()-COLUMN($F$8))&lt;=$E25),$C25*($E25+1-(COLUMN()-COLUMN($F$8)))/($F25*($F25+1)/2),0)</f>
        <v>3648341.61290323</v>
      </c>
      <c r="W25" s="1019" t="n">
        <f aca="false">IF(AND((COLUMN()-COLUMN($F$8))&gt;=$D25,(COLUMN()-COLUMN($F$8))&lt;=$E25),$C25*($E25+1-(COLUMN()-COLUMN($F$8)))/($F25*($F25+1)/2),0)</f>
        <v>3405118.83870968</v>
      </c>
      <c r="X25" s="1019" t="n">
        <f aca="false">IF(AND((COLUMN()-COLUMN($F$8))&gt;=$D25,(COLUMN()-COLUMN($F$8))&lt;=$E25),$C25*($E25+1-(COLUMN()-COLUMN($F$8)))/($F25*($F25+1)/2),0)</f>
        <v>3161896.06451613</v>
      </c>
      <c r="Y25" s="1019" t="n">
        <f aca="false">IF(AND((COLUMN()-COLUMN($F$8))&gt;=$D25,(COLUMN()-COLUMN($F$8))&lt;=$E25),$C25*($E25+1-(COLUMN()-COLUMN($F$8)))/($F25*($F25+1)/2),0)</f>
        <v>2918673.29032258</v>
      </c>
      <c r="Z25" s="1019" t="n">
        <f aca="false">IF(AND((COLUMN()-COLUMN($F$8))&gt;=$D25,(COLUMN()-COLUMN($F$8))&lt;=$E25),$C25*($E25+1-(COLUMN()-COLUMN($F$8)))/($F25*($F25+1)/2),0)</f>
        <v>2675450.51612903</v>
      </c>
      <c r="AA25" s="1019" t="n">
        <f aca="false">IF(AND((COLUMN()-COLUMN($F$8))&gt;=$D25,(COLUMN()-COLUMN($F$8))&lt;=$E25),$C25*($E25+1-(COLUMN()-COLUMN($F$8)))/($F25*($F25+1)/2),0)</f>
        <v>2432227.74193548</v>
      </c>
      <c r="AB25" s="1019" t="n">
        <f aca="false">IF(AND((COLUMN()-COLUMN($F$8))&gt;=$D25,(COLUMN()-COLUMN($F$8))&lt;=$E25),$C25*($E25+1-(COLUMN()-COLUMN($F$8)))/($F25*($F25+1)/2),0)</f>
        <v>2189004.96774194</v>
      </c>
      <c r="AC25" s="1019" t="n">
        <f aca="false">IF(AND((COLUMN()-COLUMN($F$8))&gt;=$D25,(COLUMN()-COLUMN($F$8))&lt;=$E25),$C25*($E25+1-(COLUMN()-COLUMN($F$8)))/($F25*($F25+1)/2),0)</f>
        <v>1945782.19354839</v>
      </c>
      <c r="AD25" s="1019" t="n">
        <f aca="false">IF(AND((COLUMN()-COLUMN($F$8))&gt;=$D25,(COLUMN()-COLUMN($F$8))&lt;=$E25),$C25*($E25+1-(COLUMN()-COLUMN($F$8)))/($F25*($F25+1)/2),0)</f>
        <v>1702559.41935484</v>
      </c>
      <c r="AE25" s="1019" t="n">
        <f aca="false">IF(AND((COLUMN()-COLUMN($F$8))&gt;=$D25,(COLUMN()-COLUMN($F$8))&lt;=$E25),$C25*($E25+1-(COLUMN()-COLUMN($F$8)))/($F25*($F25+1)/2),0)</f>
        <v>1459336.64516129</v>
      </c>
      <c r="AF25" s="1019" t="n">
        <f aca="false">IF(AND((COLUMN()-COLUMN($F$8))&gt;=$D25,(COLUMN()-COLUMN($F$8))&lt;=$E25),$C25*($E25+1-(COLUMN()-COLUMN($F$8)))/($F25*($F25+1)/2),0)</f>
        <v>1216113.87096774</v>
      </c>
      <c r="AG25" s="1019" t="n">
        <f aca="false">IF(AND((COLUMN()-COLUMN($F$8))&gt;=$D25,(COLUMN()-COLUMN($F$8))&lt;=$E25),$C25*($E25+1-(COLUMN()-COLUMN($F$8)))/($F25*($F25+1)/2),0)</f>
        <v>972891.096774194</v>
      </c>
      <c r="AH25" s="1019" t="n">
        <f aca="false">IF(AND((COLUMN()-COLUMN($F$8))&gt;=$D25,(COLUMN()-COLUMN($F$8))&lt;=$E25),$C25*($E25+1-(COLUMN()-COLUMN($F$8)))/($F25*($F25+1)/2),0)</f>
        <v>729668.322580645</v>
      </c>
      <c r="AI25" s="1019" t="n">
        <f aca="false">IF(AND((COLUMN()-COLUMN($F$8))&gt;=$D25,(COLUMN()-COLUMN($F$8))&lt;=$E25),$C25*($E25+1-(COLUMN()-COLUMN($F$8)))/($F25*($F25+1)/2),0)</f>
        <v>486445.548387097</v>
      </c>
      <c r="AJ25" s="1019" t="n">
        <f aca="false">IF(AND((COLUMN()-COLUMN($F$8))&gt;=$D25,(COLUMN()-COLUMN($F$8))&lt;=$E25),$C25*($E25+1-(COLUMN()-COLUMN($F$8)))/($F25*($F25+1)/2),0)</f>
        <v>243222.774193548</v>
      </c>
    </row>
    <row r="26" customFormat="false" ht="15" hidden="false" customHeight="true" outlineLevel="0" collapsed="false">
      <c r="A26" s="1013" t="s">
        <v>1903</v>
      </c>
      <c r="B26" s="1013"/>
      <c r="C26" s="1014" t="n">
        <f aca="false">'Construction Budget'!H126</f>
        <v>5656068</v>
      </c>
      <c r="D26" s="1013" t="n">
        <v>8</v>
      </c>
      <c r="E26" s="1013" t="n">
        <v>15</v>
      </c>
      <c r="F26" s="1013" t="n">
        <v>8</v>
      </c>
      <c r="G26" s="1015" t="n">
        <f aca="false">IF(OR((COLUMN()-COLUMN($F$8))&lt;$D26,(COLUMN()-COLUMN($F$8))&gt;$E26),0,$C26*((3*(((COLUMN()-COLUMN($F$8))-$D26+1)/$F26)^2-2*(((COLUMN()-COLUMN($F$8))-$D26+1)/$F26)^3)-(3*(((COLUMN()-COLUMN($F$8))-$D26)/$F26)^2-2*(((COLUMN()-COLUMN($F$8))-$D26)/$F26)^3)))</f>
        <v>0</v>
      </c>
      <c r="H26" s="1016" t="n">
        <f aca="false">IF(OR((COLUMN()-COLUMN($F$8))&lt;$D26,(COLUMN()-COLUMN($F$8))&gt;$E26),0,$C26*((3*(((COLUMN()-COLUMN($F$8))-$D26+1)/$F26)^2-2*(((COLUMN()-COLUMN($F$8))-$D26+1)/$F26)^3)-(3*(((COLUMN()-COLUMN($F$8))-$D26)/$F26)^2-2*(((COLUMN()-COLUMN($F$8))-$D26)/$F26)^3)))</f>
        <v>0</v>
      </c>
      <c r="I26" s="1016" t="n">
        <f aca="false">IF(OR((COLUMN()-COLUMN($F$8))&lt;$D26,(COLUMN()-COLUMN($F$8))&gt;$E26),0,$C26*((3*(((COLUMN()-COLUMN($F$8))-$D26+1)/$F26)^2-2*(((COLUMN()-COLUMN($F$8))-$D26+1)/$F26)^3)-(3*(((COLUMN()-COLUMN($F$8))-$D26)/$F26)^2-2*(((COLUMN()-COLUMN($F$8))-$D26)/$F26)^3)))</f>
        <v>0</v>
      </c>
      <c r="J26" s="1016" t="n">
        <f aca="false">IF(OR((COLUMN()-COLUMN($F$8))&lt;$D26,(COLUMN()-COLUMN($F$8))&gt;$E26),0,$C26*((3*(((COLUMN()-COLUMN($F$8))-$D26+1)/$F26)^2-2*(((COLUMN()-COLUMN($F$8))-$D26+1)/$F26)^3)-(3*(((COLUMN()-COLUMN($F$8))-$D26)/$F26)^2-2*(((COLUMN()-COLUMN($F$8))-$D26)/$F26)^3)))</f>
        <v>0</v>
      </c>
      <c r="K26" s="1016" t="n">
        <f aca="false">IF(OR((COLUMN()-COLUMN($F$8))&lt;$D26,(COLUMN()-COLUMN($F$8))&gt;$E26),0,$C26*((3*(((COLUMN()-COLUMN($F$8))-$D26+1)/$F26)^2-2*(((COLUMN()-COLUMN($F$8))-$D26+1)/$F26)^3)-(3*(((COLUMN()-COLUMN($F$8))-$D26)/$F26)^2-2*(((COLUMN()-COLUMN($F$8))-$D26)/$F26)^3)))</f>
        <v>0</v>
      </c>
      <c r="L26" s="1016" t="n">
        <f aca="false">IF(OR((COLUMN()-COLUMN($F$8))&lt;$D26,(COLUMN()-COLUMN($F$8))&gt;$E26),0,$C26*((3*(((COLUMN()-COLUMN($F$8))-$D26+1)/$F26)^2-2*(((COLUMN()-COLUMN($F$8))-$D26+1)/$F26)^3)-(3*(((COLUMN()-COLUMN($F$8))-$D26)/$F26)^2-2*(((COLUMN()-COLUMN($F$8))-$D26)/$F26)^3)))</f>
        <v>0</v>
      </c>
      <c r="M26" s="1016" t="n">
        <f aca="false">IF(OR((COLUMN()-COLUMN($F$8))&lt;$D26,(COLUMN()-COLUMN($F$8))&gt;$E26),0,$C26*((3*(((COLUMN()-COLUMN($F$8))-$D26+1)/$F26)^2-2*(((COLUMN()-COLUMN($F$8))-$D26+1)/$F26)^3)-(3*(((COLUMN()-COLUMN($F$8))-$D26)/$F26)^2-2*(((COLUMN()-COLUMN($F$8))-$D26)/$F26)^3)))</f>
        <v>0</v>
      </c>
      <c r="N26" s="1016" t="n">
        <f aca="false">IF(OR((COLUMN()-COLUMN($F$8))&lt;$D26,(COLUMN()-COLUMN($F$8))&gt;$E26),0,$C26*((3*(((COLUMN()-COLUMN($F$8))-$D26+1)/$F26)^2-2*(((COLUMN()-COLUMN($F$8))-$D26+1)/$F26)^3)-(3*(((COLUMN()-COLUMN($F$8))-$D26)/$F26)^2-2*(((COLUMN()-COLUMN($F$8))-$D26)/$F26)^3)))</f>
        <v>243034.171875</v>
      </c>
      <c r="O26" s="1016" t="n">
        <f aca="false">IF(OR((COLUMN()-COLUMN($F$8))&lt;$D26,(COLUMN()-COLUMN($F$8))&gt;$E26),0,$C26*((3*(((COLUMN()-COLUMN($F$8))-$D26+1)/$F26)^2-2*(((COLUMN()-COLUMN($F$8))-$D26+1)/$F26)^3)-(3*(((COLUMN()-COLUMN($F$8))-$D26)/$F26)^2-2*(((COLUMN()-COLUMN($F$8))-$D26)/$F26)^3)))</f>
        <v>640726.453125</v>
      </c>
      <c r="P26" s="1016" t="n">
        <f aca="false">IF(OR((COLUMN()-COLUMN($F$8))&lt;$D26,(COLUMN()-COLUMN($F$8))&gt;$E26),0,$C26*((3*(((COLUMN()-COLUMN($F$8))-$D26+1)/$F26)^2-2*(((COLUMN()-COLUMN($F$8))-$D26+1)/$F26)^3)-(3*(((COLUMN()-COLUMN($F$8))-$D26)/$F26)^2-2*(((COLUMN()-COLUMN($F$8))-$D26)/$F26)^3)))</f>
        <v>905854.640625</v>
      </c>
      <c r="Q26" s="1016" t="n">
        <f aca="false">IF(OR((COLUMN()-COLUMN($F$8))&lt;$D26,(COLUMN()-COLUMN($F$8))&gt;$E26),0,$C26*((3*(((COLUMN()-COLUMN($F$8))-$D26+1)/$F26)^2-2*(((COLUMN()-COLUMN($F$8))-$D26+1)/$F26)^3)-(3*(((COLUMN()-COLUMN($F$8))-$D26)/$F26)^2-2*(((COLUMN()-COLUMN($F$8))-$D26)/$F26)^3)))</f>
        <v>1038418.734375</v>
      </c>
      <c r="R26" s="1016" t="n">
        <f aca="false">IF(OR((COLUMN()-COLUMN($F$8))&lt;$D26,(COLUMN()-COLUMN($F$8))&gt;$E26),0,$C26*((3*(((COLUMN()-COLUMN($F$8))-$D26+1)/$F26)^2-2*(((COLUMN()-COLUMN($F$8))-$D26+1)/$F26)^3)-(3*(((COLUMN()-COLUMN($F$8))-$D26)/$F26)^2-2*(((COLUMN()-COLUMN($F$8))-$D26)/$F26)^3)))</f>
        <v>1038418.734375</v>
      </c>
      <c r="S26" s="1016" t="n">
        <f aca="false">IF(OR((COLUMN()-COLUMN($F$8))&lt;$D26,(COLUMN()-COLUMN($F$8))&gt;$E26),0,$C26*((3*(((COLUMN()-COLUMN($F$8))-$D26+1)/$F26)^2-2*(((COLUMN()-COLUMN($F$8))-$D26+1)/$F26)^3)-(3*(((COLUMN()-COLUMN($F$8))-$D26)/$F26)^2-2*(((COLUMN()-COLUMN($F$8))-$D26)/$F26)^3)))</f>
        <v>905854.640625</v>
      </c>
      <c r="T26" s="1016" t="n">
        <f aca="false">IF(OR((COLUMN()-COLUMN($F$8))&lt;$D26,(COLUMN()-COLUMN($F$8))&gt;$E26),0,$C26*((3*(((COLUMN()-COLUMN($F$8))-$D26+1)/$F26)^2-2*(((COLUMN()-COLUMN($F$8))-$D26+1)/$F26)^3)-(3*(((COLUMN()-COLUMN($F$8))-$D26)/$F26)^2-2*(((COLUMN()-COLUMN($F$8))-$D26)/$F26)^3)))</f>
        <v>640726.453125</v>
      </c>
      <c r="U26" s="1016" t="n">
        <f aca="false">IF(OR((COLUMN()-COLUMN($F$8))&lt;$D26,(COLUMN()-COLUMN($F$8))&gt;$E26),0,$C26*((3*(((COLUMN()-COLUMN($F$8))-$D26+1)/$F26)^2-2*(((COLUMN()-COLUMN($F$8))-$D26+1)/$F26)^3)-(3*(((COLUMN()-COLUMN($F$8))-$D26)/$F26)^2-2*(((COLUMN()-COLUMN($F$8))-$D26)/$F26)^3)))</f>
        <v>243034.171875</v>
      </c>
      <c r="V26" s="1016" t="n">
        <f aca="false">IF(OR((COLUMN()-COLUMN($F$8))&lt;$D26,(COLUMN()-COLUMN($F$8))&gt;$E26),0,$C26*((3*(((COLUMN()-COLUMN($F$8))-$D26+1)/$F26)^2-2*(((COLUMN()-COLUMN($F$8))-$D26+1)/$F26)^3)-(3*(((COLUMN()-COLUMN($F$8))-$D26)/$F26)^2-2*(((COLUMN()-COLUMN($F$8))-$D26)/$F26)^3)))</f>
        <v>0</v>
      </c>
      <c r="W26" s="1016" t="n">
        <f aca="false">IF(OR((COLUMN()-COLUMN($F$8))&lt;$D26,(COLUMN()-COLUMN($F$8))&gt;$E26),0,$C26*((3*(((COLUMN()-COLUMN($F$8))-$D26+1)/$F26)^2-2*(((COLUMN()-COLUMN($F$8))-$D26+1)/$F26)^3)-(3*(((COLUMN()-COLUMN($F$8))-$D26)/$F26)^2-2*(((COLUMN()-COLUMN($F$8))-$D26)/$F26)^3)))</f>
        <v>0</v>
      </c>
      <c r="X26" s="1016" t="n">
        <f aca="false">IF(OR((COLUMN()-COLUMN($F$8))&lt;$D26,(COLUMN()-COLUMN($F$8))&gt;$E26),0,$C26*((3*(((COLUMN()-COLUMN($F$8))-$D26+1)/$F26)^2-2*(((COLUMN()-COLUMN($F$8))-$D26+1)/$F26)^3)-(3*(((COLUMN()-COLUMN($F$8))-$D26)/$F26)^2-2*(((COLUMN()-COLUMN($F$8))-$D26)/$F26)^3)))</f>
        <v>0</v>
      </c>
      <c r="Y26" s="1016" t="n">
        <f aca="false">IF(OR((COLUMN()-COLUMN($F$8))&lt;$D26,(COLUMN()-COLUMN($F$8))&gt;$E26),0,$C26*((3*(((COLUMN()-COLUMN($F$8))-$D26+1)/$F26)^2-2*(((COLUMN()-COLUMN($F$8))-$D26+1)/$F26)^3)-(3*(((COLUMN()-COLUMN($F$8))-$D26)/$F26)^2-2*(((COLUMN()-COLUMN($F$8))-$D26)/$F26)^3)))</f>
        <v>0</v>
      </c>
      <c r="Z26" s="1016" t="n">
        <f aca="false">IF(OR((COLUMN()-COLUMN($F$8))&lt;$D26,(COLUMN()-COLUMN($F$8))&gt;$E26),0,$C26*((3*(((COLUMN()-COLUMN($F$8))-$D26+1)/$F26)^2-2*(((COLUMN()-COLUMN($F$8))-$D26+1)/$F26)^3)-(3*(((COLUMN()-COLUMN($F$8))-$D26)/$F26)^2-2*(((COLUMN()-COLUMN($F$8))-$D26)/$F26)^3)))</f>
        <v>0</v>
      </c>
      <c r="AA26" s="1016" t="n">
        <f aca="false">IF(OR((COLUMN()-COLUMN($F$8))&lt;$D26,(COLUMN()-COLUMN($F$8))&gt;$E26),0,$C26*((3*(((COLUMN()-COLUMN($F$8))-$D26+1)/$F26)^2-2*(((COLUMN()-COLUMN($F$8))-$D26+1)/$F26)^3)-(3*(((COLUMN()-COLUMN($F$8))-$D26)/$F26)^2-2*(((COLUMN()-COLUMN($F$8))-$D26)/$F26)^3)))</f>
        <v>0</v>
      </c>
      <c r="AB26" s="1016" t="n">
        <f aca="false">IF(OR((COLUMN()-COLUMN($F$8))&lt;$D26,(COLUMN()-COLUMN($F$8))&gt;$E26),0,$C26*((3*(((COLUMN()-COLUMN($F$8))-$D26+1)/$F26)^2-2*(((COLUMN()-COLUMN($F$8))-$D26+1)/$F26)^3)-(3*(((COLUMN()-COLUMN($F$8))-$D26)/$F26)^2-2*(((COLUMN()-COLUMN($F$8))-$D26)/$F26)^3)))</f>
        <v>0</v>
      </c>
      <c r="AC26" s="1016" t="n">
        <f aca="false">IF(OR((COLUMN()-COLUMN($F$8))&lt;$D26,(COLUMN()-COLUMN($F$8))&gt;$E26),0,$C26*((3*(((COLUMN()-COLUMN($F$8))-$D26+1)/$F26)^2-2*(((COLUMN()-COLUMN($F$8))-$D26+1)/$F26)^3)-(3*(((COLUMN()-COLUMN($F$8))-$D26)/$F26)^2-2*(((COLUMN()-COLUMN($F$8))-$D26)/$F26)^3)))</f>
        <v>0</v>
      </c>
      <c r="AD26" s="1016" t="n">
        <f aca="false">IF(OR((COLUMN()-COLUMN($F$8))&lt;$D26,(COLUMN()-COLUMN($F$8))&gt;$E26),0,$C26*((3*(((COLUMN()-COLUMN($F$8))-$D26+1)/$F26)^2-2*(((COLUMN()-COLUMN($F$8))-$D26+1)/$F26)^3)-(3*(((COLUMN()-COLUMN($F$8))-$D26)/$F26)^2-2*(((COLUMN()-COLUMN($F$8))-$D26)/$F26)^3)))</f>
        <v>0</v>
      </c>
      <c r="AE26" s="1016" t="n">
        <f aca="false">IF(OR((COLUMN()-COLUMN($F$8))&lt;$D26,(COLUMN()-COLUMN($F$8))&gt;$E26),0,$C26*((3*(((COLUMN()-COLUMN($F$8))-$D26+1)/$F26)^2-2*(((COLUMN()-COLUMN($F$8))-$D26+1)/$F26)^3)-(3*(((COLUMN()-COLUMN($F$8))-$D26)/$F26)^2-2*(((COLUMN()-COLUMN($F$8))-$D26)/$F26)^3)))</f>
        <v>0</v>
      </c>
      <c r="AF26" s="1016" t="n">
        <f aca="false">IF(OR((COLUMN()-COLUMN($F$8))&lt;$D26,(COLUMN()-COLUMN($F$8))&gt;$E26),0,$C26*((3*(((COLUMN()-COLUMN($F$8))-$D26+1)/$F26)^2-2*(((COLUMN()-COLUMN($F$8))-$D26+1)/$F26)^3)-(3*(((COLUMN()-COLUMN($F$8))-$D26)/$F26)^2-2*(((COLUMN()-COLUMN($F$8))-$D26)/$F26)^3)))</f>
        <v>0</v>
      </c>
      <c r="AG26" s="1016" t="n">
        <f aca="false">IF(OR((COLUMN()-COLUMN($F$8))&lt;$D26,(COLUMN()-COLUMN($F$8))&gt;$E26),0,$C26*((3*(((COLUMN()-COLUMN($F$8))-$D26+1)/$F26)^2-2*(((COLUMN()-COLUMN($F$8))-$D26+1)/$F26)^3)-(3*(((COLUMN()-COLUMN($F$8))-$D26)/$F26)^2-2*(((COLUMN()-COLUMN($F$8))-$D26)/$F26)^3)))</f>
        <v>0</v>
      </c>
      <c r="AH26" s="1016" t="n">
        <f aca="false">IF(OR((COLUMN()-COLUMN($F$8))&lt;$D26,(COLUMN()-COLUMN($F$8))&gt;$E26),0,$C26*((3*(((COLUMN()-COLUMN($F$8))-$D26+1)/$F26)^2-2*(((COLUMN()-COLUMN($F$8))-$D26+1)/$F26)^3)-(3*(((COLUMN()-COLUMN($F$8))-$D26)/$F26)^2-2*(((COLUMN()-COLUMN($F$8))-$D26)/$F26)^3)))</f>
        <v>0</v>
      </c>
      <c r="AI26" s="1016" t="n">
        <f aca="false">IF(OR((COLUMN()-COLUMN($F$8))&lt;$D26,(COLUMN()-COLUMN($F$8))&gt;$E26),0,$C26*((3*(((COLUMN()-COLUMN($F$8))-$D26+1)/$F26)^2-2*(((COLUMN()-COLUMN($F$8))-$D26+1)/$F26)^3)-(3*(((COLUMN()-COLUMN($F$8))-$D26)/$F26)^2-2*(((COLUMN()-COLUMN($F$8))-$D26)/$F26)^3)))</f>
        <v>0</v>
      </c>
      <c r="AJ26" s="1016" t="n">
        <f aca="false">IF(OR((COLUMN()-COLUMN($F$8))&lt;$D26,(COLUMN()-COLUMN($F$8))&gt;$E26),0,$C26*((3*(((COLUMN()-COLUMN($F$8))-$D26+1)/$F26)^2-2*(((COLUMN()-COLUMN($F$8))-$D26+1)/$F26)^3)-(3*(((COLUMN()-COLUMN($F$8))-$D26)/$F26)^2-2*(((COLUMN()-COLUMN($F$8))-$D26)/$F26)^3)))</f>
        <v>0</v>
      </c>
    </row>
    <row r="27" customFormat="false" ht="15" hidden="false" customHeight="true" outlineLevel="0" collapsed="false">
      <c r="A27" s="1013" t="s">
        <v>4905</v>
      </c>
      <c r="B27" s="1013"/>
      <c r="C27" s="1014" t="n">
        <f aca="false">'Construction Budget'!H174</f>
        <v>1233678.6</v>
      </c>
      <c r="D27" s="1013" t="n">
        <v>11</v>
      </c>
      <c r="E27" s="1013" t="n">
        <v>19</v>
      </c>
      <c r="F27" s="1013" t="n">
        <v>9</v>
      </c>
      <c r="G27" s="1015" t="n">
        <f aca="false">IF(OR((COLUMN()-COLUMN($F$8))&lt;$D27,(COLUMN()-COLUMN($F$8))&gt;$E27),0,$C27*((3*(((COLUMN()-COLUMN($F$8))-$D27+1)/$F27)^2-2*(((COLUMN()-COLUMN($F$8))-$D27+1)/$F27)^3)-(3*(((COLUMN()-COLUMN($F$8))-$D27)/$F27)^2-2*(((COLUMN()-COLUMN($F$8))-$D27)/$F27)^3)))</f>
        <v>0</v>
      </c>
      <c r="H27" s="1016" t="n">
        <f aca="false">IF(OR((COLUMN()-COLUMN($F$8))&lt;$D27,(COLUMN()-COLUMN($F$8))&gt;$E27),0,$C27*((3*(((COLUMN()-COLUMN($F$8))-$D27+1)/$F27)^2-2*(((COLUMN()-COLUMN($F$8))-$D27+1)/$F27)^3)-(3*(((COLUMN()-COLUMN($F$8))-$D27)/$F27)^2-2*(((COLUMN()-COLUMN($F$8))-$D27)/$F27)^3)))</f>
        <v>0</v>
      </c>
      <c r="I27" s="1016" t="n">
        <f aca="false">IF(OR((COLUMN()-COLUMN($F$8))&lt;$D27,(COLUMN()-COLUMN($F$8))&gt;$E27),0,$C27*((3*(((COLUMN()-COLUMN($F$8))-$D27+1)/$F27)^2-2*(((COLUMN()-COLUMN($F$8))-$D27+1)/$F27)^3)-(3*(((COLUMN()-COLUMN($F$8))-$D27)/$F27)^2-2*(((COLUMN()-COLUMN($F$8))-$D27)/$F27)^3)))</f>
        <v>0</v>
      </c>
      <c r="J27" s="1016" t="n">
        <f aca="false">IF(OR((COLUMN()-COLUMN($F$8))&lt;$D27,(COLUMN()-COLUMN($F$8))&gt;$E27),0,$C27*((3*(((COLUMN()-COLUMN($F$8))-$D27+1)/$F27)^2-2*(((COLUMN()-COLUMN($F$8))-$D27+1)/$F27)^3)-(3*(((COLUMN()-COLUMN($F$8))-$D27)/$F27)^2-2*(((COLUMN()-COLUMN($F$8))-$D27)/$F27)^3)))</f>
        <v>0</v>
      </c>
      <c r="K27" s="1016" t="n">
        <f aca="false">IF(OR((COLUMN()-COLUMN($F$8))&lt;$D27,(COLUMN()-COLUMN($F$8))&gt;$E27),0,$C27*((3*(((COLUMN()-COLUMN($F$8))-$D27+1)/$F27)^2-2*(((COLUMN()-COLUMN($F$8))-$D27+1)/$F27)^3)-(3*(((COLUMN()-COLUMN($F$8))-$D27)/$F27)^2-2*(((COLUMN()-COLUMN($F$8))-$D27)/$F27)^3)))</f>
        <v>0</v>
      </c>
      <c r="L27" s="1016" t="n">
        <f aca="false">IF(OR((COLUMN()-COLUMN($F$8))&lt;$D27,(COLUMN()-COLUMN($F$8))&gt;$E27),0,$C27*((3*(((COLUMN()-COLUMN($F$8))-$D27+1)/$F27)^2-2*(((COLUMN()-COLUMN($F$8))-$D27+1)/$F27)^3)-(3*(((COLUMN()-COLUMN($F$8))-$D27)/$F27)^2-2*(((COLUMN()-COLUMN($F$8))-$D27)/$F27)^3)))</f>
        <v>0</v>
      </c>
      <c r="M27" s="1016" t="n">
        <f aca="false">IF(OR((COLUMN()-COLUMN($F$8))&lt;$D27,(COLUMN()-COLUMN($F$8))&gt;$E27),0,$C27*((3*(((COLUMN()-COLUMN($F$8))-$D27+1)/$F27)^2-2*(((COLUMN()-COLUMN($F$8))-$D27+1)/$F27)^3)-(3*(((COLUMN()-COLUMN($F$8))-$D27)/$F27)^2-2*(((COLUMN()-COLUMN($F$8))-$D27)/$F27)^3)))</f>
        <v>0</v>
      </c>
      <c r="N27" s="1016" t="n">
        <f aca="false">IF(OR((COLUMN()-COLUMN($F$8))&lt;$D27,(COLUMN()-COLUMN($F$8))&gt;$E27),0,$C27*((3*(((COLUMN()-COLUMN($F$8))-$D27+1)/$F27)^2-2*(((COLUMN()-COLUMN($F$8))-$D27+1)/$F27)^3)-(3*(((COLUMN()-COLUMN($F$8))-$D27)/$F27)^2-2*(((COLUMN()-COLUMN($F$8))-$D27)/$F27)^3)))</f>
        <v>0</v>
      </c>
      <c r="O27" s="1016" t="n">
        <f aca="false">IF(OR((COLUMN()-COLUMN($F$8))&lt;$D27,(COLUMN()-COLUMN($F$8))&gt;$E27),0,$C27*((3*(((COLUMN()-COLUMN($F$8))-$D27+1)/$F27)^2-2*(((COLUMN()-COLUMN($F$8))-$D27+1)/$F27)^3)-(3*(((COLUMN()-COLUMN($F$8))-$D27)/$F27)^2-2*(((COLUMN()-COLUMN($F$8))-$D27)/$F27)^3)))</f>
        <v>0</v>
      </c>
      <c r="P27" s="1016" t="n">
        <f aca="false">IF(OR((COLUMN()-COLUMN($F$8))&lt;$D27,(COLUMN()-COLUMN($F$8))&gt;$E27),0,$C27*((3*(((COLUMN()-COLUMN($F$8))-$D27+1)/$F27)^2-2*(((COLUMN()-COLUMN($F$8))-$D27+1)/$F27)^3)-(3*(((COLUMN()-COLUMN($F$8))-$D27)/$F27)^2-2*(((COLUMN()-COLUMN($F$8))-$D27)/$F27)^3)))</f>
        <v>0</v>
      </c>
      <c r="Q27" s="1016" t="n">
        <f aca="false">IF(OR((COLUMN()-COLUMN($F$8))&lt;$D27,(COLUMN()-COLUMN($F$8))&gt;$E27),0,$C27*((3*(((COLUMN()-COLUMN($F$8))-$D27+1)/$F27)^2-2*(((COLUMN()-COLUMN($F$8))-$D27+1)/$F27)^3)-(3*(((COLUMN()-COLUMN($F$8))-$D27)/$F27)^2-2*(((COLUMN()-COLUMN($F$8))-$D27)/$F27)^3)))</f>
        <v>42307.2222222222</v>
      </c>
      <c r="R27" s="1016" t="n">
        <f aca="false">IF(OR((COLUMN()-COLUMN($F$8))&lt;$D27,(COLUMN()-COLUMN($F$8))&gt;$E27),0,$C27*((3*(((COLUMN()-COLUMN($F$8))-$D27+1)/$F27)^2-2*(((COLUMN()-COLUMN($F$8))-$D27+1)/$F27)^3)-(3*(((COLUMN()-COLUMN($F$8))-$D27)/$F27)^2-2*(((COLUMN()-COLUMN($F$8))-$D27)/$F27)^3)))</f>
        <v>113383.355555556</v>
      </c>
      <c r="S27" s="1016" t="n">
        <f aca="false">IF(OR((COLUMN()-COLUMN($F$8))&lt;$D27,(COLUMN()-COLUMN($F$8))&gt;$E27),0,$C27*((3*(((COLUMN()-COLUMN($F$8))-$D27+1)/$F27)^2-2*(((COLUMN()-COLUMN($F$8))-$D27+1)/$F27)^3)-(3*(((COLUMN()-COLUMN($F$8))-$D27)/$F27)^2-2*(((COLUMN()-COLUMN($F$8))-$D27)/$F27)^3)))</f>
        <v>164152.022222222</v>
      </c>
      <c r="T27" s="1016" t="n">
        <f aca="false">IF(OR((COLUMN()-COLUMN($F$8))&lt;$D27,(COLUMN()-COLUMN($F$8))&gt;$E27),0,$C27*((3*(((COLUMN()-COLUMN($F$8))-$D27+1)/$F27)^2-2*(((COLUMN()-COLUMN($F$8))-$D27+1)/$F27)^3)-(3*(((COLUMN()-COLUMN($F$8))-$D27)/$F27)^2-2*(((COLUMN()-COLUMN($F$8))-$D27)/$F27)^3)))</f>
        <v>194613.222222222</v>
      </c>
      <c r="U27" s="1016" t="n">
        <f aca="false">IF(OR((COLUMN()-COLUMN($F$8))&lt;$D27,(COLUMN()-COLUMN($F$8))&gt;$E27),0,$C27*((3*(((COLUMN()-COLUMN($F$8))-$D27+1)/$F27)^2-2*(((COLUMN()-COLUMN($F$8))-$D27+1)/$F27)^3)-(3*(((COLUMN()-COLUMN($F$8))-$D27)/$F27)^2-2*(((COLUMN()-COLUMN($F$8))-$D27)/$F27)^3)))</f>
        <v>204766.955555556</v>
      </c>
      <c r="V27" s="1016" t="n">
        <f aca="false">IF(OR((COLUMN()-COLUMN($F$8))&lt;$D27,(COLUMN()-COLUMN($F$8))&gt;$E27),0,$C27*((3*(((COLUMN()-COLUMN($F$8))-$D27+1)/$F27)^2-2*(((COLUMN()-COLUMN($F$8))-$D27+1)/$F27)^3)-(3*(((COLUMN()-COLUMN($F$8))-$D27)/$F27)^2-2*(((COLUMN()-COLUMN($F$8))-$D27)/$F27)^3)))</f>
        <v>194613.222222222</v>
      </c>
      <c r="W27" s="1016" t="n">
        <f aca="false">IF(OR((COLUMN()-COLUMN($F$8))&lt;$D27,(COLUMN()-COLUMN($F$8))&gt;$E27),0,$C27*((3*(((COLUMN()-COLUMN($F$8))-$D27+1)/$F27)^2-2*(((COLUMN()-COLUMN($F$8))-$D27+1)/$F27)^3)-(3*(((COLUMN()-COLUMN($F$8))-$D27)/$F27)^2-2*(((COLUMN()-COLUMN($F$8))-$D27)/$F27)^3)))</f>
        <v>164152.022222222</v>
      </c>
      <c r="X27" s="1016" t="n">
        <f aca="false">IF(OR((COLUMN()-COLUMN($F$8))&lt;$D27,(COLUMN()-COLUMN($F$8))&gt;$E27),0,$C27*((3*(((COLUMN()-COLUMN($F$8))-$D27+1)/$F27)^2-2*(((COLUMN()-COLUMN($F$8))-$D27+1)/$F27)^3)-(3*(((COLUMN()-COLUMN($F$8))-$D27)/$F27)^2-2*(((COLUMN()-COLUMN($F$8))-$D27)/$F27)^3)))</f>
        <v>113383.355555556</v>
      </c>
      <c r="Y27" s="1016" t="n">
        <f aca="false">IF(OR((COLUMN()-COLUMN($F$8))&lt;$D27,(COLUMN()-COLUMN($F$8))&gt;$E27),0,$C27*((3*(((COLUMN()-COLUMN($F$8))-$D27+1)/$F27)^2-2*(((COLUMN()-COLUMN($F$8))-$D27+1)/$F27)^3)-(3*(((COLUMN()-COLUMN($F$8))-$D27)/$F27)^2-2*(((COLUMN()-COLUMN($F$8))-$D27)/$F27)^3)))</f>
        <v>42307.222222222</v>
      </c>
      <c r="Z27" s="1016" t="n">
        <f aca="false">IF(OR((COLUMN()-COLUMN($F$8))&lt;$D27,(COLUMN()-COLUMN($F$8))&gt;$E27),0,$C27*((3*(((COLUMN()-COLUMN($F$8))-$D27+1)/$F27)^2-2*(((COLUMN()-COLUMN($F$8))-$D27+1)/$F27)^3)-(3*(((COLUMN()-COLUMN($F$8))-$D27)/$F27)^2-2*(((COLUMN()-COLUMN($F$8))-$D27)/$F27)^3)))</f>
        <v>0</v>
      </c>
      <c r="AA27" s="1016" t="n">
        <f aca="false">IF(OR((COLUMN()-COLUMN($F$8))&lt;$D27,(COLUMN()-COLUMN($F$8))&gt;$E27),0,$C27*((3*(((COLUMN()-COLUMN($F$8))-$D27+1)/$F27)^2-2*(((COLUMN()-COLUMN($F$8))-$D27+1)/$F27)^3)-(3*(((COLUMN()-COLUMN($F$8))-$D27)/$F27)^2-2*(((COLUMN()-COLUMN($F$8))-$D27)/$F27)^3)))</f>
        <v>0</v>
      </c>
      <c r="AB27" s="1016" t="n">
        <f aca="false">IF(OR((COLUMN()-COLUMN($F$8))&lt;$D27,(COLUMN()-COLUMN($F$8))&gt;$E27),0,$C27*((3*(((COLUMN()-COLUMN($F$8))-$D27+1)/$F27)^2-2*(((COLUMN()-COLUMN($F$8))-$D27+1)/$F27)^3)-(3*(((COLUMN()-COLUMN($F$8))-$D27)/$F27)^2-2*(((COLUMN()-COLUMN($F$8))-$D27)/$F27)^3)))</f>
        <v>0</v>
      </c>
      <c r="AC27" s="1016" t="n">
        <f aca="false">IF(OR((COLUMN()-COLUMN($F$8))&lt;$D27,(COLUMN()-COLUMN($F$8))&gt;$E27),0,$C27*((3*(((COLUMN()-COLUMN($F$8))-$D27+1)/$F27)^2-2*(((COLUMN()-COLUMN($F$8))-$D27+1)/$F27)^3)-(3*(((COLUMN()-COLUMN($F$8))-$D27)/$F27)^2-2*(((COLUMN()-COLUMN($F$8))-$D27)/$F27)^3)))</f>
        <v>0</v>
      </c>
      <c r="AD27" s="1016" t="n">
        <f aca="false">IF(OR((COLUMN()-COLUMN($F$8))&lt;$D27,(COLUMN()-COLUMN($F$8))&gt;$E27),0,$C27*((3*(((COLUMN()-COLUMN($F$8))-$D27+1)/$F27)^2-2*(((COLUMN()-COLUMN($F$8))-$D27+1)/$F27)^3)-(3*(((COLUMN()-COLUMN($F$8))-$D27)/$F27)^2-2*(((COLUMN()-COLUMN($F$8))-$D27)/$F27)^3)))</f>
        <v>0</v>
      </c>
      <c r="AE27" s="1016" t="n">
        <f aca="false">IF(OR((COLUMN()-COLUMN($F$8))&lt;$D27,(COLUMN()-COLUMN($F$8))&gt;$E27),0,$C27*((3*(((COLUMN()-COLUMN($F$8))-$D27+1)/$F27)^2-2*(((COLUMN()-COLUMN($F$8))-$D27+1)/$F27)^3)-(3*(((COLUMN()-COLUMN($F$8))-$D27)/$F27)^2-2*(((COLUMN()-COLUMN($F$8))-$D27)/$F27)^3)))</f>
        <v>0</v>
      </c>
      <c r="AF27" s="1016" t="n">
        <f aca="false">IF(OR((COLUMN()-COLUMN($F$8))&lt;$D27,(COLUMN()-COLUMN($F$8))&gt;$E27),0,$C27*((3*(((COLUMN()-COLUMN($F$8))-$D27+1)/$F27)^2-2*(((COLUMN()-COLUMN($F$8))-$D27+1)/$F27)^3)-(3*(((COLUMN()-COLUMN($F$8))-$D27)/$F27)^2-2*(((COLUMN()-COLUMN($F$8))-$D27)/$F27)^3)))</f>
        <v>0</v>
      </c>
      <c r="AG27" s="1016" t="n">
        <f aca="false">IF(OR((COLUMN()-COLUMN($F$8))&lt;$D27,(COLUMN()-COLUMN($F$8))&gt;$E27),0,$C27*((3*(((COLUMN()-COLUMN($F$8))-$D27+1)/$F27)^2-2*(((COLUMN()-COLUMN($F$8))-$D27+1)/$F27)^3)-(3*(((COLUMN()-COLUMN($F$8))-$D27)/$F27)^2-2*(((COLUMN()-COLUMN($F$8))-$D27)/$F27)^3)))</f>
        <v>0</v>
      </c>
      <c r="AH27" s="1016" t="n">
        <f aca="false">IF(OR((COLUMN()-COLUMN($F$8))&lt;$D27,(COLUMN()-COLUMN($F$8))&gt;$E27),0,$C27*((3*(((COLUMN()-COLUMN($F$8))-$D27+1)/$F27)^2-2*(((COLUMN()-COLUMN($F$8))-$D27+1)/$F27)^3)-(3*(((COLUMN()-COLUMN($F$8))-$D27)/$F27)^2-2*(((COLUMN()-COLUMN($F$8))-$D27)/$F27)^3)))</f>
        <v>0</v>
      </c>
      <c r="AI27" s="1016" t="n">
        <f aca="false">IF(OR((COLUMN()-COLUMN($F$8))&lt;$D27,(COLUMN()-COLUMN($F$8))&gt;$E27),0,$C27*((3*(((COLUMN()-COLUMN($F$8))-$D27+1)/$F27)^2-2*(((COLUMN()-COLUMN($F$8))-$D27+1)/$F27)^3)-(3*(((COLUMN()-COLUMN($F$8))-$D27)/$F27)^2-2*(((COLUMN()-COLUMN($F$8))-$D27)/$F27)^3)))</f>
        <v>0</v>
      </c>
      <c r="AJ27" s="1016" t="n">
        <f aca="false">IF(OR((COLUMN()-COLUMN($F$8))&lt;$D27,(COLUMN()-COLUMN($F$8))&gt;$E27),0,$C27*((3*(((COLUMN()-COLUMN($F$8))-$D27+1)/$F27)^2-2*(((COLUMN()-COLUMN($F$8))-$D27+1)/$F27)^3)-(3*(((COLUMN()-COLUMN($F$8))-$D27)/$F27)^2-2*(((COLUMN()-COLUMN($F$8))-$D27)/$F27)^3)))</f>
        <v>0</v>
      </c>
    </row>
    <row r="28" customFormat="false" ht="15" hidden="false" customHeight="true" outlineLevel="0" collapsed="false">
      <c r="A28" s="1013" t="s">
        <v>1905</v>
      </c>
      <c r="B28" s="1013"/>
      <c r="C28" s="1014" t="n">
        <f aca="false">'Construction Budget'!H305</f>
        <v>1525590</v>
      </c>
      <c r="D28" s="1013" t="n">
        <v>20</v>
      </c>
      <c r="E28" s="1013" t="n">
        <v>28</v>
      </c>
      <c r="F28" s="1013" t="n">
        <v>9</v>
      </c>
      <c r="G28" s="1015" t="n">
        <f aca="false">IF(OR((COLUMN()-COLUMN($F$8))&lt;$D28,(COLUMN()-COLUMN($F$8))&gt;$E28),0,$C28*((3*(((COLUMN()-COLUMN($F$8))-$D28+1)/$F28)^2-2*(((COLUMN()-COLUMN($F$8))-$D28+1)/$F28)^3)-(3*(((COLUMN()-COLUMN($F$8))-$D28)/$F28)^2-2*(((COLUMN()-COLUMN($F$8))-$D28)/$F28)^3)))</f>
        <v>0</v>
      </c>
      <c r="H28" s="1016" t="n">
        <f aca="false">IF(OR((COLUMN()-COLUMN($F$8))&lt;$D28,(COLUMN()-COLUMN($F$8))&gt;$E28),0,$C28*((3*(((COLUMN()-COLUMN($F$8))-$D28+1)/$F28)^2-2*(((COLUMN()-COLUMN($F$8))-$D28+1)/$F28)^3)-(3*(((COLUMN()-COLUMN($F$8))-$D28)/$F28)^2-2*(((COLUMN()-COLUMN($F$8))-$D28)/$F28)^3)))</f>
        <v>0</v>
      </c>
      <c r="I28" s="1016" t="n">
        <f aca="false">IF(OR((COLUMN()-COLUMN($F$8))&lt;$D28,(COLUMN()-COLUMN($F$8))&gt;$E28),0,$C28*((3*(((COLUMN()-COLUMN($F$8))-$D28+1)/$F28)^2-2*(((COLUMN()-COLUMN($F$8))-$D28+1)/$F28)^3)-(3*(((COLUMN()-COLUMN($F$8))-$D28)/$F28)^2-2*(((COLUMN()-COLUMN($F$8))-$D28)/$F28)^3)))</f>
        <v>0</v>
      </c>
      <c r="J28" s="1016" t="n">
        <f aca="false">IF(OR((COLUMN()-COLUMN($F$8))&lt;$D28,(COLUMN()-COLUMN($F$8))&gt;$E28),0,$C28*((3*(((COLUMN()-COLUMN($F$8))-$D28+1)/$F28)^2-2*(((COLUMN()-COLUMN($F$8))-$D28+1)/$F28)^3)-(3*(((COLUMN()-COLUMN($F$8))-$D28)/$F28)^2-2*(((COLUMN()-COLUMN($F$8))-$D28)/$F28)^3)))</f>
        <v>0</v>
      </c>
      <c r="K28" s="1016" t="n">
        <f aca="false">IF(OR((COLUMN()-COLUMN($F$8))&lt;$D28,(COLUMN()-COLUMN($F$8))&gt;$E28),0,$C28*((3*(((COLUMN()-COLUMN($F$8))-$D28+1)/$F28)^2-2*(((COLUMN()-COLUMN($F$8))-$D28+1)/$F28)^3)-(3*(((COLUMN()-COLUMN($F$8))-$D28)/$F28)^2-2*(((COLUMN()-COLUMN($F$8))-$D28)/$F28)^3)))</f>
        <v>0</v>
      </c>
      <c r="L28" s="1016" t="n">
        <f aca="false">IF(OR((COLUMN()-COLUMN($F$8))&lt;$D28,(COLUMN()-COLUMN($F$8))&gt;$E28),0,$C28*((3*(((COLUMN()-COLUMN($F$8))-$D28+1)/$F28)^2-2*(((COLUMN()-COLUMN($F$8))-$D28+1)/$F28)^3)-(3*(((COLUMN()-COLUMN($F$8))-$D28)/$F28)^2-2*(((COLUMN()-COLUMN($F$8))-$D28)/$F28)^3)))</f>
        <v>0</v>
      </c>
      <c r="M28" s="1016" t="n">
        <f aca="false">IF(OR((COLUMN()-COLUMN($F$8))&lt;$D28,(COLUMN()-COLUMN($F$8))&gt;$E28),0,$C28*((3*(((COLUMN()-COLUMN($F$8))-$D28+1)/$F28)^2-2*(((COLUMN()-COLUMN($F$8))-$D28+1)/$F28)^3)-(3*(((COLUMN()-COLUMN($F$8))-$D28)/$F28)^2-2*(((COLUMN()-COLUMN($F$8))-$D28)/$F28)^3)))</f>
        <v>0</v>
      </c>
      <c r="N28" s="1016" t="n">
        <f aca="false">IF(OR((COLUMN()-COLUMN($F$8))&lt;$D28,(COLUMN()-COLUMN($F$8))&gt;$E28),0,$C28*((3*(((COLUMN()-COLUMN($F$8))-$D28+1)/$F28)^2-2*(((COLUMN()-COLUMN($F$8))-$D28+1)/$F28)^3)-(3*(((COLUMN()-COLUMN($F$8))-$D28)/$F28)^2-2*(((COLUMN()-COLUMN($F$8))-$D28)/$F28)^3)))</f>
        <v>0</v>
      </c>
      <c r="O28" s="1016" t="n">
        <f aca="false">IF(OR((COLUMN()-COLUMN($F$8))&lt;$D28,(COLUMN()-COLUMN($F$8))&gt;$E28),0,$C28*((3*(((COLUMN()-COLUMN($F$8))-$D28+1)/$F28)^2-2*(((COLUMN()-COLUMN($F$8))-$D28+1)/$F28)^3)-(3*(((COLUMN()-COLUMN($F$8))-$D28)/$F28)^2-2*(((COLUMN()-COLUMN($F$8))-$D28)/$F28)^3)))</f>
        <v>0</v>
      </c>
      <c r="P28" s="1016" t="n">
        <f aca="false">IF(OR((COLUMN()-COLUMN($F$8))&lt;$D28,(COLUMN()-COLUMN($F$8))&gt;$E28),0,$C28*((3*(((COLUMN()-COLUMN($F$8))-$D28+1)/$F28)^2-2*(((COLUMN()-COLUMN($F$8))-$D28+1)/$F28)^3)-(3*(((COLUMN()-COLUMN($F$8))-$D28)/$F28)^2-2*(((COLUMN()-COLUMN($F$8))-$D28)/$F28)^3)))</f>
        <v>0</v>
      </c>
      <c r="Q28" s="1016" t="n">
        <f aca="false">IF(OR((COLUMN()-COLUMN($F$8))&lt;$D28,(COLUMN()-COLUMN($F$8))&gt;$E28),0,$C28*((3*(((COLUMN()-COLUMN($F$8))-$D28+1)/$F28)^2-2*(((COLUMN()-COLUMN($F$8))-$D28+1)/$F28)^3)-(3*(((COLUMN()-COLUMN($F$8))-$D28)/$F28)^2-2*(((COLUMN()-COLUMN($F$8))-$D28)/$F28)^3)))</f>
        <v>0</v>
      </c>
      <c r="R28" s="1016" t="n">
        <f aca="false">IF(OR((COLUMN()-COLUMN($F$8))&lt;$D28,(COLUMN()-COLUMN($F$8))&gt;$E28),0,$C28*((3*(((COLUMN()-COLUMN($F$8))-$D28+1)/$F28)^2-2*(((COLUMN()-COLUMN($F$8))-$D28+1)/$F28)^3)-(3*(((COLUMN()-COLUMN($F$8))-$D28)/$F28)^2-2*(((COLUMN()-COLUMN($F$8))-$D28)/$F28)^3)))</f>
        <v>0</v>
      </c>
      <c r="S28" s="1016" t="n">
        <f aca="false">IF(OR((COLUMN()-COLUMN($F$8))&lt;$D28,(COLUMN()-COLUMN($F$8))&gt;$E28),0,$C28*((3*(((COLUMN()-COLUMN($F$8))-$D28+1)/$F28)^2-2*(((COLUMN()-COLUMN($F$8))-$D28+1)/$F28)^3)-(3*(((COLUMN()-COLUMN($F$8))-$D28)/$F28)^2-2*(((COLUMN()-COLUMN($F$8))-$D28)/$F28)^3)))</f>
        <v>0</v>
      </c>
      <c r="T28" s="1016" t="n">
        <f aca="false">IF(OR((COLUMN()-COLUMN($F$8))&lt;$D28,(COLUMN()-COLUMN($F$8))&gt;$E28),0,$C28*((3*(((COLUMN()-COLUMN($F$8))-$D28+1)/$F28)^2-2*(((COLUMN()-COLUMN($F$8))-$D28+1)/$F28)^3)-(3*(((COLUMN()-COLUMN($F$8))-$D28)/$F28)^2-2*(((COLUMN()-COLUMN($F$8))-$D28)/$F28)^3)))</f>
        <v>0</v>
      </c>
      <c r="U28" s="1016" t="n">
        <f aca="false">IF(OR((COLUMN()-COLUMN($F$8))&lt;$D28,(COLUMN()-COLUMN($F$8))&gt;$E28),0,$C28*((3*(((COLUMN()-COLUMN($F$8))-$D28+1)/$F28)^2-2*(((COLUMN()-COLUMN($F$8))-$D28+1)/$F28)^3)-(3*(((COLUMN()-COLUMN($F$8))-$D28)/$F28)^2-2*(((COLUMN()-COLUMN($F$8))-$D28)/$F28)^3)))</f>
        <v>0</v>
      </c>
      <c r="V28" s="1016" t="n">
        <f aca="false">IF(OR((COLUMN()-COLUMN($F$8))&lt;$D28,(COLUMN()-COLUMN($F$8))&gt;$E28),0,$C28*((3*(((COLUMN()-COLUMN($F$8))-$D28+1)/$F28)^2-2*(((COLUMN()-COLUMN($F$8))-$D28+1)/$F28)^3)-(3*(((COLUMN()-COLUMN($F$8))-$D28)/$F28)^2-2*(((COLUMN()-COLUMN($F$8))-$D28)/$F28)^3)))</f>
        <v>0</v>
      </c>
      <c r="W28" s="1016" t="n">
        <f aca="false">IF(OR((COLUMN()-COLUMN($F$8))&lt;$D28,(COLUMN()-COLUMN($F$8))&gt;$E28),0,$C28*((3*(((COLUMN()-COLUMN($F$8))-$D28+1)/$F28)^2-2*(((COLUMN()-COLUMN($F$8))-$D28+1)/$F28)^3)-(3*(((COLUMN()-COLUMN($F$8))-$D28)/$F28)^2-2*(((COLUMN()-COLUMN($F$8))-$D28)/$F28)^3)))</f>
        <v>0</v>
      </c>
      <c r="X28" s="1016" t="n">
        <f aca="false">IF(OR((COLUMN()-COLUMN($F$8))&lt;$D28,(COLUMN()-COLUMN($F$8))&gt;$E28),0,$C28*((3*(((COLUMN()-COLUMN($F$8))-$D28+1)/$F28)^2-2*(((COLUMN()-COLUMN($F$8))-$D28+1)/$F28)^3)-(3*(((COLUMN()-COLUMN($F$8))-$D28)/$F28)^2-2*(((COLUMN()-COLUMN($F$8))-$D28)/$F28)^3)))</f>
        <v>0</v>
      </c>
      <c r="Y28" s="1016" t="n">
        <f aca="false">IF(OR((COLUMN()-COLUMN($F$8))&lt;$D28,(COLUMN()-COLUMN($F$8))&gt;$E28),0,$C28*((3*(((COLUMN()-COLUMN($F$8))-$D28+1)/$F28)^2-2*(((COLUMN()-COLUMN($F$8))-$D28+1)/$F28)^3)-(3*(((COLUMN()-COLUMN($F$8))-$D28)/$F28)^2-2*(((COLUMN()-COLUMN($F$8))-$D28)/$F28)^3)))</f>
        <v>0</v>
      </c>
      <c r="Z28" s="1016" t="n">
        <f aca="false">IF(OR((COLUMN()-COLUMN($F$8))&lt;$D28,(COLUMN()-COLUMN($F$8))&gt;$E28),0,$C28*((3*(((COLUMN()-COLUMN($F$8))-$D28+1)/$F28)^2-2*(((COLUMN()-COLUMN($F$8))-$D28+1)/$F28)^3)-(3*(((COLUMN()-COLUMN($F$8))-$D28)/$F28)^2-2*(((COLUMN()-COLUMN($F$8))-$D28)/$F28)^3)))</f>
        <v>52317.9012345679</v>
      </c>
      <c r="AA28" s="1016" t="n">
        <f aca="false">IF(OR((COLUMN()-COLUMN($F$8))&lt;$D28,(COLUMN()-COLUMN($F$8))&gt;$E28),0,$C28*((3*(((COLUMN()-COLUMN($F$8))-$D28+1)/$F28)^2-2*(((COLUMN()-COLUMN($F$8))-$D28+1)/$F28)^3)-(3*(((COLUMN()-COLUMN($F$8))-$D28)/$F28)^2-2*(((COLUMN()-COLUMN($F$8))-$D28)/$F28)^3)))</f>
        <v>140211.975308642</v>
      </c>
      <c r="AB28" s="1016" t="n">
        <f aca="false">IF(OR((COLUMN()-COLUMN($F$8))&lt;$D28,(COLUMN()-COLUMN($F$8))&gt;$E28),0,$C28*((3*(((COLUMN()-COLUMN($F$8))-$D28+1)/$F28)^2-2*(((COLUMN()-COLUMN($F$8))-$D28+1)/$F28)^3)-(3*(((COLUMN()-COLUMN($F$8))-$D28)/$F28)^2-2*(((COLUMN()-COLUMN($F$8))-$D28)/$F28)^3)))</f>
        <v>202993.456790123</v>
      </c>
      <c r="AC28" s="1016" t="n">
        <f aca="false">IF(OR((COLUMN()-COLUMN($F$8))&lt;$D28,(COLUMN()-COLUMN($F$8))&gt;$E28),0,$C28*((3*(((COLUMN()-COLUMN($F$8))-$D28+1)/$F28)^2-2*(((COLUMN()-COLUMN($F$8))-$D28+1)/$F28)^3)-(3*(((COLUMN()-COLUMN($F$8))-$D28)/$F28)^2-2*(((COLUMN()-COLUMN($F$8))-$D28)/$F28)^3)))</f>
        <v>240662.345679012</v>
      </c>
      <c r="AD28" s="1016" t="n">
        <f aca="false">IF(OR((COLUMN()-COLUMN($F$8))&lt;$D28,(COLUMN()-COLUMN($F$8))&gt;$E28),0,$C28*((3*(((COLUMN()-COLUMN($F$8))-$D28+1)/$F28)^2-2*(((COLUMN()-COLUMN($F$8))-$D28+1)/$F28)^3)-(3*(((COLUMN()-COLUMN($F$8))-$D28)/$F28)^2-2*(((COLUMN()-COLUMN($F$8))-$D28)/$F28)^3)))</f>
        <v>253218.641975309</v>
      </c>
      <c r="AE28" s="1016" t="n">
        <f aca="false">IF(OR((COLUMN()-COLUMN($F$8))&lt;$D28,(COLUMN()-COLUMN($F$8))&gt;$E28),0,$C28*((3*(((COLUMN()-COLUMN($F$8))-$D28+1)/$F28)^2-2*(((COLUMN()-COLUMN($F$8))-$D28+1)/$F28)^3)-(3*(((COLUMN()-COLUMN($F$8))-$D28)/$F28)^2-2*(((COLUMN()-COLUMN($F$8))-$D28)/$F28)^3)))</f>
        <v>240662.345679012</v>
      </c>
      <c r="AF28" s="1016" t="n">
        <f aca="false">IF(OR((COLUMN()-COLUMN($F$8))&lt;$D28,(COLUMN()-COLUMN($F$8))&gt;$E28),0,$C28*((3*(((COLUMN()-COLUMN($F$8))-$D28+1)/$F28)^2-2*(((COLUMN()-COLUMN($F$8))-$D28+1)/$F28)^3)-(3*(((COLUMN()-COLUMN($F$8))-$D28)/$F28)^2-2*(((COLUMN()-COLUMN($F$8))-$D28)/$F28)^3)))</f>
        <v>202993.456790123</v>
      </c>
      <c r="AG28" s="1016" t="n">
        <f aca="false">IF(OR((COLUMN()-COLUMN($F$8))&lt;$D28,(COLUMN()-COLUMN($F$8))&gt;$E28),0,$C28*((3*(((COLUMN()-COLUMN($F$8))-$D28+1)/$F28)^2-2*(((COLUMN()-COLUMN($F$8))-$D28+1)/$F28)^3)-(3*(((COLUMN()-COLUMN($F$8))-$D28)/$F28)^2-2*(((COLUMN()-COLUMN($F$8))-$D28)/$F28)^3)))</f>
        <v>140211.975308642</v>
      </c>
      <c r="AH28" s="1016" t="n">
        <f aca="false">IF(OR((COLUMN()-COLUMN($F$8))&lt;$D28,(COLUMN()-COLUMN($F$8))&gt;$E28),0,$C28*((3*(((COLUMN()-COLUMN($F$8))-$D28+1)/$F28)^2-2*(((COLUMN()-COLUMN($F$8))-$D28+1)/$F28)^3)-(3*(((COLUMN()-COLUMN($F$8))-$D28)/$F28)^2-2*(((COLUMN()-COLUMN($F$8))-$D28)/$F28)^3)))</f>
        <v>52317.9012345676</v>
      </c>
      <c r="AI28" s="1016" t="n">
        <f aca="false">IF(OR((COLUMN()-COLUMN($F$8))&lt;$D28,(COLUMN()-COLUMN($F$8))&gt;$E28),0,$C28*((3*(((COLUMN()-COLUMN($F$8))-$D28+1)/$F28)^2-2*(((COLUMN()-COLUMN($F$8))-$D28+1)/$F28)^3)-(3*(((COLUMN()-COLUMN($F$8))-$D28)/$F28)^2-2*(((COLUMN()-COLUMN($F$8))-$D28)/$F28)^3)))</f>
        <v>0</v>
      </c>
      <c r="AJ28" s="1016" t="n">
        <f aca="false">IF(OR((COLUMN()-COLUMN($F$8))&lt;$D28,(COLUMN()-COLUMN($F$8))&gt;$E28),0,$C28*((3*(((COLUMN()-COLUMN($F$8))-$D28+1)/$F28)^2-2*(((COLUMN()-COLUMN($F$8))-$D28+1)/$F28)^3)-(3*(((COLUMN()-COLUMN($F$8))-$D28)/$F28)^2-2*(((COLUMN()-COLUMN($F$8))-$D28)/$F28)^3)))</f>
        <v>0</v>
      </c>
    </row>
    <row r="29" customFormat="false" ht="15" hidden="false" customHeight="true" outlineLevel="0" collapsed="false">
      <c r="A29" s="1013" t="s">
        <v>1906</v>
      </c>
      <c r="B29" s="1013"/>
      <c r="C29" s="1014" t="n">
        <f aca="false">'Construction Budget'!H315</f>
        <v>1217056.5</v>
      </c>
      <c r="D29" s="1013" t="n">
        <v>23</v>
      </c>
      <c r="E29" s="1013" t="n">
        <v>29</v>
      </c>
      <c r="F29" s="1013" t="n">
        <v>7</v>
      </c>
      <c r="G29" s="1015" t="n">
        <f aca="false">IF(OR((COLUMN()-COLUMN($F$8))&lt;$D29,(COLUMN()-COLUMN($F$8))&gt;$E29),0,$C29*((3*(((COLUMN()-COLUMN($F$8))-$D29+1)/$F29)^2-2*(((COLUMN()-COLUMN($F$8))-$D29+1)/$F29)^3)-(3*(((COLUMN()-COLUMN($F$8))-$D29)/$F29)^2-2*(((COLUMN()-COLUMN($F$8))-$D29)/$F29)^3)))</f>
        <v>0</v>
      </c>
      <c r="H29" s="1016" t="n">
        <f aca="false">IF(OR((COLUMN()-COLUMN($F$8))&lt;$D29,(COLUMN()-COLUMN($F$8))&gt;$E29),0,$C29*((3*(((COLUMN()-COLUMN($F$8))-$D29+1)/$F29)^2-2*(((COLUMN()-COLUMN($F$8))-$D29+1)/$F29)^3)-(3*(((COLUMN()-COLUMN($F$8))-$D29)/$F29)^2-2*(((COLUMN()-COLUMN($F$8))-$D29)/$F29)^3)))</f>
        <v>0</v>
      </c>
      <c r="I29" s="1016" t="n">
        <f aca="false">IF(OR((COLUMN()-COLUMN($F$8))&lt;$D29,(COLUMN()-COLUMN($F$8))&gt;$E29),0,$C29*((3*(((COLUMN()-COLUMN($F$8))-$D29+1)/$F29)^2-2*(((COLUMN()-COLUMN($F$8))-$D29+1)/$F29)^3)-(3*(((COLUMN()-COLUMN($F$8))-$D29)/$F29)^2-2*(((COLUMN()-COLUMN($F$8))-$D29)/$F29)^3)))</f>
        <v>0</v>
      </c>
      <c r="J29" s="1016" t="n">
        <f aca="false">IF(OR((COLUMN()-COLUMN($F$8))&lt;$D29,(COLUMN()-COLUMN($F$8))&gt;$E29),0,$C29*((3*(((COLUMN()-COLUMN($F$8))-$D29+1)/$F29)^2-2*(((COLUMN()-COLUMN($F$8))-$D29+1)/$F29)^3)-(3*(((COLUMN()-COLUMN($F$8))-$D29)/$F29)^2-2*(((COLUMN()-COLUMN($F$8))-$D29)/$F29)^3)))</f>
        <v>0</v>
      </c>
      <c r="K29" s="1016" t="n">
        <f aca="false">IF(OR((COLUMN()-COLUMN($F$8))&lt;$D29,(COLUMN()-COLUMN($F$8))&gt;$E29),0,$C29*((3*(((COLUMN()-COLUMN($F$8))-$D29+1)/$F29)^2-2*(((COLUMN()-COLUMN($F$8))-$D29+1)/$F29)^3)-(3*(((COLUMN()-COLUMN($F$8))-$D29)/$F29)^2-2*(((COLUMN()-COLUMN($F$8))-$D29)/$F29)^3)))</f>
        <v>0</v>
      </c>
      <c r="L29" s="1016" t="n">
        <f aca="false">IF(OR((COLUMN()-COLUMN($F$8))&lt;$D29,(COLUMN()-COLUMN($F$8))&gt;$E29),0,$C29*((3*(((COLUMN()-COLUMN($F$8))-$D29+1)/$F29)^2-2*(((COLUMN()-COLUMN($F$8))-$D29+1)/$F29)^3)-(3*(((COLUMN()-COLUMN($F$8))-$D29)/$F29)^2-2*(((COLUMN()-COLUMN($F$8))-$D29)/$F29)^3)))</f>
        <v>0</v>
      </c>
      <c r="M29" s="1016" t="n">
        <f aca="false">IF(OR((COLUMN()-COLUMN($F$8))&lt;$D29,(COLUMN()-COLUMN($F$8))&gt;$E29),0,$C29*((3*(((COLUMN()-COLUMN($F$8))-$D29+1)/$F29)^2-2*(((COLUMN()-COLUMN($F$8))-$D29+1)/$F29)^3)-(3*(((COLUMN()-COLUMN($F$8))-$D29)/$F29)^2-2*(((COLUMN()-COLUMN($F$8))-$D29)/$F29)^3)))</f>
        <v>0</v>
      </c>
      <c r="N29" s="1016" t="n">
        <f aca="false">IF(OR((COLUMN()-COLUMN($F$8))&lt;$D29,(COLUMN()-COLUMN($F$8))&gt;$E29),0,$C29*((3*(((COLUMN()-COLUMN($F$8))-$D29+1)/$F29)^2-2*(((COLUMN()-COLUMN($F$8))-$D29+1)/$F29)^3)-(3*(((COLUMN()-COLUMN($F$8))-$D29)/$F29)^2-2*(((COLUMN()-COLUMN($F$8))-$D29)/$F29)^3)))</f>
        <v>0</v>
      </c>
      <c r="O29" s="1016" t="n">
        <f aca="false">IF(OR((COLUMN()-COLUMN($F$8))&lt;$D29,(COLUMN()-COLUMN($F$8))&gt;$E29),0,$C29*((3*(((COLUMN()-COLUMN($F$8))-$D29+1)/$F29)^2-2*(((COLUMN()-COLUMN($F$8))-$D29+1)/$F29)^3)-(3*(((COLUMN()-COLUMN($F$8))-$D29)/$F29)^2-2*(((COLUMN()-COLUMN($F$8))-$D29)/$F29)^3)))</f>
        <v>0</v>
      </c>
      <c r="P29" s="1016" t="n">
        <f aca="false">IF(OR((COLUMN()-COLUMN($F$8))&lt;$D29,(COLUMN()-COLUMN($F$8))&gt;$E29),0,$C29*((3*(((COLUMN()-COLUMN($F$8))-$D29+1)/$F29)^2-2*(((COLUMN()-COLUMN($F$8))-$D29+1)/$F29)^3)-(3*(((COLUMN()-COLUMN($F$8))-$D29)/$F29)^2-2*(((COLUMN()-COLUMN($F$8))-$D29)/$F29)^3)))</f>
        <v>0</v>
      </c>
      <c r="Q29" s="1016" t="n">
        <f aca="false">IF(OR((COLUMN()-COLUMN($F$8))&lt;$D29,(COLUMN()-COLUMN($F$8))&gt;$E29),0,$C29*((3*(((COLUMN()-COLUMN($F$8))-$D29+1)/$F29)^2-2*(((COLUMN()-COLUMN($F$8))-$D29+1)/$F29)^3)-(3*(((COLUMN()-COLUMN($F$8))-$D29)/$F29)^2-2*(((COLUMN()-COLUMN($F$8))-$D29)/$F29)^3)))</f>
        <v>0</v>
      </c>
      <c r="R29" s="1016" t="n">
        <f aca="false">IF(OR((COLUMN()-COLUMN($F$8))&lt;$D29,(COLUMN()-COLUMN($F$8))&gt;$E29),0,$C29*((3*(((COLUMN()-COLUMN($F$8))-$D29+1)/$F29)^2-2*(((COLUMN()-COLUMN($F$8))-$D29+1)/$F29)^3)-(3*(((COLUMN()-COLUMN($F$8))-$D29)/$F29)^2-2*(((COLUMN()-COLUMN($F$8))-$D29)/$F29)^3)))</f>
        <v>0</v>
      </c>
      <c r="S29" s="1016" t="n">
        <f aca="false">IF(OR((COLUMN()-COLUMN($F$8))&lt;$D29,(COLUMN()-COLUMN($F$8))&gt;$E29),0,$C29*((3*(((COLUMN()-COLUMN($F$8))-$D29+1)/$F29)^2-2*(((COLUMN()-COLUMN($F$8))-$D29+1)/$F29)^3)-(3*(((COLUMN()-COLUMN($F$8))-$D29)/$F29)^2-2*(((COLUMN()-COLUMN($F$8))-$D29)/$F29)^3)))</f>
        <v>0</v>
      </c>
      <c r="T29" s="1016" t="n">
        <f aca="false">IF(OR((COLUMN()-COLUMN($F$8))&lt;$D29,(COLUMN()-COLUMN($F$8))&gt;$E29),0,$C29*((3*(((COLUMN()-COLUMN($F$8))-$D29+1)/$F29)^2-2*(((COLUMN()-COLUMN($F$8))-$D29+1)/$F29)^3)-(3*(((COLUMN()-COLUMN($F$8))-$D29)/$F29)^2-2*(((COLUMN()-COLUMN($F$8))-$D29)/$F29)^3)))</f>
        <v>0</v>
      </c>
      <c r="U29" s="1016" t="n">
        <f aca="false">IF(OR((COLUMN()-COLUMN($F$8))&lt;$D29,(COLUMN()-COLUMN($F$8))&gt;$E29),0,$C29*((3*(((COLUMN()-COLUMN($F$8))-$D29+1)/$F29)^2-2*(((COLUMN()-COLUMN($F$8))-$D29+1)/$F29)^3)-(3*(((COLUMN()-COLUMN($F$8))-$D29)/$F29)^2-2*(((COLUMN()-COLUMN($F$8))-$D29)/$F29)^3)))</f>
        <v>0</v>
      </c>
      <c r="V29" s="1016" t="n">
        <f aca="false">IF(OR((COLUMN()-COLUMN($F$8))&lt;$D29,(COLUMN()-COLUMN($F$8))&gt;$E29),0,$C29*((3*(((COLUMN()-COLUMN($F$8))-$D29+1)/$F29)^2-2*(((COLUMN()-COLUMN($F$8))-$D29+1)/$F29)^3)-(3*(((COLUMN()-COLUMN($F$8))-$D29)/$F29)^2-2*(((COLUMN()-COLUMN($F$8))-$D29)/$F29)^3)))</f>
        <v>0</v>
      </c>
      <c r="W29" s="1016" t="n">
        <f aca="false">IF(OR((COLUMN()-COLUMN($F$8))&lt;$D29,(COLUMN()-COLUMN($F$8))&gt;$E29),0,$C29*((3*(((COLUMN()-COLUMN($F$8))-$D29+1)/$F29)^2-2*(((COLUMN()-COLUMN($F$8))-$D29+1)/$F29)^3)-(3*(((COLUMN()-COLUMN($F$8))-$D29)/$F29)^2-2*(((COLUMN()-COLUMN($F$8))-$D29)/$F29)^3)))</f>
        <v>0</v>
      </c>
      <c r="X29" s="1016" t="n">
        <f aca="false">IF(OR((COLUMN()-COLUMN($F$8))&lt;$D29,(COLUMN()-COLUMN($F$8))&gt;$E29),0,$C29*((3*(((COLUMN()-COLUMN($F$8))-$D29+1)/$F29)^2-2*(((COLUMN()-COLUMN($F$8))-$D29+1)/$F29)^3)-(3*(((COLUMN()-COLUMN($F$8))-$D29)/$F29)^2-2*(((COLUMN()-COLUMN($F$8))-$D29)/$F29)^3)))</f>
        <v>0</v>
      </c>
      <c r="Y29" s="1016" t="n">
        <f aca="false">IF(OR((COLUMN()-COLUMN($F$8))&lt;$D29,(COLUMN()-COLUMN($F$8))&gt;$E29),0,$C29*((3*(((COLUMN()-COLUMN($F$8))-$D29+1)/$F29)^2-2*(((COLUMN()-COLUMN($F$8))-$D29+1)/$F29)^3)-(3*(((COLUMN()-COLUMN($F$8))-$D29)/$F29)^2-2*(((COLUMN()-COLUMN($F$8))-$D29)/$F29)^3)))</f>
        <v>0</v>
      </c>
      <c r="Z29" s="1016" t="n">
        <f aca="false">IF(OR((COLUMN()-COLUMN($F$8))&lt;$D29,(COLUMN()-COLUMN($F$8))&gt;$E29),0,$C29*((3*(((COLUMN()-COLUMN($F$8))-$D29+1)/$F29)^2-2*(((COLUMN()-COLUMN($F$8))-$D29+1)/$F29)^3)-(3*(((COLUMN()-COLUMN($F$8))-$D29)/$F29)^2-2*(((COLUMN()-COLUMN($F$8))-$D29)/$F29)^3)))</f>
        <v>0</v>
      </c>
      <c r="AA29" s="1016" t="n">
        <f aca="false">IF(OR((COLUMN()-COLUMN($F$8))&lt;$D29,(COLUMN()-COLUMN($F$8))&gt;$E29),0,$C29*((3*(((COLUMN()-COLUMN($F$8))-$D29+1)/$F29)^2-2*(((COLUMN()-COLUMN($F$8))-$D29+1)/$F29)^3)-(3*(((COLUMN()-COLUMN($F$8))-$D29)/$F29)^2-2*(((COLUMN()-COLUMN($F$8))-$D29)/$F29)^3)))</f>
        <v>0</v>
      </c>
      <c r="AB29" s="1016" t="n">
        <f aca="false">IF(OR((COLUMN()-COLUMN($F$8))&lt;$D29,(COLUMN()-COLUMN($F$8))&gt;$E29),0,$C29*((3*(((COLUMN()-COLUMN($F$8))-$D29+1)/$F29)^2-2*(((COLUMN()-COLUMN($F$8))-$D29+1)/$F29)^3)-(3*(((COLUMN()-COLUMN($F$8))-$D29)/$F29)^2-2*(((COLUMN()-COLUMN($F$8))-$D29)/$F29)^3)))</f>
        <v>0</v>
      </c>
      <c r="AC29" s="1016" t="n">
        <f aca="false">IF(OR((COLUMN()-COLUMN($F$8))&lt;$D29,(COLUMN()-COLUMN($F$8))&gt;$E29),0,$C29*((3*(((COLUMN()-COLUMN($F$8))-$D29+1)/$F29)^2-2*(((COLUMN()-COLUMN($F$8))-$D29+1)/$F29)^3)-(3*(((COLUMN()-COLUMN($F$8))-$D29)/$F29)^2-2*(((COLUMN()-COLUMN($F$8))-$D29)/$F29)^3)))</f>
        <v>67417.1239067055</v>
      </c>
      <c r="AD29" s="1016" t="n">
        <f aca="false">IF(OR((COLUMN()-COLUMN($F$8))&lt;$D29,(COLUMN()-COLUMN($F$8))&gt;$E29),0,$C29*((3*(((COLUMN()-COLUMN($F$8))-$D29+1)/$F29)^2-2*(((COLUMN()-COLUMN($F$8))-$D29+1)/$F29)^3)-(3*(((COLUMN()-COLUMN($F$8))-$D29)/$F29)^2-2*(((COLUMN()-COLUMN($F$8))-$D29)/$F29)^3)))</f>
        <v>173865.214285714</v>
      </c>
      <c r="AE29" s="1016" t="n">
        <f aca="false">IF(OR((COLUMN()-COLUMN($F$8))&lt;$D29,(COLUMN()-COLUMN($F$8))&gt;$E29),0,$C29*((3*(((COLUMN()-COLUMN($F$8))-$D29+1)/$F29)^2-2*(((COLUMN()-COLUMN($F$8))-$D29+1)/$F29)^3)-(3*(((COLUMN()-COLUMN($F$8))-$D29)/$F29)^2-2*(((COLUMN()-COLUMN($F$8))-$D29)/$F29)^3)))</f>
        <v>237734.068513119</v>
      </c>
      <c r="AF29" s="1016" t="n">
        <f aca="false">IF(OR((COLUMN()-COLUMN($F$8))&lt;$D29,(COLUMN()-COLUMN($F$8))&gt;$E29),0,$C29*((3*(((COLUMN()-COLUMN($F$8))-$D29+1)/$F29)^2-2*(((COLUMN()-COLUMN($F$8))-$D29+1)/$F29)^3)-(3*(((COLUMN()-COLUMN($F$8))-$D29)/$F29)^2-2*(((COLUMN()-COLUMN($F$8))-$D29)/$F29)^3)))</f>
        <v>259023.686588921</v>
      </c>
      <c r="AG29" s="1016" t="n">
        <f aca="false">IF(OR((COLUMN()-COLUMN($F$8))&lt;$D29,(COLUMN()-COLUMN($F$8))&gt;$E29),0,$C29*((3*(((COLUMN()-COLUMN($F$8))-$D29+1)/$F29)^2-2*(((COLUMN()-COLUMN($F$8))-$D29+1)/$F29)^3)-(3*(((COLUMN()-COLUMN($F$8))-$D29)/$F29)^2-2*(((COLUMN()-COLUMN($F$8))-$D29)/$F29)^3)))</f>
        <v>237734.06851312</v>
      </c>
      <c r="AH29" s="1016" t="n">
        <f aca="false">IF(OR((COLUMN()-COLUMN($F$8))&lt;$D29,(COLUMN()-COLUMN($F$8))&gt;$E29),0,$C29*((3*(((COLUMN()-COLUMN($F$8))-$D29+1)/$F29)^2-2*(((COLUMN()-COLUMN($F$8))-$D29+1)/$F29)^3)-(3*(((COLUMN()-COLUMN($F$8))-$D29)/$F29)^2-2*(((COLUMN()-COLUMN($F$8))-$D29)/$F29)^3)))</f>
        <v>173865.214285714</v>
      </c>
      <c r="AI29" s="1016" t="n">
        <f aca="false">IF(OR((COLUMN()-COLUMN($F$8))&lt;$D29,(COLUMN()-COLUMN($F$8))&gt;$E29),0,$C29*((3*(((COLUMN()-COLUMN($F$8))-$D29+1)/$F29)^2-2*(((COLUMN()-COLUMN($F$8))-$D29+1)/$F29)^3)-(3*(((COLUMN()-COLUMN($F$8))-$D29)/$F29)^2-2*(((COLUMN()-COLUMN($F$8))-$D29)/$F29)^3)))</f>
        <v>67417.1239067057</v>
      </c>
      <c r="AJ29" s="1016" t="n">
        <f aca="false">IF(OR((COLUMN()-COLUMN($F$8))&lt;$D29,(COLUMN()-COLUMN($F$8))&gt;$E29),0,$C29*((3*(((COLUMN()-COLUMN($F$8))-$D29+1)/$F29)^2-2*(((COLUMN()-COLUMN($F$8))-$D29+1)/$F29)^3)-(3*(((COLUMN()-COLUMN($F$8))-$D29)/$F29)^2-2*(((COLUMN()-COLUMN($F$8))-$D29)/$F29)^3)))</f>
        <v>0</v>
      </c>
    </row>
    <row r="30" customFormat="false" ht="15" hidden="false" customHeight="true" outlineLevel="0" collapsed="false">
      <c r="A30" s="1013" t="s">
        <v>4906</v>
      </c>
      <c r="B30" s="1013"/>
      <c r="C30" s="1014" t="n">
        <f aca="false">'Construction Budget'!H324</f>
        <v>4104292.5</v>
      </c>
      <c r="D30" s="1013" t="n">
        <v>18</v>
      </c>
      <c r="E30" s="1013" t="n">
        <v>28</v>
      </c>
      <c r="F30" s="1013" t="n">
        <v>11</v>
      </c>
      <c r="G30" s="1015" t="n">
        <f aca="false">IF(OR((COLUMN()-COLUMN($F$8))&lt;$D30,(COLUMN()-COLUMN($F$8))&gt;$E30),0,$C30*((3*(((COLUMN()-COLUMN($F$8))-$D30+1)/$F30)^2-2*(((COLUMN()-COLUMN($F$8))-$D30+1)/$F30)^3)-(3*(((COLUMN()-COLUMN($F$8))-$D30)/$F30)^2-2*(((COLUMN()-COLUMN($F$8))-$D30)/$F30)^3)))</f>
        <v>0</v>
      </c>
      <c r="H30" s="1016" t="n">
        <f aca="false">IF(OR((COLUMN()-COLUMN($F$8))&lt;$D30,(COLUMN()-COLUMN($F$8))&gt;$E30),0,$C30*((3*(((COLUMN()-COLUMN($F$8))-$D30+1)/$F30)^2-2*(((COLUMN()-COLUMN($F$8))-$D30+1)/$F30)^3)-(3*(((COLUMN()-COLUMN($F$8))-$D30)/$F30)^2-2*(((COLUMN()-COLUMN($F$8))-$D30)/$F30)^3)))</f>
        <v>0</v>
      </c>
      <c r="I30" s="1016" t="n">
        <f aca="false">IF(OR((COLUMN()-COLUMN($F$8))&lt;$D30,(COLUMN()-COLUMN($F$8))&gt;$E30),0,$C30*((3*(((COLUMN()-COLUMN($F$8))-$D30+1)/$F30)^2-2*(((COLUMN()-COLUMN($F$8))-$D30+1)/$F30)^3)-(3*(((COLUMN()-COLUMN($F$8))-$D30)/$F30)^2-2*(((COLUMN()-COLUMN($F$8))-$D30)/$F30)^3)))</f>
        <v>0</v>
      </c>
      <c r="J30" s="1016" t="n">
        <f aca="false">IF(OR((COLUMN()-COLUMN($F$8))&lt;$D30,(COLUMN()-COLUMN($F$8))&gt;$E30),0,$C30*((3*(((COLUMN()-COLUMN($F$8))-$D30+1)/$F30)^2-2*(((COLUMN()-COLUMN($F$8))-$D30+1)/$F30)^3)-(3*(((COLUMN()-COLUMN($F$8))-$D30)/$F30)^2-2*(((COLUMN()-COLUMN($F$8))-$D30)/$F30)^3)))</f>
        <v>0</v>
      </c>
      <c r="K30" s="1016" t="n">
        <f aca="false">IF(OR((COLUMN()-COLUMN($F$8))&lt;$D30,(COLUMN()-COLUMN($F$8))&gt;$E30),0,$C30*((3*(((COLUMN()-COLUMN($F$8))-$D30+1)/$F30)^2-2*(((COLUMN()-COLUMN($F$8))-$D30+1)/$F30)^3)-(3*(((COLUMN()-COLUMN($F$8))-$D30)/$F30)^2-2*(((COLUMN()-COLUMN($F$8))-$D30)/$F30)^3)))</f>
        <v>0</v>
      </c>
      <c r="L30" s="1016" t="n">
        <f aca="false">IF(OR((COLUMN()-COLUMN($F$8))&lt;$D30,(COLUMN()-COLUMN($F$8))&gt;$E30),0,$C30*((3*(((COLUMN()-COLUMN($F$8))-$D30+1)/$F30)^2-2*(((COLUMN()-COLUMN($F$8))-$D30+1)/$F30)^3)-(3*(((COLUMN()-COLUMN($F$8))-$D30)/$F30)^2-2*(((COLUMN()-COLUMN($F$8))-$D30)/$F30)^3)))</f>
        <v>0</v>
      </c>
      <c r="M30" s="1016" t="n">
        <f aca="false">IF(OR((COLUMN()-COLUMN($F$8))&lt;$D30,(COLUMN()-COLUMN($F$8))&gt;$E30),0,$C30*((3*(((COLUMN()-COLUMN($F$8))-$D30+1)/$F30)^2-2*(((COLUMN()-COLUMN($F$8))-$D30+1)/$F30)^3)-(3*(((COLUMN()-COLUMN($F$8))-$D30)/$F30)^2-2*(((COLUMN()-COLUMN($F$8))-$D30)/$F30)^3)))</f>
        <v>0</v>
      </c>
      <c r="N30" s="1016" t="n">
        <f aca="false">IF(OR((COLUMN()-COLUMN($F$8))&lt;$D30,(COLUMN()-COLUMN($F$8))&gt;$E30),0,$C30*((3*(((COLUMN()-COLUMN($F$8))-$D30+1)/$F30)^2-2*(((COLUMN()-COLUMN($F$8))-$D30+1)/$F30)^3)-(3*(((COLUMN()-COLUMN($F$8))-$D30)/$F30)^2-2*(((COLUMN()-COLUMN($F$8))-$D30)/$F30)^3)))</f>
        <v>0</v>
      </c>
      <c r="O30" s="1016" t="n">
        <f aca="false">IF(OR((COLUMN()-COLUMN($F$8))&lt;$D30,(COLUMN()-COLUMN($F$8))&gt;$E30),0,$C30*((3*(((COLUMN()-COLUMN($F$8))-$D30+1)/$F30)^2-2*(((COLUMN()-COLUMN($F$8))-$D30+1)/$F30)^3)-(3*(((COLUMN()-COLUMN($F$8))-$D30)/$F30)^2-2*(((COLUMN()-COLUMN($F$8))-$D30)/$F30)^3)))</f>
        <v>0</v>
      </c>
      <c r="P30" s="1016" t="n">
        <f aca="false">IF(OR((COLUMN()-COLUMN($F$8))&lt;$D30,(COLUMN()-COLUMN($F$8))&gt;$E30),0,$C30*((3*(((COLUMN()-COLUMN($F$8))-$D30+1)/$F30)^2-2*(((COLUMN()-COLUMN($F$8))-$D30+1)/$F30)^3)-(3*(((COLUMN()-COLUMN($F$8))-$D30)/$F30)^2-2*(((COLUMN()-COLUMN($F$8))-$D30)/$F30)^3)))</f>
        <v>0</v>
      </c>
      <c r="Q30" s="1016" t="n">
        <f aca="false">IF(OR((COLUMN()-COLUMN($F$8))&lt;$D30,(COLUMN()-COLUMN($F$8))&gt;$E30),0,$C30*((3*(((COLUMN()-COLUMN($F$8))-$D30+1)/$F30)^2-2*(((COLUMN()-COLUMN($F$8))-$D30+1)/$F30)^3)-(3*(((COLUMN()-COLUMN($F$8))-$D30)/$F30)^2-2*(((COLUMN()-COLUMN($F$8))-$D30)/$F30)^3)))</f>
        <v>0</v>
      </c>
      <c r="R30" s="1016" t="n">
        <f aca="false">IF(OR((COLUMN()-COLUMN($F$8))&lt;$D30,(COLUMN()-COLUMN($F$8))&gt;$E30),0,$C30*((3*(((COLUMN()-COLUMN($F$8))-$D30+1)/$F30)^2-2*(((COLUMN()-COLUMN($F$8))-$D30+1)/$F30)^3)-(3*(((COLUMN()-COLUMN($F$8))-$D30)/$F30)^2-2*(((COLUMN()-COLUMN($F$8))-$D30)/$F30)^3)))</f>
        <v>0</v>
      </c>
      <c r="S30" s="1016" t="n">
        <f aca="false">IF(OR((COLUMN()-COLUMN($F$8))&lt;$D30,(COLUMN()-COLUMN($F$8))&gt;$E30),0,$C30*((3*(((COLUMN()-COLUMN($F$8))-$D30+1)/$F30)^2-2*(((COLUMN()-COLUMN($F$8))-$D30+1)/$F30)^3)-(3*(((COLUMN()-COLUMN($F$8))-$D30)/$F30)^2-2*(((COLUMN()-COLUMN($F$8))-$D30)/$F30)^3)))</f>
        <v>0</v>
      </c>
      <c r="T30" s="1016" t="n">
        <f aca="false">IF(OR((COLUMN()-COLUMN($F$8))&lt;$D30,(COLUMN()-COLUMN($F$8))&gt;$E30),0,$C30*((3*(((COLUMN()-COLUMN($F$8))-$D30+1)/$F30)^2-2*(((COLUMN()-COLUMN($F$8))-$D30+1)/$F30)^3)-(3*(((COLUMN()-COLUMN($F$8))-$D30)/$F30)^2-2*(((COLUMN()-COLUMN($F$8))-$D30)/$F30)^3)))</f>
        <v>0</v>
      </c>
      <c r="U30" s="1016" t="n">
        <f aca="false">IF(OR((COLUMN()-COLUMN($F$8))&lt;$D30,(COLUMN()-COLUMN($F$8))&gt;$E30),0,$C30*((3*(((COLUMN()-COLUMN($F$8))-$D30+1)/$F30)^2-2*(((COLUMN()-COLUMN($F$8))-$D30+1)/$F30)^3)-(3*(((COLUMN()-COLUMN($F$8))-$D30)/$F30)^2-2*(((COLUMN()-COLUMN($F$8))-$D30)/$F30)^3)))</f>
        <v>0</v>
      </c>
      <c r="V30" s="1016" t="n">
        <f aca="false">IF(OR((COLUMN()-COLUMN($F$8))&lt;$D30,(COLUMN()-COLUMN($F$8))&gt;$E30),0,$C30*((3*(((COLUMN()-COLUMN($F$8))-$D30+1)/$F30)^2-2*(((COLUMN()-COLUMN($F$8))-$D30+1)/$F30)^3)-(3*(((COLUMN()-COLUMN($F$8))-$D30)/$F30)^2-2*(((COLUMN()-COLUMN($F$8))-$D30)/$F30)^3)))</f>
        <v>0</v>
      </c>
      <c r="W30" s="1016" t="n">
        <f aca="false">IF(OR((COLUMN()-COLUMN($F$8))&lt;$D30,(COLUMN()-COLUMN($F$8))&gt;$E30),0,$C30*((3*(((COLUMN()-COLUMN($F$8))-$D30+1)/$F30)^2-2*(((COLUMN()-COLUMN($F$8))-$D30+1)/$F30)^3)-(3*(((COLUMN()-COLUMN($F$8))-$D30)/$F30)^2-2*(((COLUMN()-COLUMN($F$8))-$D30)/$F30)^3)))</f>
        <v>0</v>
      </c>
      <c r="X30" s="1016" t="n">
        <f aca="false">IF(OR((COLUMN()-COLUMN($F$8))&lt;$D30,(COLUMN()-COLUMN($F$8))&gt;$E30),0,$C30*((3*(((COLUMN()-COLUMN($F$8))-$D30+1)/$F30)^2-2*(((COLUMN()-COLUMN($F$8))-$D30+1)/$F30)^3)-(3*(((COLUMN()-COLUMN($F$8))-$D30)/$F30)^2-2*(((COLUMN()-COLUMN($F$8))-$D30)/$F30)^3)))</f>
        <v>95592.0867768595</v>
      </c>
      <c r="Y30" s="1016" t="n">
        <f aca="false">IF(OR((COLUMN()-COLUMN($F$8))&lt;$D30,(COLUMN()-COLUMN($F$8))&gt;$E30),0,$C30*((3*(((COLUMN()-COLUMN($F$8))-$D30+1)/$F30)^2-2*(((COLUMN()-COLUMN($F$8))-$D30+1)/$F30)^3)-(3*(((COLUMN()-COLUMN($F$8))-$D30)/$F30)^2-2*(((COLUMN()-COLUMN($F$8))-$D30)/$F30)^3)))</f>
        <v>262107.334710744</v>
      </c>
      <c r="Z30" s="1016" t="n">
        <f aca="false">IF(OR((COLUMN()-COLUMN($F$8))&lt;$D30,(COLUMN()-COLUMN($F$8))&gt;$E30),0,$C30*((3*(((COLUMN()-COLUMN($F$8))-$D30+1)/$F30)^2-2*(((COLUMN()-COLUMN($F$8))-$D30+1)/$F30)^3)-(3*(((COLUMN()-COLUMN($F$8))-$D30)/$F30)^2-2*(((COLUMN()-COLUMN($F$8))-$D30)/$F30)^3)))</f>
        <v>391619.194214876</v>
      </c>
      <c r="AA30" s="1016" t="n">
        <f aca="false">IF(OR((COLUMN()-COLUMN($F$8))&lt;$D30,(COLUMN()-COLUMN($F$8))&gt;$E30),0,$C30*((3*(((COLUMN()-COLUMN($F$8))-$D30+1)/$F30)^2-2*(((COLUMN()-COLUMN($F$8))-$D30+1)/$F30)^3)-(3*(((COLUMN()-COLUMN($F$8))-$D30)/$F30)^2-2*(((COLUMN()-COLUMN($F$8))-$D30)/$F30)^3)))</f>
        <v>484127.665289256</v>
      </c>
      <c r="AB30" s="1016" t="n">
        <f aca="false">IF(OR((COLUMN()-COLUMN($F$8))&lt;$D30,(COLUMN()-COLUMN($F$8))&gt;$E30),0,$C30*((3*(((COLUMN()-COLUMN($F$8))-$D30+1)/$F30)^2-2*(((COLUMN()-COLUMN($F$8))-$D30+1)/$F30)^3)-(3*(((COLUMN()-COLUMN($F$8))-$D30)/$F30)^2-2*(((COLUMN()-COLUMN($F$8))-$D30)/$F30)^3)))</f>
        <v>539632.747933884</v>
      </c>
      <c r="AC30" s="1016" t="n">
        <f aca="false">IF(OR((COLUMN()-COLUMN($F$8))&lt;$D30,(COLUMN()-COLUMN($F$8))&gt;$E30),0,$C30*((3*(((COLUMN()-COLUMN($F$8))-$D30+1)/$F30)^2-2*(((COLUMN()-COLUMN($F$8))-$D30+1)/$F30)^3)-(3*(((COLUMN()-COLUMN($F$8))-$D30)/$F30)^2-2*(((COLUMN()-COLUMN($F$8))-$D30)/$F30)^3)))</f>
        <v>558134.442148761</v>
      </c>
      <c r="AD30" s="1016" t="n">
        <f aca="false">IF(OR((COLUMN()-COLUMN($F$8))&lt;$D30,(COLUMN()-COLUMN($F$8))&gt;$E30),0,$C30*((3*(((COLUMN()-COLUMN($F$8))-$D30+1)/$F30)^2-2*(((COLUMN()-COLUMN($F$8))-$D30+1)/$F30)^3)-(3*(((COLUMN()-COLUMN($F$8))-$D30)/$F30)^2-2*(((COLUMN()-COLUMN($F$8))-$D30)/$F30)^3)))</f>
        <v>539632.747933884</v>
      </c>
      <c r="AE30" s="1016" t="n">
        <f aca="false">IF(OR((COLUMN()-COLUMN($F$8))&lt;$D30,(COLUMN()-COLUMN($F$8))&gt;$E30),0,$C30*((3*(((COLUMN()-COLUMN($F$8))-$D30+1)/$F30)^2-2*(((COLUMN()-COLUMN($F$8))-$D30+1)/$F30)^3)-(3*(((COLUMN()-COLUMN($F$8))-$D30)/$F30)^2-2*(((COLUMN()-COLUMN($F$8))-$D30)/$F30)^3)))</f>
        <v>484127.665289256</v>
      </c>
      <c r="AF30" s="1016" t="n">
        <f aca="false">IF(OR((COLUMN()-COLUMN($F$8))&lt;$D30,(COLUMN()-COLUMN($F$8))&gt;$E30),0,$C30*((3*(((COLUMN()-COLUMN($F$8))-$D30+1)/$F30)^2-2*(((COLUMN()-COLUMN($F$8))-$D30+1)/$F30)^3)-(3*(((COLUMN()-COLUMN($F$8))-$D30)/$F30)^2-2*(((COLUMN()-COLUMN($F$8))-$D30)/$F30)^3)))</f>
        <v>391619.194214876</v>
      </c>
      <c r="AG30" s="1016" t="n">
        <f aca="false">IF(OR((COLUMN()-COLUMN($F$8))&lt;$D30,(COLUMN()-COLUMN($F$8))&gt;$E30),0,$C30*((3*(((COLUMN()-COLUMN($F$8))-$D30+1)/$F30)^2-2*(((COLUMN()-COLUMN($F$8))-$D30+1)/$F30)^3)-(3*(((COLUMN()-COLUMN($F$8))-$D30)/$F30)^2-2*(((COLUMN()-COLUMN($F$8))-$D30)/$F30)^3)))</f>
        <v>262107.334710744</v>
      </c>
      <c r="AH30" s="1016" t="n">
        <f aca="false">IF(OR((COLUMN()-COLUMN($F$8))&lt;$D30,(COLUMN()-COLUMN($F$8))&gt;$E30),0,$C30*((3*(((COLUMN()-COLUMN($F$8))-$D30+1)/$F30)^2-2*(((COLUMN()-COLUMN($F$8))-$D30+1)/$F30)^3)-(3*(((COLUMN()-COLUMN($F$8))-$D30)/$F30)^2-2*(((COLUMN()-COLUMN($F$8))-$D30)/$F30)^3)))</f>
        <v>95592.0867768597</v>
      </c>
      <c r="AI30" s="1016" t="n">
        <f aca="false">IF(OR((COLUMN()-COLUMN($F$8))&lt;$D30,(COLUMN()-COLUMN($F$8))&gt;$E30),0,$C30*((3*(((COLUMN()-COLUMN($F$8))-$D30+1)/$F30)^2-2*(((COLUMN()-COLUMN($F$8))-$D30+1)/$F30)^3)-(3*(((COLUMN()-COLUMN($F$8))-$D30)/$F30)^2-2*(((COLUMN()-COLUMN($F$8))-$D30)/$F30)^3)))</f>
        <v>0</v>
      </c>
      <c r="AJ30" s="1016" t="n">
        <f aca="false">IF(OR((COLUMN()-COLUMN($F$8))&lt;$D30,(COLUMN()-COLUMN($F$8))&gt;$E30),0,$C30*((3*(((COLUMN()-COLUMN($F$8))-$D30+1)/$F30)^2-2*(((COLUMN()-COLUMN($F$8))-$D30+1)/$F30)^3)-(3*(((COLUMN()-COLUMN($F$8))-$D30)/$F30)^2-2*(((COLUMN()-COLUMN($F$8))-$D30)/$F30)^3)))</f>
        <v>0</v>
      </c>
    </row>
    <row r="31" customFormat="false" ht="15" hidden="false" customHeight="true" outlineLevel="0" collapsed="false">
      <c r="A31" s="1013" t="s">
        <v>4907</v>
      </c>
      <c r="B31" s="1013"/>
      <c r="C31" s="1014" t="n">
        <f aca="false">'Construction Budget'!H517</f>
        <v>13470732</v>
      </c>
      <c r="D31" s="1013" t="n">
        <v>15</v>
      </c>
      <c r="E31" s="1013" t="n">
        <v>29</v>
      </c>
      <c r="F31" s="1013" t="n">
        <v>15</v>
      </c>
      <c r="G31" s="1015" t="n">
        <f aca="false">IF(OR((COLUMN()-COLUMN($F$8))&lt;$D31,(COLUMN()-COLUMN($F$8))&gt;$E31),0,$C31*((3*(((COLUMN()-COLUMN($F$8))-$D31+1)/$F31)^2-2*(((COLUMN()-COLUMN($F$8))-$D31+1)/$F31)^3)-(3*(((COLUMN()-COLUMN($F$8))-$D31)/$F31)^2-2*(((COLUMN()-COLUMN($F$8))-$D31)/$F31)^3)))</f>
        <v>0</v>
      </c>
      <c r="H31" s="1016" t="n">
        <f aca="false">IF(OR((COLUMN()-COLUMN($F$8))&lt;$D31,(COLUMN()-COLUMN($F$8))&gt;$E31),0,$C31*((3*(((COLUMN()-COLUMN($F$8))-$D31+1)/$F31)^2-2*(((COLUMN()-COLUMN($F$8))-$D31+1)/$F31)^3)-(3*(((COLUMN()-COLUMN($F$8))-$D31)/$F31)^2-2*(((COLUMN()-COLUMN($F$8))-$D31)/$F31)^3)))</f>
        <v>0</v>
      </c>
      <c r="I31" s="1016" t="n">
        <f aca="false">IF(OR((COLUMN()-COLUMN($F$8))&lt;$D31,(COLUMN()-COLUMN($F$8))&gt;$E31),0,$C31*((3*(((COLUMN()-COLUMN($F$8))-$D31+1)/$F31)^2-2*(((COLUMN()-COLUMN($F$8))-$D31+1)/$F31)^3)-(3*(((COLUMN()-COLUMN($F$8))-$D31)/$F31)^2-2*(((COLUMN()-COLUMN($F$8))-$D31)/$F31)^3)))</f>
        <v>0</v>
      </c>
      <c r="J31" s="1016" t="n">
        <f aca="false">IF(OR((COLUMN()-COLUMN($F$8))&lt;$D31,(COLUMN()-COLUMN($F$8))&gt;$E31),0,$C31*((3*(((COLUMN()-COLUMN($F$8))-$D31+1)/$F31)^2-2*(((COLUMN()-COLUMN($F$8))-$D31+1)/$F31)^3)-(3*(((COLUMN()-COLUMN($F$8))-$D31)/$F31)^2-2*(((COLUMN()-COLUMN($F$8))-$D31)/$F31)^3)))</f>
        <v>0</v>
      </c>
      <c r="K31" s="1016" t="n">
        <f aca="false">IF(OR((COLUMN()-COLUMN($F$8))&lt;$D31,(COLUMN()-COLUMN($F$8))&gt;$E31),0,$C31*((3*(((COLUMN()-COLUMN($F$8))-$D31+1)/$F31)^2-2*(((COLUMN()-COLUMN($F$8))-$D31+1)/$F31)^3)-(3*(((COLUMN()-COLUMN($F$8))-$D31)/$F31)^2-2*(((COLUMN()-COLUMN($F$8))-$D31)/$F31)^3)))</f>
        <v>0</v>
      </c>
      <c r="L31" s="1016" t="n">
        <f aca="false">IF(OR((COLUMN()-COLUMN($F$8))&lt;$D31,(COLUMN()-COLUMN($F$8))&gt;$E31),0,$C31*((3*(((COLUMN()-COLUMN($F$8))-$D31+1)/$F31)^2-2*(((COLUMN()-COLUMN($F$8))-$D31+1)/$F31)^3)-(3*(((COLUMN()-COLUMN($F$8))-$D31)/$F31)^2-2*(((COLUMN()-COLUMN($F$8))-$D31)/$F31)^3)))</f>
        <v>0</v>
      </c>
      <c r="M31" s="1016" t="n">
        <f aca="false">IF(OR((COLUMN()-COLUMN($F$8))&lt;$D31,(COLUMN()-COLUMN($F$8))&gt;$E31),0,$C31*((3*(((COLUMN()-COLUMN($F$8))-$D31+1)/$F31)^2-2*(((COLUMN()-COLUMN($F$8))-$D31+1)/$F31)^3)-(3*(((COLUMN()-COLUMN($F$8))-$D31)/$F31)^2-2*(((COLUMN()-COLUMN($F$8))-$D31)/$F31)^3)))</f>
        <v>0</v>
      </c>
      <c r="N31" s="1016" t="n">
        <f aca="false">IF(OR((COLUMN()-COLUMN($F$8))&lt;$D31,(COLUMN()-COLUMN($F$8))&gt;$E31),0,$C31*((3*(((COLUMN()-COLUMN($F$8))-$D31+1)/$F31)^2-2*(((COLUMN()-COLUMN($F$8))-$D31+1)/$F31)^3)-(3*(((COLUMN()-COLUMN($F$8))-$D31)/$F31)^2-2*(((COLUMN()-COLUMN($F$8))-$D31)/$F31)^3)))</f>
        <v>0</v>
      </c>
      <c r="O31" s="1016" t="n">
        <f aca="false">IF(OR((COLUMN()-COLUMN($F$8))&lt;$D31,(COLUMN()-COLUMN($F$8))&gt;$E31),0,$C31*((3*(((COLUMN()-COLUMN($F$8))-$D31+1)/$F31)^2-2*(((COLUMN()-COLUMN($F$8))-$D31+1)/$F31)^3)-(3*(((COLUMN()-COLUMN($F$8))-$D31)/$F31)^2-2*(((COLUMN()-COLUMN($F$8))-$D31)/$F31)^3)))</f>
        <v>0</v>
      </c>
      <c r="P31" s="1016" t="n">
        <f aca="false">IF(OR((COLUMN()-COLUMN($F$8))&lt;$D31,(COLUMN()-COLUMN($F$8))&gt;$E31),0,$C31*((3*(((COLUMN()-COLUMN($F$8))-$D31+1)/$F31)^2-2*(((COLUMN()-COLUMN($F$8))-$D31+1)/$F31)^3)-(3*(((COLUMN()-COLUMN($F$8))-$D31)/$F31)^2-2*(((COLUMN()-COLUMN($F$8))-$D31)/$F31)^3)))</f>
        <v>0</v>
      </c>
      <c r="Q31" s="1016" t="n">
        <f aca="false">IF(OR((COLUMN()-COLUMN($F$8))&lt;$D31,(COLUMN()-COLUMN($F$8))&gt;$E31),0,$C31*((3*(((COLUMN()-COLUMN($F$8))-$D31+1)/$F31)^2-2*(((COLUMN()-COLUMN($F$8))-$D31+1)/$F31)^3)-(3*(((COLUMN()-COLUMN($F$8))-$D31)/$F31)^2-2*(((COLUMN()-COLUMN($F$8))-$D31)/$F31)^3)))</f>
        <v>0</v>
      </c>
      <c r="R31" s="1016" t="n">
        <f aca="false">IF(OR((COLUMN()-COLUMN($F$8))&lt;$D31,(COLUMN()-COLUMN($F$8))&gt;$E31),0,$C31*((3*(((COLUMN()-COLUMN($F$8))-$D31+1)/$F31)^2-2*(((COLUMN()-COLUMN($F$8))-$D31+1)/$F31)^3)-(3*(((COLUMN()-COLUMN($F$8))-$D31)/$F31)^2-2*(((COLUMN()-COLUMN($F$8))-$D31)/$F31)^3)))</f>
        <v>0</v>
      </c>
      <c r="S31" s="1016" t="n">
        <f aca="false">IF(OR((COLUMN()-COLUMN($F$8))&lt;$D31,(COLUMN()-COLUMN($F$8))&gt;$E31),0,$C31*((3*(((COLUMN()-COLUMN($F$8))-$D31+1)/$F31)^2-2*(((COLUMN()-COLUMN($F$8))-$D31+1)/$F31)^3)-(3*(((COLUMN()-COLUMN($F$8))-$D31)/$F31)^2-2*(((COLUMN()-COLUMN($F$8))-$D31)/$F31)^3)))</f>
        <v>0</v>
      </c>
      <c r="T31" s="1016" t="n">
        <f aca="false">IF(OR((COLUMN()-COLUMN($F$8))&lt;$D31,(COLUMN()-COLUMN($F$8))&gt;$E31),0,$C31*((3*(((COLUMN()-COLUMN($F$8))-$D31+1)/$F31)^2-2*(((COLUMN()-COLUMN($F$8))-$D31+1)/$F31)^3)-(3*(((COLUMN()-COLUMN($F$8))-$D31)/$F31)^2-2*(((COLUMN()-COLUMN($F$8))-$D31)/$F31)^3)))</f>
        <v>0</v>
      </c>
      <c r="U31" s="1016" t="n">
        <f aca="false">IF(OR((COLUMN()-COLUMN($F$8))&lt;$D31,(COLUMN()-COLUMN($F$8))&gt;$E31),0,$C31*((3*(((COLUMN()-COLUMN($F$8))-$D31+1)/$F31)^2-2*(((COLUMN()-COLUMN($F$8))-$D31+1)/$F31)^3)-(3*(((COLUMN()-COLUMN($F$8))-$D31)/$F31)^2-2*(((COLUMN()-COLUMN($F$8))-$D31)/$F31)^3)))</f>
        <v>171627.104</v>
      </c>
      <c r="V31" s="1016" t="n">
        <f aca="false">IF(OR((COLUMN()-COLUMN($F$8))&lt;$D31,(COLUMN()-COLUMN($F$8))&gt;$E31),0,$C31*((3*(((COLUMN()-COLUMN($F$8))-$D31+1)/$F31)^2-2*(((COLUMN()-COLUMN($F$8))-$D31+1)/$F31)^3)-(3*(((COLUMN()-COLUMN($F$8))-$D31)/$F31)^2-2*(((COLUMN()-COLUMN($F$8))-$D31)/$F31)^3)))</f>
        <v>482950.688</v>
      </c>
      <c r="W31" s="1016" t="n">
        <f aca="false">IF(OR((COLUMN()-COLUMN($F$8))&lt;$D31,(COLUMN()-COLUMN($F$8))&gt;$E31),0,$C31*((3*(((COLUMN()-COLUMN($F$8))-$D31+1)/$F31)^2-2*(((COLUMN()-COLUMN($F$8))-$D31+1)/$F31)^3)-(3*(((COLUMN()-COLUMN($F$8))-$D31)/$F31)^2-2*(((COLUMN()-COLUMN($F$8))-$D31)/$F31)^3)))</f>
        <v>746378.336</v>
      </c>
      <c r="X31" s="1016" t="n">
        <f aca="false">IF(OR((COLUMN()-COLUMN($F$8))&lt;$D31,(COLUMN()-COLUMN($F$8))&gt;$E31),0,$C31*((3*(((COLUMN()-COLUMN($F$8))-$D31+1)/$F31)^2-2*(((COLUMN()-COLUMN($F$8))-$D31+1)/$F31)^3)-(3*(((COLUMN()-COLUMN($F$8))-$D31)/$F31)^2-2*(((COLUMN()-COLUMN($F$8))-$D31)/$F31)^3)))</f>
        <v>961910.048</v>
      </c>
      <c r="Y31" s="1016" t="n">
        <f aca="false">IF(OR((COLUMN()-COLUMN($F$8))&lt;$D31,(COLUMN()-COLUMN($F$8))&gt;$E31),0,$C31*((3*(((COLUMN()-COLUMN($F$8))-$D31+1)/$F31)^2-2*(((COLUMN()-COLUMN($F$8))-$D31+1)/$F31)^3)-(3*(((COLUMN()-COLUMN($F$8))-$D31)/$F31)^2-2*(((COLUMN()-COLUMN($F$8))-$D31)/$F31)^3)))</f>
        <v>1129545.824</v>
      </c>
      <c r="Z31" s="1016" t="n">
        <f aca="false">IF(OR((COLUMN()-COLUMN($F$8))&lt;$D31,(COLUMN()-COLUMN($F$8))&gt;$E31),0,$C31*((3*(((COLUMN()-COLUMN($F$8))-$D31+1)/$F31)^2-2*(((COLUMN()-COLUMN($F$8))-$D31+1)/$F31)^3)-(3*(((COLUMN()-COLUMN($F$8))-$D31)/$F31)^2-2*(((COLUMN()-COLUMN($F$8))-$D31)/$F31)^3)))</f>
        <v>1249285.664</v>
      </c>
      <c r="AA31" s="1016" t="n">
        <f aca="false">IF(OR((COLUMN()-COLUMN($F$8))&lt;$D31,(COLUMN()-COLUMN($F$8))&gt;$E31),0,$C31*((3*(((COLUMN()-COLUMN($F$8))-$D31+1)/$F31)^2-2*(((COLUMN()-COLUMN($F$8))-$D31+1)/$F31)^3)-(3*(((COLUMN()-COLUMN($F$8))-$D31)/$F31)^2-2*(((COLUMN()-COLUMN($F$8))-$D31)/$F31)^3)))</f>
        <v>1321129.568</v>
      </c>
      <c r="AB31" s="1016" t="n">
        <f aca="false">IF(OR((COLUMN()-COLUMN($F$8))&lt;$D31,(COLUMN()-COLUMN($F$8))&gt;$E31),0,$C31*((3*(((COLUMN()-COLUMN($F$8))-$D31+1)/$F31)^2-2*(((COLUMN()-COLUMN($F$8))-$D31+1)/$F31)^3)-(3*(((COLUMN()-COLUMN($F$8))-$D31)/$F31)^2-2*(((COLUMN()-COLUMN($F$8))-$D31)/$F31)^3)))</f>
        <v>1345077.536</v>
      </c>
      <c r="AC31" s="1016" t="n">
        <f aca="false">IF(OR((COLUMN()-COLUMN($F$8))&lt;$D31,(COLUMN()-COLUMN($F$8))&gt;$E31),0,$C31*((3*(((COLUMN()-COLUMN($F$8))-$D31+1)/$F31)^2-2*(((COLUMN()-COLUMN($F$8))-$D31+1)/$F31)^3)-(3*(((COLUMN()-COLUMN($F$8))-$D31)/$F31)^2-2*(((COLUMN()-COLUMN($F$8))-$D31)/$F31)^3)))</f>
        <v>1321129.568</v>
      </c>
      <c r="AD31" s="1016" t="n">
        <f aca="false">IF(OR((COLUMN()-COLUMN($F$8))&lt;$D31,(COLUMN()-COLUMN($F$8))&gt;$E31),0,$C31*((3*(((COLUMN()-COLUMN($F$8))-$D31+1)/$F31)^2-2*(((COLUMN()-COLUMN($F$8))-$D31+1)/$F31)^3)-(3*(((COLUMN()-COLUMN($F$8))-$D31)/$F31)^2-2*(((COLUMN()-COLUMN($F$8))-$D31)/$F31)^3)))</f>
        <v>1249285.664</v>
      </c>
      <c r="AE31" s="1016" t="n">
        <f aca="false">IF(OR((COLUMN()-COLUMN($F$8))&lt;$D31,(COLUMN()-COLUMN($F$8))&gt;$E31),0,$C31*((3*(((COLUMN()-COLUMN($F$8))-$D31+1)/$F31)^2-2*(((COLUMN()-COLUMN($F$8))-$D31+1)/$F31)^3)-(3*(((COLUMN()-COLUMN($F$8))-$D31)/$F31)^2-2*(((COLUMN()-COLUMN($F$8))-$D31)/$F31)^3)))</f>
        <v>1129545.824</v>
      </c>
      <c r="AF31" s="1016" t="n">
        <f aca="false">IF(OR((COLUMN()-COLUMN($F$8))&lt;$D31,(COLUMN()-COLUMN($F$8))&gt;$E31),0,$C31*((3*(((COLUMN()-COLUMN($F$8))-$D31+1)/$F31)^2-2*(((COLUMN()-COLUMN($F$8))-$D31+1)/$F31)^3)-(3*(((COLUMN()-COLUMN($F$8))-$D31)/$F31)^2-2*(((COLUMN()-COLUMN($F$8))-$D31)/$F31)^3)))</f>
        <v>961910.048000002</v>
      </c>
      <c r="AG31" s="1016" t="n">
        <f aca="false">IF(OR((COLUMN()-COLUMN($F$8))&lt;$D31,(COLUMN()-COLUMN($F$8))&gt;$E31),0,$C31*((3*(((COLUMN()-COLUMN($F$8))-$D31+1)/$F31)^2-2*(((COLUMN()-COLUMN($F$8))-$D31+1)/$F31)^3)-(3*(((COLUMN()-COLUMN($F$8))-$D31)/$F31)^2-2*(((COLUMN()-COLUMN($F$8))-$D31)/$F31)^3)))</f>
        <v>746378.335999996</v>
      </c>
      <c r="AH31" s="1016" t="n">
        <f aca="false">IF(OR((COLUMN()-COLUMN($F$8))&lt;$D31,(COLUMN()-COLUMN($F$8))&gt;$E31),0,$C31*((3*(((COLUMN()-COLUMN($F$8))-$D31+1)/$F31)^2-2*(((COLUMN()-COLUMN($F$8))-$D31+1)/$F31)^3)-(3*(((COLUMN()-COLUMN($F$8))-$D31)/$F31)^2-2*(((COLUMN()-COLUMN($F$8))-$D31)/$F31)^3)))</f>
        <v>482950.687999999</v>
      </c>
      <c r="AI31" s="1016" t="n">
        <f aca="false">IF(OR((COLUMN()-COLUMN($F$8))&lt;$D31,(COLUMN()-COLUMN($F$8))&gt;$E31),0,$C31*((3*(((COLUMN()-COLUMN($F$8))-$D31+1)/$F31)^2-2*(((COLUMN()-COLUMN($F$8))-$D31+1)/$F31)^3)-(3*(((COLUMN()-COLUMN($F$8))-$D31)/$F31)^2-2*(((COLUMN()-COLUMN($F$8))-$D31)/$F31)^3)))</f>
        <v>171627.104000003</v>
      </c>
      <c r="AJ31" s="1016" t="n">
        <f aca="false">IF(OR((COLUMN()-COLUMN($F$8))&lt;$D31,(COLUMN()-COLUMN($F$8))&gt;$E31),0,$C31*((3*(((COLUMN()-COLUMN($F$8))-$D31+1)/$F31)^2-2*(((COLUMN()-COLUMN($F$8))-$D31+1)/$F31)^3)-(3*(((COLUMN()-COLUMN($F$8))-$D31)/$F31)^2-2*(((COLUMN()-COLUMN($F$8))-$D31)/$F31)^3)))</f>
        <v>0</v>
      </c>
    </row>
    <row r="32" customFormat="false" ht="15" hidden="false" customHeight="true" outlineLevel="0" collapsed="false">
      <c r="A32" s="1020" t="s">
        <v>4125</v>
      </c>
      <c r="B32" s="1020"/>
      <c r="C32" s="1021" t="n">
        <f aca="false">SUM(C8:C31)</f>
        <v>1088341827.06739</v>
      </c>
      <c r="D32" s="1020"/>
      <c r="E32" s="1020"/>
      <c r="F32" s="1020"/>
      <c r="G32" s="1022" t="n">
        <f aca="false">SUM(G8:G31)</f>
        <v>9830083.92822731</v>
      </c>
      <c r="H32" s="1021" t="n">
        <f aca="false">SUM(H8:H31)</f>
        <v>11387896.9977838</v>
      </c>
      <c r="I32" s="1021" t="n">
        <f aca="false">SUM(I8:I31)</f>
        <v>13416438.198869</v>
      </c>
      <c r="J32" s="1021" t="n">
        <f aca="false">SUM(J8:J31)</f>
        <v>16621173.2217346</v>
      </c>
      <c r="K32" s="1021" t="n">
        <f aca="false">SUM(K8:K31)</f>
        <v>19547508.6102007</v>
      </c>
      <c r="L32" s="1021" t="n">
        <f aca="false">SUM(L8:L31)</f>
        <v>21124531.0718645</v>
      </c>
      <c r="M32" s="1021" t="n">
        <f aca="false">SUM(M8:M31)</f>
        <v>21352240.606726</v>
      </c>
      <c r="N32" s="1021" t="n">
        <f aca="false">SUM(N8:N31)</f>
        <v>23508586.9416242</v>
      </c>
      <c r="O32" s="1021" t="n">
        <f aca="false">SUM(O8:O31)</f>
        <v>28427724.4215018</v>
      </c>
      <c r="P32" s="1021" t="n">
        <f aca="false">SUM(P8:P31)</f>
        <v>34619709.4052577</v>
      </c>
      <c r="Q32" s="1021" t="n">
        <f aca="false">SUM(Q8:Q31)</f>
        <v>41519972.0430808</v>
      </c>
      <c r="R32" s="1021" t="n">
        <f aca="false">SUM(R8:R31)</f>
        <v>46861468.2319185</v>
      </c>
      <c r="S32" s="1021" t="n">
        <f aca="false">SUM(S8:S31)</f>
        <v>49754053.3374538</v>
      </c>
      <c r="T32" s="1021" t="n">
        <f aca="false">SUM(T8:T31)</f>
        <v>51186428.2042063</v>
      </c>
      <c r="U32" s="1021" t="n">
        <f aca="false">SUM(U8:U31)</f>
        <v>51647878.6674872</v>
      </c>
      <c r="V32" s="1021" t="n">
        <f aca="false">SUM(V8:V31)</f>
        <v>51492706.1634922</v>
      </c>
      <c r="W32" s="1021" t="n">
        <f aca="false">SUM(W8:W31)</f>
        <v>51931098.7721241</v>
      </c>
      <c r="X32" s="1021" t="n">
        <f aca="false">SUM(X8:X31)</f>
        <v>53897682.2594928</v>
      </c>
      <c r="Y32" s="1021" t="n">
        <f aca="false">SUM(Y8:Y31)</f>
        <v>55548583.0340304</v>
      </c>
      <c r="Z32" s="1021" t="n">
        <f aca="false">SUM(Z8:Z31)</f>
        <v>55541420.1660016</v>
      </c>
      <c r="AA32" s="1021" t="n">
        <f aca="false">SUM(AA8:AA31)</f>
        <v>54924276.9901625</v>
      </c>
      <c r="AB32" s="1021" t="n">
        <f aca="false">SUM(AB8:AB31)</f>
        <v>53235929.4402311</v>
      </c>
      <c r="AC32" s="1021" t="n">
        <f aca="false">SUM(AC8:AC31)</f>
        <v>52473910.9813211</v>
      </c>
      <c r="AD32" s="1021" t="n">
        <f aca="false">SUM(AD8:AD31)</f>
        <v>52376773.728073</v>
      </c>
      <c r="AE32" s="1021" t="n">
        <f aca="false">SUM(AE8:AE31)</f>
        <v>49522619.8398332</v>
      </c>
      <c r="AF32" s="1021" t="n">
        <f aca="false">SUM(AF8:AF31)</f>
        <v>43577241.1494856</v>
      </c>
      <c r="AG32" s="1021" t="n">
        <f aca="false">SUM(AG8:AG31)</f>
        <v>34622850.1049135</v>
      </c>
      <c r="AH32" s="1021" t="n">
        <f aca="false">SUM(AH8:AH31)</f>
        <v>22279214.1346557</v>
      </c>
      <c r="AI32" s="1021" t="n">
        <f aca="false">SUM(AI8:AI31)</f>
        <v>11437081.3889417</v>
      </c>
      <c r="AJ32" s="1021" t="n">
        <f aca="false">SUM(AJ8:AJ31)</f>
        <v>4674745.02669696</v>
      </c>
    </row>
    <row r="33" customFormat="false" ht="15" hidden="false" customHeight="true" outlineLevel="0" collapsed="false">
      <c r="A33" s="1023" t="s">
        <v>4908</v>
      </c>
      <c r="B33" s="1023"/>
      <c r="C33" s="1023"/>
      <c r="D33" s="1023"/>
      <c r="E33" s="1023"/>
      <c r="F33" s="1023"/>
      <c r="G33" s="1024" t="n">
        <f aca="false">G32</f>
        <v>9830083.92822731</v>
      </c>
      <c r="H33" s="1025" t="n">
        <f aca="false">G33+H32</f>
        <v>21217980.9260111</v>
      </c>
      <c r="I33" s="1025" t="n">
        <f aca="false">H33+I32</f>
        <v>34634419.1248801</v>
      </c>
      <c r="J33" s="1025" t="n">
        <f aca="false">I33+J32</f>
        <v>51255592.3466147</v>
      </c>
      <c r="K33" s="1025" t="n">
        <f aca="false">J33+K32</f>
        <v>70803100.9568153</v>
      </c>
      <c r="L33" s="1025" t="n">
        <f aca="false">K33+L32</f>
        <v>91927632.0286798</v>
      </c>
      <c r="M33" s="1025" t="n">
        <f aca="false">L33+M32</f>
        <v>113279872.635406</v>
      </c>
      <c r="N33" s="1025" t="n">
        <f aca="false">M33+N32</f>
        <v>136788459.57703</v>
      </c>
      <c r="O33" s="1025" t="n">
        <f aca="false">N33+O32</f>
        <v>165216183.998532</v>
      </c>
      <c r="P33" s="1025" t="n">
        <f aca="false">O33+P32</f>
        <v>199835893.40379</v>
      </c>
      <c r="Q33" s="1025" t="n">
        <f aca="false">P33+Q32</f>
        <v>241355865.44687</v>
      </c>
      <c r="R33" s="1025" t="n">
        <f aca="false">Q33+R32</f>
        <v>288217333.678789</v>
      </c>
      <c r="S33" s="1025" t="n">
        <f aca="false">R33+S32</f>
        <v>337971387.016243</v>
      </c>
      <c r="T33" s="1025" t="n">
        <f aca="false">S33+T32</f>
        <v>389157815.220449</v>
      </c>
      <c r="U33" s="1025" t="n">
        <f aca="false">T33+U32</f>
        <v>440805693.887936</v>
      </c>
      <c r="V33" s="1025" t="n">
        <f aca="false">U33+V32</f>
        <v>492298400.051428</v>
      </c>
      <c r="W33" s="1025" t="n">
        <f aca="false">V33+W32</f>
        <v>544229498.823552</v>
      </c>
      <c r="X33" s="1025" t="n">
        <f aca="false">W33+X32</f>
        <v>598127181.083045</v>
      </c>
      <c r="Y33" s="1025" t="n">
        <f aca="false">X33+Y32</f>
        <v>653675764.117076</v>
      </c>
      <c r="Z33" s="1025" t="n">
        <f aca="false">Y33+Z32</f>
        <v>709217184.283077</v>
      </c>
      <c r="AA33" s="1025" t="n">
        <f aca="false">Z33+AA32</f>
        <v>764141461.27324</v>
      </c>
      <c r="AB33" s="1025" t="n">
        <f aca="false">AA33+AB32</f>
        <v>817377390.713471</v>
      </c>
      <c r="AC33" s="1025" t="n">
        <f aca="false">AB33+AC32</f>
        <v>869851301.694792</v>
      </c>
      <c r="AD33" s="1025" t="n">
        <f aca="false">AC33+AD32</f>
        <v>922228075.422865</v>
      </c>
    </row>
    <row r="34" customFormat="false" ht="15" hidden="false" customHeight="true" outlineLevel="0" collapsed="false">
      <c r="A34" s="1026" t="s">
        <v>4909</v>
      </c>
      <c r="B34" s="1026"/>
      <c r="C34" s="1026"/>
      <c r="D34" s="1026"/>
      <c r="E34" s="1026"/>
      <c r="F34" s="1026"/>
      <c r="G34" s="1027" t="n">
        <f aca="false">IF($C$32=0,0,G33/$C$32)</f>
        <v>0.0090321658910373</v>
      </c>
      <c r="H34" s="1028" t="n">
        <f aca="false">IF($C$32=0,0,H33/$C$32)</f>
        <v>0.0194956955602674</v>
      </c>
      <c r="I34" s="1028" t="n">
        <f aca="false">IF($C$32=0,0,I33/$C$32)</f>
        <v>0.031823107651945</v>
      </c>
      <c r="J34" s="1028" t="n">
        <f aca="false">IF($C$32=0,0,J33/$C$32)</f>
        <v>0.0470951231238867</v>
      </c>
      <c r="K34" s="1028" t="n">
        <f aca="false">IF($C$32=0,0,K33/$C$32)</f>
        <v>0.065055940326762</v>
      </c>
      <c r="L34" s="1028" t="n">
        <f aca="false">IF($C$32=0,0,L33/$C$32)</f>
        <v>0.0844657714537948</v>
      </c>
      <c r="M34" s="1028" t="n">
        <f aca="false">IF($C$32=0,0,M33/$C$32)</f>
        <v>0.10408482869821</v>
      </c>
      <c r="N34" s="1028" t="n">
        <f aca="false">IF($C$32=0,0,N33/$C$32)</f>
        <v>0.125685199424537</v>
      </c>
      <c r="O34" s="1028" t="n">
        <f aca="false">IF($C$32=0,0,O33/$C$32)</f>
        <v>0.151805416174914</v>
      </c>
      <c r="P34" s="1028" t="n">
        <f aca="false">IF($C$32=0,0,P33/$C$32)</f>
        <v>0.183615008110329</v>
      </c>
      <c r="Q34" s="1028" t="n">
        <f aca="false">IF($C$32=0,0,Q33/$C$32)</f>
        <v>0.221764761258161</v>
      </c>
      <c r="R34" s="1028" t="n">
        <f aca="false">IF($C$32=0,0,R33/$C$32)</f>
        <v>0.264822435847577</v>
      </c>
      <c r="S34" s="1028" t="n">
        <f aca="false">IF($C$32=0,0,S33/$C$32)</f>
        <v>0.310537901430223</v>
      </c>
      <c r="T34" s="1028" t="n">
        <f aca="false">IF($C$32=0,0,T33/$C$32)</f>
        <v>0.357569474536378</v>
      </c>
      <c r="U34" s="1028" t="n">
        <f aca="false">IF($C$32=0,0,U33/$C$32)</f>
        <v>0.405025041696427</v>
      </c>
      <c r="V34" s="1028" t="n">
        <f aca="false">IF($C$32=0,0,V33/$C$32)</f>
        <v>0.452338031864454</v>
      </c>
      <c r="W34" s="1028" t="n">
        <f aca="false">IF($C$32=0,0,W33/$C$32)</f>
        <v>0.500053829861538</v>
      </c>
      <c r="X34" s="1028" t="n">
        <f aca="false">IF($C$32=0,0,X33/$C$32)</f>
        <v>0.549576581738789</v>
      </c>
      <c r="Y34" s="1028" t="n">
        <f aca="false">IF($C$32=0,0,Y33/$C$32)</f>
        <v>0.600616229074323</v>
      </c>
      <c r="Z34" s="1028" t="n">
        <f aca="false">IF($C$32=0,0,Z33/$C$32)</f>
        <v>0.651649294959204</v>
      </c>
      <c r="AA34" s="1028" t="n">
        <f aca="false">IF($C$32=0,0,AA33/$C$32)</f>
        <v>0.70211531181547</v>
      </c>
      <c r="AB34" s="1028" t="n">
        <f aca="false">IF($C$32=0,0,AB33/$C$32)</f>
        <v>0.751030026031388</v>
      </c>
      <c r="AC34" s="1028" t="n">
        <f aca="false">IF($C$32=0,0,AC33/$C$32)</f>
        <v>0.799244575611564</v>
      </c>
      <c r="AD34" s="1028" t="n">
        <f aca="false">IF($C$32=0,0,AD33/$C$32)</f>
        <v>0.847369872669388</v>
      </c>
    </row>
    <row r="36" customFormat="false" ht="15" hidden="false" customHeight="true" outlineLevel="0" collapsed="false">
      <c r="A36" s="163" t="s">
        <v>4910</v>
      </c>
      <c r="C36" s="163" t="str">
        <f aca="false">IF(ROUND(C32,0)=ROUND('Construction Budget'!H842,0),"✅ Tie","❌ Off by "&amp;TEXT(C32-'Construction Budget'!H842,"$#,##0"))</f>
        <v>✅ Tie</v>
      </c>
    </row>
  </sheetData>
  <mergeCells count="6">
    <mergeCell ref="A4:C4"/>
    <mergeCell ref="D4:F4"/>
    <mergeCell ref="G4:J4"/>
    <mergeCell ref="C5:D5"/>
    <mergeCell ref="G5:J5"/>
    <mergeCell ref="K5:M5"/>
  </mergeCells>
  <conditionalFormatting sqref="G8:AD31">
    <cfRule type="colorScale" priority="2">
      <colorScale>
        <cfvo type="num" val="0"/>
        <cfvo type="percentile" val="60"/>
        <cfvo type="max" val="0"/>
        <color rgb="FFFFFFFF"/>
        <color rgb="FFBFDBFE"/>
        <color rgb="FF2563EB"/>
      </colorScale>
    </cfRule>
  </conditionalFormatting>
  <printOptions headings="false" gridLines="false" gridLinesSet="true" horizontalCentered="true" verticalCentered="false"/>
  <pageMargins left="0.00347222222222222" right="0.00347222222222222" top="0.00694444444444444" bottom="0.00694444444444444" header="0.00277777777777778" footer="0.00277777777777778"/>
  <pageSetup paperSize="9" scale="100" fitToWidth="1" fitToHeight="0" pageOrder="downThenOver" orientation="landscape" blackAndWhite="false" draft="false" cellComments="none" horizontalDpi="300" verticalDpi="300" copies="1"/>
  <headerFooter differentFirst="false" differentOddEven="false">
    <oddHeader>&amp;LData Center Estimate&amp;C&amp;"Aptos Narrow,Bold"&amp;14 Construction Draw Schedule&amp;RPrinted &amp;D</oddHeader>
    <oddFooter>&amp;LConfidential — distribute as directed&amp;CPage &amp;P of &amp;N&amp;R&amp;F</oddFooter>
  </headerFooter>
  <drawing r:id="rId2"/>
  <legacy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true"/>
  </sheetPr>
  <dimension ref="A1:L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24" activeCellId="0" sqref="F24"/>
    </sheetView>
  </sheetViews>
  <sheetFormatPr defaultColWidth="8.57421875" defaultRowHeight="15" zeroHeight="false" outlineLevelRow="0" outlineLevelCol="0"/>
  <cols>
    <col collapsed="false" customWidth="true" hidden="false" outlineLevel="0" max="1" min="1" style="1" width="30"/>
    <col collapsed="false" customWidth="true" hidden="false" outlineLevel="0" max="12" min="2" style="1" width="13"/>
  </cols>
  <sheetData>
    <row r="1" customFormat="false" ht="27.75" hidden="false" customHeight="true" outlineLevel="0" collapsed="false">
      <c r="A1" s="105" t="s">
        <v>4911</v>
      </c>
      <c r="B1" s="105"/>
      <c r="C1" s="105"/>
      <c r="D1" s="105"/>
      <c r="E1" s="105"/>
      <c r="F1" s="105"/>
      <c r="G1" s="105"/>
      <c r="H1" s="105"/>
      <c r="I1" s="105"/>
      <c r="J1" s="105"/>
      <c r="K1" s="105"/>
      <c r="L1" s="105"/>
    </row>
    <row r="2" customFormat="false" ht="15" hidden="false" customHeight="true" outlineLevel="0" collapsed="false">
      <c r="A2" s="3" t="s">
        <v>4912</v>
      </c>
      <c r="B2" s="3"/>
      <c r="C2" s="3"/>
      <c r="D2" s="3"/>
      <c r="E2" s="3"/>
      <c r="F2" s="3"/>
      <c r="G2" s="3"/>
      <c r="H2" s="3"/>
      <c r="I2" s="3"/>
      <c r="J2" s="3"/>
    </row>
    <row r="4" customFormat="false" ht="15" hidden="false" customHeight="true" outlineLevel="0" collapsed="false">
      <c r="A4" s="7" t="s">
        <v>4913</v>
      </c>
      <c r="B4" s="7"/>
    </row>
    <row r="5" customFormat="false" ht="15" hidden="false" customHeight="true" outlineLevel="0" collapsed="false">
      <c r="A5" s="125" t="s">
        <v>4914</v>
      </c>
      <c r="B5" s="500" t="n">
        <v>0</v>
      </c>
      <c r="C5" s="1029" t="str">
        <f aca="false" t="array" ref="C5:C5">IF($B$5=0,"—",INDEX(B24:B47,$B$5))</f>
        <v>—</v>
      </c>
    </row>
    <row r="6" customFormat="false" ht="15" hidden="false" customHeight="true" outlineLevel="0" collapsed="false">
      <c r="A6" s="125" t="s">
        <v>4915</v>
      </c>
      <c r="B6" s="1030" t="n">
        <f aca="false">'Campus Rollup'!$H$16</f>
        <v>1088341827.06739</v>
      </c>
    </row>
    <row r="7" customFormat="false" ht="15" hidden="false" customHeight="true" outlineLevel="0" collapsed="false">
      <c r="A7" s="125" t="s">
        <v>4916</v>
      </c>
      <c r="B7" s="1031" t="n">
        <f aca="false" t="array" ref="B7:B7">IF($B$5=0,0,INDEX($D$24:$D$47,$B$5))</f>
        <v>0</v>
      </c>
    </row>
    <row r="8" customFormat="false" ht="15" hidden="false" customHeight="true" outlineLevel="0" collapsed="false">
      <c r="A8" s="125" t="s">
        <v>4917</v>
      </c>
      <c r="B8" s="1031" t="n">
        <f aca="false" t="array" ref="B8:B8">IF($B$5=0,0,INDEX($H$24:$H$47,$B$5))</f>
        <v>0</v>
      </c>
    </row>
    <row r="9" customFormat="false" ht="15" hidden="false" customHeight="true" outlineLevel="0" collapsed="false">
      <c r="A9" s="125" t="s">
        <v>4918</v>
      </c>
      <c r="B9" s="1031" t="n">
        <f aca="false" t="array" ref="B9:B9">IF($B$5=0,0,INDEX($F$24:$F$47,$B$5))</f>
        <v>0</v>
      </c>
    </row>
    <row r="10" customFormat="false" ht="15" hidden="false" customHeight="true" outlineLevel="0" collapsed="false">
      <c r="A10" s="125" t="s">
        <v>4919</v>
      </c>
      <c r="B10" s="1032" t="n">
        <f aca="false">B8-B7</f>
        <v>0</v>
      </c>
    </row>
    <row r="11" customFormat="false" ht="15" hidden="false" customHeight="true" outlineLevel="0" collapsed="false">
      <c r="A11" s="125" t="s">
        <v>4920</v>
      </c>
      <c r="B11" s="1032" t="n">
        <f aca="false">B8-B9</f>
        <v>0</v>
      </c>
    </row>
    <row r="12" customFormat="false" ht="15" hidden="false" customHeight="true" outlineLevel="0" collapsed="false">
      <c r="A12" s="125" t="s">
        <v>4921</v>
      </c>
      <c r="B12" s="879" t="str">
        <f aca="false">IF($B$5=0,"—",IF(B7=0,0,B8/B7))</f>
        <v>—</v>
      </c>
    </row>
    <row r="13" customFormat="false" ht="15" hidden="false" customHeight="true" outlineLevel="0" collapsed="false">
      <c r="A13" s="125" t="s">
        <v>4922</v>
      </c>
      <c r="B13" s="879" t="str">
        <f aca="false">IF($B$5=0,"—",IF(B9=0,0,B8/B9))</f>
        <v>—</v>
      </c>
    </row>
    <row r="14" customFormat="false" ht="15" hidden="false" customHeight="true" outlineLevel="0" collapsed="false">
      <c r="A14" s="1033" t="s">
        <v>4923</v>
      </c>
      <c r="B14" s="1034" t="n">
        <f aca="false">IF($B$5=0,B6,IF(B13=0,B6,B6/B13))</f>
        <v>1088341827.06739</v>
      </c>
    </row>
    <row r="15" customFormat="false" ht="15" hidden="false" customHeight="true" outlineLevel="0" collapsed="false">
      <c r="A15" s="125" t="s">
        <v>4924</v>
      </c>
      <c r="B15" s="1032" t="n">
        <f aca="false">B14-B9</f>
        <v>1088341827.06739</v>
      </c>
    </row>
    <row r="16" customFormat="false" ht="15" hidden="false" customHeight="true" outlineLevel="0" collapsed="false">
      <c r="A16" s="125" t="s">
        <v>4925</v>
      </c>
      <c r="B16" s="1035" t="n">
        <f aca="false">B6-B14</f>
        <v>0</v>
      </c>
    </row>
    <row r="17" customFormat="false" ht="15" hidden="false" customHeight="true" outlineLevel="0" collapsed="false">
      <c r="A17" s="125" t="s">
        <v>4926</v>
      </c>
      <c r="B17" s="879" t="str">
        <f aca="false">IF($B$5=0,"—",IF((B6-B9)=0,0,(B6-B8)/(B6-B9)))</f>
        <v>—</v>
      </c>
    </row>
    <row r="18" customFormat="false" ht="15" hidden="false" customHeight="true" outlineLevel="0" collapsed="false">
      <c r="A18" s="1033" t="s">
        <v>4927</v>
      </c>
      <c r="B18" s="1036" t="str">
        <f aca="false">IF($B$5=0,"○ Not started",IF(B12&gt;=1,"● On / ahead","▼ Behind schedule"))</f>
        <v>○ Not started</v>
      </c>
    </row>
    <row r="19" customFormat="false" ht="15" hidden="false" customHeight="true" outlineLevel="0" collapsed="false">
      <c r="A19" s="125" t="s">
        <v>4928</v>
      </c>
      <c r="B19" s="60" t="str">
        <f aca="false">IF($B$5=0,"○ Not started",IF(B13&gt;=1,"● On / under budget","▲ Over budget"))</f>
        <v>○ Not started</v>
      </c>
    </row>
    <row r="20" customFormat="false" ht="15" hidden="false" customHeight="true" outlineLevel="0" collapsed="false">
      <c r="A20" s="125" t="s">
        <v>4929</v>
      </c>
      <c r="B20" s="501" t="str">
        <f aca="false">IF(ROUND($D$53,0)=ROUND($B$6,0),"✅ Tie","❌ Off")</f>
        <v>✅ Tie</v>
      </c>
    </row>
    <row r="21" customFormat="false" ht="25.5" hidden="false" customHeight="true" outlineLevel="0" collapsed="false">
      <c r="A21" s="1037" t="str">
        <f aca="false">IF($B$5=0,"BASELINE — Pre-construction. Budget at Completion "&amp;TEXT(B6,"$#,##0.0,,")&amp;"M over a 30-month schedule. No actual cost or physical progress recorded yet — EVM metrics (SPI / CPI / EAC) populate automatically once actuals are entered and the Data Date (cell B5) is advanced.","BOTTOM LINE — as of "&amp;TEXT(C5,"mmm-yyyy")&amp;" (month "&amp;B5&amp;" of 30):  Schedule SPI "&amp;TEXT(B12,"0.00")&amp;"x ("&amp;IF(B12&gt;=1,"on/ahead","behind")&amp;"),  Cost CPI "&amp;TEXT(B13,"0.00")&amp;"x ("&amp;IF(B13&gt;=1,"under budget","over budget")&amp;").  Forecast at completion "&amp;TEXT(B14,"$#,##0.0,,")&amp;"M vs "&amp;TEXT(B6,"$#,##0.0,,")&amp;"M budget — "&amp;IF(B16&lt;0,"a "&amp;TEXT(-B16,"$#,##0.0,,")&amp;"M overrun.","a "&amp;TEXT(B16,"$#,##0.0,,")&amp;"M saving."))</f>
        <v>BASELINE — Pre-construction. Budget at Completion $1,088.3M over a 30-month schedule. No actual cost or physical progress recorded yet — EVM metrics (SPI / CPI / EAC) populate automatically once actuals are entered and the Data Date (cell B5) is advanced.</v>
      </c>
      <c r="B21" s="1037"/>
      <c r="C21" s="1037"/>
      <c r="D21" s="1037"/>
      <c r="E21" s="1037"/>
      <c r="F21" s="1037"/>
      <c r="G21" s="1037"/>
      <c r="H21" s="1037"/>
      <c r="I21" s="1037"/>
      <c r="J21" s="1037"/>
      <c r="K21" s="1037"/>
      <c r="L21" s="1037"/>
    </row>
    <row r="22" customFormat="false" ht="15" hidden="false" customHeight="true" outlineLevel="0" collapsed="false">
      <c r="A22" s="7" t="s">
        <v>4930</v>
      </c>
      <c r="B22" s="7"/>
      <c r="C22" s="7"/>
      <c r="D22" s="7"/>
      <c r="E22" s="7"/>
      <c r="F22" s="7"/>
      <c r="G22" s="7"/>
      <c r="H22" s="7"/>
      <c r="I22" s="7"/>
      <c r="J22" s="7"/>
      <c r="K22" s="149"/>
      <c r="L22" s="149"/>
    </row>
    <row r="23" customFormat="false" ht="30" hidden="false" customHeight="true" outlineLevel="0" collapsed="false">
      <c r="A23" s="1038" t="s">
        <v>4931</v>
      </c>
      <c r="B23" s="1038" t="s">
        <v>4932</v>
      </c>
      <c r="C23" s="1038" t="s">
        <v>4933</v>
      </c>
      <c r="D23" s="1038" t="s">
        <v>4934</v>
      </c>
      <c r="E23" s="1039" t="s">
        <v>4935</v>
      </c>
      <c r="F23" s="1038" t="s">
        <v>4936</v>
      </c>
      <c r="G23" s="1039" t="s">
        <v>4937</v>
      </c>
      <c r="H23" s="1038" t="s">
        <v>4938</v>
      </c>
      <c r="I23" s="1038" t="s">
        <v>4939</v>
      </c>
      <c r="J23" s="1038" t="s">
        <v>4940</v>
      </c>
      <c r="K23" s="1038" t="s">
        <v>4941</v>
      </c>
      <c r="L23" s="1038" t="s">
        <v>4942</v>
      </c>
    </row>
    <row r="24" customFormat="false" ht="15" hidden="false" customHeight="true" outlineLevel="0" collapsed="false">
      <c r="A24" s="127" t="n">
        <v>1</v>
      </c>
      <c r="B24" s="1040" t="n">
        <f aca="false">EOMONTH('Construction Budget'!$F$3,A24-1)</f>
        <v>46173</v>
      </c>
      <c r="C24" s="1041" t="n">
        <f aca="false">'Draw Schedule'!G32</f>
        <v>9830083.92822731</v>
      </c>
      <c r="D24" s="1041" t="n">
        <f aca="false">C24</f>
        <v>9830083.92822731</v>
      </c>
      <c r="E24" s="1042"/>
      <c r="F24" s="1043" t="e">
        <f aca="false">IF(A24&gt;$B$5,NA(),SUM($E$24:E24))</f>
        <v>#N/A</v>
      </c>
      <c r="G24" s="1044"/>
      <c r="H24" s="1043" t="e">
        <f aca="false">IF(A24&gt;$B$5,NA(),IF(G24="",NA(),G24*$B$6))</f>
        <v>#N/A</v>
      </c>
      <c r="I24" s="1045" t="str">
        <f aca="false">IF(OR(A24&gt;$B$5,D24=0),"",H24/D24)</f>
        <v/>
      </c>
      <c r="J24" s="1045" t="str">
        <f aca="false">IF(A24&gt;$B$5,"",IF(F24=0,"",H24/F24))</f>
        <v/>
      </c>
      <c r="K24" s="1046" t="e">
        <f aca="false">IF($B$5=0,NA(),IF(A24&lt;$B$5,NA(),IFERROR($B$9+($B$14-$B$9)*(D24-$B$7)/($B$6-$B$7),NA())))</f>
        <v>#N/A</v>
      </c>
      <c r="L24" s="1043" t="e">
        <f aca="false">IF($B$5=0,NA(),IF(A24&lt;$B$5,NA(),IFERROR($B$8+($B$6-$B$8)*(D24-$B$7)/($B$6-$B$7),NA())))</f>
        <v>#N/A</v>
      </c>
    </row>
    <row r="25" customFormat="false" ht="15" hidden="false" customHeight="true" outlineLevel="0" collapsed="false">
      <c r="A25" s="127" t="n">
        <v>2</v>
      </c>
      <c r="B25" s="1040" t="n">
        <f aca="false">EOMONTH('Construction Budget'!$F$3,A25-1)</f>
        <v>46203</v>
      </c>
      <c r="C25" s="1041" t="n">
        <f aca="false">'Draw Schedule'!H32</f>
        <v>11387896.9977838</v>
      </c>
      <c r="D25" s="1041" t="n">
        <f aca="false">D24+C25</f>
        <v>21217980.9260111</v>
      </c>
      <c r="E25" s="1047"/>
      <c r="F25" s="1043" t="e">
        <f aca="false">IF(A25&gt;$B$5,NA(),SUM($E$24:E25))</f>
        <v>#N/A</v>
      </c>
      <c r="G25" s="1048"/>
      <c r="H25" s="1043" t="e">
        <f aca="false">IF(A25&gt;$B$5,NA(),IF(G25="",NA(),G25*$B$6))</f>
        <v>#N/A</v>
      </c>
      <c r="I25" s="1045" t="str">
        <f aca="false">IF(OR(A25&gt;$B$5,D25=0),"",H25/D25)</f>
        <v/>
      </c>
      <c r="J25" s="1045" t="str">
        <f aca="false">IF(A25&gt;$B$5,"",IF(F25=0,"",H25/F25))</f>
        <v/>
      </c>
      <c r="K25" s="1046" t="e">
        <f aca="false">IF($B$5=0,NA(),IF(A25&lt;$B$5,NA(),IFERROR($B$9+($B$14-$B$9)*(D25-$B$7)/($B$6-$B$7),NA())))</f>
        <v>#N/A</v>
      </c>
      <c r="L25" s="1043" t="e">
        <f aca="false">IF($B$5=0,NA(),IF(A25&lt;$B$5,NA(),IFERROR($B$8+($B$6-$B$8)*(D25-$B$7)/($B$6-$B$7),NA())))</f>
        <v>#N/A</v>
      </c>
    </row>
    <row r="26" customFormat="false" ht="15" hidden="false" customHeight="true" outlineLevel="0" collapsed="false">
      <c r="A26" s="127" t="n">
        <v>3</v>
      </c>
      <c r="B26" s="1040" t="n">
        <f aca="false">EOMONTH('Construction Budget'!$F$3,A26-1)</f>
        <v>46234</v>
      </c>
      <c r="C26" s="1041" t="n">
        <f aca="false">'Draw Schedule'!I32</f>
        <v>13416438.198869</v>
      </c>
      <c r="D26" s="1041" t="n">
        <f aca="false">D25+C26</f>
        <v>34634419.1248801</v>
      </c>
      <c r="E26" s="1047"/>
      <c r="F26" s="1043" t="e">
        <f aca="false">IF(A26&gt;$B$5,NA(),SUM($E$24:E26))</f>
        <v>#N/A</v>
      </c>
      <c r="G26" s="1048"/>
      <c r="H26" s="1043" t="e">
        <f aca="false">IF(A26&gt;$B$5,NA(),IF(G26="",NA(),G26*$B$6))</f>
        <v>#N/A</v>
      </c>
      <c r="I26" s="1045" t="str">
        <f aca="false">IF(OR(A26&gt;$B$5,D26=0),"",H26/D26)</f>
        <v/>
      </c>
      <c r="J26" s="1045" t="str">
        <f aca="false">IF(A26&gt;$B$5,"",IF(F26=0,"",H26/F26))</f>
        <v/>
      </c>
      <c r="K26" s="1046" t="e">
        <f aca="false">IF($B$5=0,NA(),IF(A26&lt;$B$5,NA(),IFERROR($B$9+($B$14-$B$9)*(D26-$B$7)/($B$6-$B$7),NA())))</f>
        <v>#N/A</v>
      </c>
      <c r="L26" s="1043" t="e">
        <f aca="false">IF($B$5=0,NA(),IF(A26&lt;$B$5,NA(),IFERROR($B$8+($B$6-$B$8)*(D26-$B$7)/($B$6-$B$7),NA())))</f>
        <v>#N/A</v>
      </c>
    </row>
    <row r="27" customFormat="false" ht="15" hidden="false" customHeight="true" outlineLevel="0" collapsed="false">
      <c r="A27" s="127" t="n">
        <v>4</v>
      </c>
      <c r="B27" s="1040" t="n">
        <f aca="false">EOMONTH('Construction Budget'!$F$3,A27-1)</f>
        <v>46265</v>
      </c>
      <c r="C27" s="1041" t="n">
        <f aca="false">'Draw Schedule'!J32</f>
        <v>16621173.2217346</v>
      </c>
      <c r="D27" s="1041" t="n">
        <f aca="false">D26+C27</f>
        <v>51255592.3466147</v>
      </c>
      <c r="E27" s="1047"/>
      <c r="F27" s="1043" t="e">
        <f aca="false">IF(A27&gt;$B$5,NA(),SUM($E$24:E27))</f>
        <v>#N/A</v>
      </c>
      <c r="G27" s="1048"/>
      <c r="H27" s="1043" t="e">
        <f aca="false">IF(A27&gt;$B$5,NA(),IF(G27="",NA(),G27*$B$6))</f>
        <v>#N/A</v>
      </c>
      <c r="I27" s="1045" t="str">
        <f aca="false">IF(OR(A27&gt;$B$5,D27=0),"",H27/D27)</f>
        <v/>
      </c>
      <c r="J27" s="1045" t="str">
        <f aca="false">IF(A27&gt;$B$5,"",IF(F27=0,"",H27/F27))</f>
        <v/>
      </c>
      <c r="K27" s="1046" t="e">
        <f aca="false">IF($B$5=0,NA(),IF(A27&lt;$B$5,NA(),IFERROR($B$9+($B$14-$B$9)*(D27-$B$7)/($B$6-$B$7),NA())))</f>
        <v>#N/A</v>
      </c>
      <c r="L27" s="1043" t="e">
        <f aca="false">IF($B$5=0,NA(),IF(A27&lt;$B$5,NA(),IFERROR($B$8+($B$6-$B$8)*(D27-$B$7)/($B$6-$B$7),NA())))</f>
        <v>#N/A</v>
      </c>
    </row>
    <row r="28" customFormat="false" ht="15" hidden="false" customHeight="true" outlineLevel="0" collapsed="false">
      <c r="A28" s="127" t="n">
        <v>5</v>
      </c>
      <c r="B28" s="1040" t="n">
        <f aca="false">EOMONTH('Construction Budget'!$F$3,A28-1)</f>
        <v>46295</v>
      </c>
      <c r="C28" s="1041" t="n">
        <f aca="false">'Draw Schedule'!K32</f>
        <v>19547508.6102007</v>
      </c>
      <c r="D28" s="1041" t="n">
        <f aca="false">D27+C28</f>
        <v>70803100.9568153</v>
      </c>
      <c r="E28" s="1047"/>
      <c r="F28" s="1043" t="e">
        <f aca="false">IF(A28&gt;$B$5,NA(),SUM($E$24:E28))</f>
        <v>#N/A</v>
      </c>
      <c r="G28" s="1048"/>
      <c r="H28" s="1043" t="e">
        <f aca="false">IF(A28&gt;$B$5,NA(),IF(G28="",NA(),G28*$B$6))</f>
        <v>#N/A</v>
      </c>
      <c r="I28" s="1045" t="str">
        <f aca="false">IF(OR(A28&gt;$B$5,D28=0),"",H28/D28)</f>
        <v/>
      </c>
      <c r="J28" s="1045" t="str">
        <f aca="false">IF(A28&gt;$B$5,"",IF(F28=0,"",H28/F28))</f>
        <v/>
      </c>
      <c r="K28" s="1046" t="e">
        <f aca="false">IF($B$5=0,NA(),IF(A28&lt;$B$5,NA(),IFERROR($B$9+($B$14-$B$9)*(D28-$B$7)/($B$6-$B$7),NA())))</f>
        <v>#N/A</v>
      </c>
      <c r="L28" s="1043" t="e">
        <f aca="false">IF($B$5=0,NA(),IF(A28&lt;$B$5,NA(),IFERROR($B$8+($B$6-$B$8)*(D28-$B$7)/($B$6-$B$7),NA())))</f>
        <v>#N/A</v>
      </c>
    </row>
    <row r="29" customFormat="false" ht="15" hidden="false" customHeight="true" outlineLevel="0" collapsed="false">
      <c r="A29" s="127" t="n">
        <v>6</v>
      </c>
      <c r="B29" s="1040" t="n">
        <f aca="false">EOMONTH('Construction Budget'!$F$3,A29-1)</f>
        <v>46326</v>
      </c>
      <c r="C29" s="1041" t="n">
        <f aca="false">'Draw Schedule'!L32</f>
        <v>21124531.0718645</v>
      </c>
      <c r="D29" s="1041" t="n">
        <f aca="false">D28+C29</f>
        <v>91927632.0286798</v>
      </c>
      <c r="E29" s="1047"/>
      <c r="F29" s="1043" t="e">
        <f aca="false">IF(A29&gt;$B$5,NA(),SUM($E$24:E29))</f>
        <v>#N/A</v>
      </c>
      <c r="G29" s="1048"/>
      <c r="H29" s="1043" t="e">
        <f aca="false">IF(A29&gt;$B$5,NA(),IF(G29="",NA(),G29*$B$6))</f>
        <v>#N/A</v>
      </c>
      <c r="I29" s="1045" t="str">
        <f aca="false">IF(OR(A29&gt;$B$5,D29=0),"",H29/D29)</f>
        <v/>
      </c>
      <c r="J29" s="1045" t="str">
        <f aca="false">IF(A29&gt;$B$5,"",IF(F29=0,"",H29/F29))</f>
        <v/>
      </c>
      <c r="K29" s="1046" t="e">
        <f aca="false">IF($B$5=0,NA(),IF(A29&lt;$B$5,NA(),IFERROR($B$9+($B$14-$B$9)*(D29-$B$7)/($B$6-$B$7),NA())))</f>
        <v>#N/A</v>
      </c>
      <c r="L29" s="1043" t="e">
        <f aca="false">IF($B$5=0,NA(),IF(A29&lt;$B$5,NA(),IFERROR($B$8+($B$6-$B$8)*(D29-$B$7)/($B$6-$B$7),NA())))</f>
        <v>#N/A</v>
      </c>
    </row>
    <row r="30" customFormat="false" ht="15" hidden="false" customHeight="true" outlineLevel="0" collapsed="false">
      <c r="A30" s="127" t="n">
        <v>7</v>
      </c>
      <c r="B30" s="1040" t="n">
        <f aca="false">EOMONTH('Construction Budget'!$F$3,A30-1)</f>
        <v>46356</v>
      </c>
      <c r="C30" s="1041" t="n">
        <f aca="false">'Draw Schedule'!M32</f>
        <v>21352240.606726</v>
      </c>
      <c r="D30" s="1041" t="n">
        <f aca="false">D29+C30</f>
        <v>113279872.635406</v>
      </c>
      <c r="E30" s="1047"/>
      <c r="F30" s="1043" t="e">
        <f aca="false">IF(A30&gt;$B$5,NA(),SUM($E$24:E30))</f>
        <v>#N/A</v>
      </c>
      <c r="G30" s="1048"/>
      <c r="H30" s="1043" t="e">
        <f aca="false">IF(A30&gt;$B$5,NA(),IF(G30="",NA(),G30*$B$6))</f>
        <v>#N/A</v>
      </c>
      <c r="I30" s="1045" t="str">
        <f aca="false">IF(OR(A30&gt;$B$5,D30=0),"",H30/D30)</f>
        <v/>
      </c>
      <c r="J30" s="1045" t="str">
        <f aca="false">IF(A30&gt;$B$5,"",IF(F30=0,"",H30/F30))</f>
        <v/>
      </c>
      <c r="K30" s="1046" t="e">
        <f aca="false">IF($B$5=0,NA(),IF(A30&lt;$B$5,NA(),IFERROR($B$9+($B$14-$B$9)*(D30-$B$7)/($B$6-$B$7),NA())))</f>
        <v>#N/A</v>
      </c>
      <c r="L30" s="1043" t="e">
        <f aca="false">IF($B$5=0,NA(),IF(A30&lt;$B$5,NA(),IFERROR($B$8+($B$6-$B$8)*(D30-$B$7)/($B$6-$B$7),NA())))</f>
        <v>#N/A</v>
      </c>
    </row>
    <row r="31" customFormat="false" ht="15" hidden="false" customHeight="true" outlineLevel="0" collapsed="false">
      <c r="A31" s="127" t="n">
        <v>8</v>
      </c>
      <c r="B31" s="1040" t="n">
        <f aca="false">EOMONTH('Construction Budget'!$F$3,A31-1)</f>
        <v>46387</v>
      </c>
      <c r="C31" s="1041" t="n">
        <f aca="false">'Draw Schedule'!N32</f>
        <v>23508586.9416242</v>
      </c>
      <c r="D31" s="1041" t="n">
        <f aca="false">D30+C31</f>
        <v>136788459.57703</v>
      </c>
      <c r="E31" s="1047"/>
      <c r="F31" s="1043" t="e">
        <f aca="false">IF(A31&gt;$B$5,NA(),SUM($E$24:E31))</f>
        <v>#N/A</v>
      </c>
      <c r="G31" s="1048"/>
      <c r="H31" s="1043" t="e">
        <f aca="false">IF(A31&gt;$B$5,NA(),IF(G31="",NA(),G31*$B$6))</f>
        <v>#N/A</v>
      </c>
      <c r="I31" s="1045" t="str">
        <f aca="false">IF(OR(A31&gt;$B$5,D31=0),"",H31/D31)</f>
        <v/>
      </c>
      <c r="J31" s="1045" t="str">
        <f aca="false">IF(A31&gt;$B$5,"",IF(F31=0,"",H31/F31))</f>
        <v/>
      </c>
      <c r="K31" s="1046" t="e">
        <f aca="false">IF($B$5=0,NA(),IF(A31&lt;$B$5,NA(),IFERROR($B$9+($B$14-$B$9)*(D31-$B$7)/($B$6-$B$7),NA())))</f>
        <v>#N/A</v>
      </c>
      <c r="L31" s="1043" t="e">
        <f aca="false">IF($B$5=0,NA(),IF(A31&lt;$B$5,NA(),IFERROR($B$8+($B$6-$B$8)*(D31-$B$7)/($B$6-$B$7),NA())))</f>
        <v>#N/A</v>
      </c>
    </row>
    <row r="32" customFormat="false" ht="15" hidden="false" customHeight="true" outlineLevel="0" collapsed="false">
      <c r="A32" s="127" t="n">
        <v>9</v>
      </c>
      <c r="B32" s="1040" t="n">
        <f aca="false">EOMONTH('Construction Budget'!$F$3,A32-1)</f>
        <v>46418</v>
      </c>
      <c r="C32" s="1041" t="n">
        <f aca="false">'Draw Schedule'!O32</f>
        <v>28427724.4215018</v>
      </c>
      <c r="D32" s="1041" t="n">
        <f aca="false">D31+C32</f>
        <v>165216183.998532</v>
      </c>
      <c r="E32" s="1047"/>
      <c r="F32" s="1043" t="e">
        <f aca="false">IF(A32&gt;$B$5,NA(),SUM($E$24:E32))</f>
        <v>#N/A</v>
      </c>
      <c r="G32" s="1048"/>
      <c r="H32" s="1043" t="e">
        <f aca="false">IF(A32&gt;$B$5,NA(),IF(G32="",NA(),G32*$B$6))</f>
        <v>#N/A</v>
      </c>
      <c r="I32" s="1045" t="str">
        <f aca="false">IF(OR(A32&gt;$B$5,D32=0),"",H32/D32)</f>
        <v/>
      </c>
      <c r="J32" s="1045" t="str">
        <f aca="false">IF(A32&gt;$B$5,"",IF(F32=0,"",H32/F32))</f>
        <v/>
      </c>
      <c r="K32" s="1046" t="e">
        <f aca="false">IF($B$5=0,NA(),IF(A32&lt;$B$5,NA(),IFERROR($B$9+($B$14-$B$9)*(D32-$B$7)/($B$6-$B$7),NA())))</f>
        <v>#N/A</v>
      </c>
      <c r="L32" s="1043" t="e">
        <f aca="false">IF($B$5=0,NA(),IF(A32&lt;$B$5,NA(),IFERROR($B$8+($B$6-$B$8)*(D32-$B$7)/($B$6-$B$7),NA())))</f>
        <v>#N/A</v>
      </c>
    </row>
    <row r="33" customFormat="false" ht="15" hidden="false" customHeight="true" outlineLevel="0" collapsed="false">
      <c r="A33" s="127" t="n">
        <v>10</v>
      </c>
      <c r="B33" s="1040" t="n">
        <f aca="false">EOMONTH('Construction Budget'!$F$3,A33-1)</f>
        <v>46446</v>
      </c>
      <c r="C33" s="1041" t="n">
        <f aca="false">'Draw Schedule'!P32</f>
        <v>34619709.4052577</v>
      </c>
      <c r="D33" s="1041" t="n">
        <f aca="false">D32+C33</f>
        <v>199835893.40379</v>
      </c>
      <c r="E33" s="1047"/>
      <c r="F33" s="1043" t="e">
        <f aca="false">IF(A33&gt;$B$5,NA(),SUM($E$24:E33))</f>
        <v>#N/A</v>
      </c>
      <c r="G33" s="1048"/>
      <c r="H33" s="1043" t="e">
        <f aca="false">IF(A33&gt;$B$5,NA(),IF(G33="",NA(),G33*$B$6))</f>
        <v>#N/A</v>
      </c>
      <c r="I33" s="1045" t="str">
        <f aca="false">IF(OR(A33&gt;$B$5,D33=0),"",H33/D33)</f>
        <v/>
      </c>
      <c r="J33" s="1045" t="str">
        <f aca="false">IF(A33&gt;$B$5,"",IF(F33=0,"",H33/F33))</f>
        <v/>
      </c>
      <c r="K33" s="1046" t="e">
        <f aca="false">IF($B$5=0,NA(),IF(A33&lt;$B$5,NA(),IFERROR($B$9+($B$14-$B$9)*(D33-$B$7)/($B$6-$B$7),NA())))</f>
        <v>#N/A</v>
      </c>
      <c r="L33" s="1043" t="e">
        <f aca="false">IF($B$5=0,NA(),IF(A33&lt;$B$5,NA(),IFERROR($B$8+($B$6-$B$8)*(D33-$B$7)/($B$6-$B$7),NA())))</f>
        <v>#N/A</v>
      </c>
    </row>
    <row r="34" customFormat="false" ht="15" hidden="false" customHeight="true" outlineLevel="0" collapsed="false">
      <c r="A34" s="127" t="n">
        <v>11</v>
      </c>
      <c r="B34" s="1040" t="n">
        <f aca="false">EOMONTH('Construction Budget'!$F$3,A34-1)</f>
        <v>46477</v>
      </c>
      <c r="C34" s="1041" t="n">
        <f aca="false">'Draw Schedule'!Q32</f>
        <v>41519972.0430808</v>
      </c>
      <c r="D34" s="1041" t="n">
        <f aca="false">D33+C34</f>
        <v>241355865.44687</v>
      </c>
      <c r="E34" s="1047"/>
      <c r="F34" s="1043" t="e">
        <f aca="false">IF(A34&gt;$B$5,NA(),SUM($E$24:E34))</f>
        <v>#N/A</v>
      </c>
      <c r="G34" s="1048"/>
      <c r="H34" s="1043" t="e">
        <f aca="false">IF(A34&gt;$B$5,NA(),IF(G34="",NA(),G34*$B$6))</f>
        <v>#N/A</v>
      </c>
      <c r="I34" s="1045" t="str">
        <f aca="false">IF(OR(A34&gt;$B$5,D34=0),"",H34/D34)</f>
        <v/>
      </c>
      <c r="J34" s="1045" t="str">
        <f aca="false">IF(A34&gt;$B$5,"",IF(F34=0,"",H34/F34))</f>
        <v/>
      </c>
      <c r="K34" s="1046" t="e">
        <f aca="false">IF($B$5=0,NA(),IF(A34&lt;$B$5,NA(),IFERROR($B$9+($B$14-$B$9)*(D34-$B$7)/($B$6-$B$7),NA())))</f>
        <v>#N/A</v>
      </c>
      <c r="L34" s="1043" t="e">
        <f aca="false">IF($B$5=0,NA(),IF(A34&lt;$B$5,NA(),IFERROR($B$8+($B$6-$B$8)*(D34-$B$7)/($B$6-$B$7),NA())))</f>
        <v>#N/A</v>
      </c>
    </row>
    <row r="35" customFormat="false" ht="15" hidden="false" customHeight="true" outlineLevel="0" collapsed="false">
      <c r="A35" s="127" t="n">
        <v>12</v>
      </c>
      <c r="B35" s="1040" t="n">
        <f aca="false">EOMONTH('Construction Budget'!$F$3,A35-1)</f>
        <v>46507</v>
      </c>
      <c r="C35" s="1041" t="n">
        <f aca="false">'Draw Schedule'!R32</f>
        <v>46861468.2319185</v>
      </c>
      <c r="D35" s="1041" t="n">
        <f aca="false">D34+C35</f>
        <v>288217333.678789</v>
      </c>
      <c r="E35" s="1047"/>
      <c r="F35" s="1043" t="e">
        <f aca="false">IF(A35&gt;$B$5,NA(),SUM($E$24:E35))</f>
        <v>#N/A</v>
      </c>
      <c r="G35" s="1048"/>
      <c r="H35" s="1043" t="e">
        <f aca="false">IF(A35&gt;$B$5,NA(),IF(G35="",NA(),G35*$B$6))</f>
        <v>#N/A</v>
      </c>
      <c r="I35" s="1045" t="str">
        <f aca="false">IF(OR(A35&gt;$B$5,D35=0),"",H35/D35)</f>
        <v/>
      </c>
      <c r="J35" s="1045" t="str">
        <f aca="false">IF(A35&gt;$B$5,"",IF(F35=0,"",H35/F35))</f>
        <v/>
      </c>
      <c r="K35" s="1046" t="e">
        <f aca="false">IF($B$5=0,NA(),IF(A35&lt;$B$5,NA(),IFERROR($B$9+($B$14-$B$9)*(D35-$B$7)/($B$6-$B$7),NA())))</f>
        <v>#N/A</v>
      </c>
      <c r="L35" s="1043" t="e">
        <f aca="false">IF($B$5=0,NA(),IF(A35&lt;$B$5,NA(),IFERROR($B$8+($B$6-$B$8)*(D35-$B$7)/($B$6-$B$7),NA())))</f>
        <v>#N/A</v>
      </c>
    </row>
    <row r="36" customFormat="false" ht="15" hidden="false" customHeight="true" outlineLevel="0" collapsed="false">
      <c r="A36" s="127" t="n">
        <v>13</v>
      </c>
      <c r="B36" s="1040" t="n">
        <f aca="false">EOMONTH('Construction Budget'!$F$3,A36-1)</f>
        <v>46538</v>
      </c>
      <c r="C36" s="1041" t="n">
        <f aca="false">'Draw Schedule'!S32</f>
        <v>49754053.3374538</v>
      </c>
      <c r="D36" s="1041" t="n">
        <f aca="false">D35+C36</f>
        <v>337971387.016243</v>
      </c>
      <c r="E36" s="1047"/>
      <c r="F36" s="1043" t="e">
        <f aca="false">IF(A36&gt;$B$5,NA(),SUM($E$24:E36))</f>
        <v>#N/A</v>
      </c>
      <c r="G36" s="1048"/>
      <c r="H36" s="1043" t="e">
        <f aca="false">IF(A36&gt;$B$5,NA(),IF(G36="",NA(),G36*$B$6))</f>
        <v>#N/A</v>
      </c>
      <c r="I36" s="1045" t="str">
        <f aca="false">IF(OR(A36&gt;$B$5,D36=0),"",H36/D36)</f>
        <v/>
      </c>
      <c r="J36" s="1045" t="str">
        <f aca="false">IF(A36&gt;$B$5,"",IF(F36=0,"",H36/F36))</f>
        <v/>
      </c>
      <c r="K36" s="1046" t="e">
        <f aca="false">IF($B$5=0,NA(),IF(A36&lt;$B$5,NA(),IFERROR($B$9+($B$14-$B$9)*(D36-$B$7)/($B$6-$B$7),NA())))</f>
        <v>#N/A</v>
      </c>
      <c r="L36" s="1043" t="e">
        <f aca="false">IF($B$5=0,NA(),IF(A36&lt;$B$5,NA(),IFERROR($B$8+($B$6-$B$8)*(D36-$B$7)/($B$6-$B$7),NA())))</f>
        <v>#N/A</v>
      </c>
    </row>
    <row r="37" customFormat="false" ht="15" hidden="false" customHeight="true" outlineLevel="0" collapsed="false">
      <c r="A37" s="127" t="n">
        <v>14</v>
      </c>
      <c r="B37" s="1040" t="n">
        <f aca="false">EOMONTH('Construction Budget'!$F$3,A37-1)</f>
        <v>46568</v>
      </c>
      <c r="C37" s="1041" t="n">
        <f aca="false">'Draw Schedule'!T32</f>
        <v>51186428.2042063</v>
      </c>
      <c r="D37" s="1041" t="n">
        <f aca="false">D36+C37</f>
        <v>389157815.220449</v>
      </c>
      <c r="E37" s="1047"/>
      <c r="F37" s="1043" t="e">
        <f aca="false">IF(A37&gt;$B$5,NA(),SUM($E$24:E37))</f>
        <v>#N/A</v>
      </c>
      <c r="G37" s="1048"/>
      <c r="H37" s="1043" t="e">
        <f aca="false">IF(A37&gt;$B$5,NA(),IF(G37="",NA(),G37*$B$6))</f>
        <v>#N/A</v>
      </c>
      <c r="I37" s="1045" t="str">
        <f aca="false">IF(OR(A37&gt;$B$5,D37=0),"",H37/D37)</f>
        <v/>
      </c>
      <c r="J37" s="1045" t="str">
        <f aca="false">IF(A37&gt;$B$5,"",IF(F37=0,"",H37/F37))</f>
        <v/>
      </c>
      <c r="K37" s="1046" t="e">
        <f aca="false">IF($B$5=0,NA(),IF(A37&lt;$B$5,NA(),IFERROR($B$9+($B$14-$B$9)*(D37-$B$7)/($B$6-$B$7),NA())))</f>
        <v>#N/A</v>
      </c>
      <c r="L37" s="1043" t="e">
        <f aca="false">IF($B$5=0,NA(),IF(A37&lt;$B$5,NA(),IFERROR($B$8+($B$6-$B$8)*(D37-$B$7)/($B$6-$B$7),NA())))</f>
        <v>#N/A</v>
      </c>
    </row>
    <row r="38" customFormat="false" ht="15" hidden="false" customHeight="true" outlineLevel="0" collapsed="false">
      <c r="A38" s="127" t="n">
        <v>15</v>
      </c>
      <c r="B38" s="1040" t="n">
        <f aca="false">EOMONTH('Construction Budget'!$F$3,A38-1)</f>
        <v>46599</v>
      </c>
      <c r="C38" s="1041" t="n">
        <f aca="false">'Draw Schedule'!U32</f>
        <v>51647878.6674872</v>
      </c>
      <c r="D38" s="1041" t="n">
        <f aca="false">D37+C38</f>
        <v>440805693.887936</v>
      </c>
      <c r="E38" s="1047"/>
      <c r="F38" s="1043" t="e">
        <f aca="false">IF(A38&gt;$B$5,NA(),SUM($E$24:E38))</f>
        <v>#N/A</v>
      </c>
      <c r="G38" s="1048"/>
      <c r="H38" s="1043" t="e">
        <f aca="false">IF(A38&gt;$B$5,NA(),IF(G38="",NA(),G38*$B$6))</f>
        <v>#N/A</v>
      </c>
      <c r="I38" s="1045" t="str">
        <f aca="false">IF(OR(A38&gt;$B$5,D38=0),"",H38/D38)</f>
        <v/>
      </c>
      <c r="J38" s="1045" t="str">
        <f aca="false">IF(A38&gt;$B$5,"",IF(F38=0,"",H38/F38))</f>
        <v/>
      </c>
      <c r="K38" s="1046" t="e">
        <f aca="false">IF($B$5=0,NA(),IF(A38&lt;$B$5,NA(),IFERROR($B$9+($B$14-$B$9)*(D38-$B$7)/($B$6-$B$7),NA())))</f>
        <v>#N/A</v>
      </c>
      <c r="L38" s="1043" t="e">
        <f aca="false">IF($B$5=0,NA(),IF(A38&lt;$B$5,NA(),IFERROR($B$8+($B$6-$B$8)*(D38-$B$7)/($B$6-$B$7),NA())))</f>
        <v>#N/A</v>
      </c>
    </row>
    <row r="39" customFormat="false" ht="15" hidden="false" customHeight="true" outlineLevel="0" collapsed="false">
      <c r="A39" s="127" t="n">
        <v>16</v>
      </c>
      <c r="B39" s="1040" t="n">
        <f aca="false">EOMONTH('Construction Budget'!$F$3,A39-1)</f>
        <v>46630</v>
      </c>
      <c r="C39" s="1041" t="n">
        <f aca="false">'Draw Schedule'!V32</f>
        <v>51492706.1634922</v>
      </c>
      <c r="D39" s="1041" t="n">
        <f aca="false">D38+C39</f>
        <v>492298400.051428</v>
      </c>
      <c r="E39" s="1047"/>
      <c r="F39" s="1043" t="e">
        <f aca="false">IF(A39&gt;$B$5,NA(),SUM($E$24:E39))</f>
        <v>#N/A</v>
      </c>
      <c r="G39" s="1048"/>
      <c r="H39" s="1043" t="e">
        <f aca="false">IF(A39&gt;$B$5,NA(),IF(G39="",NA(),G39*$B$6))</f>
        <v>#N/A</v>
      </c>
      <c r="I39" s="1045" t="str">
        <f aca="false">IF(OR(A39&gt;$B$5,D39=0),"",H39/D39)</f>
        <v/>
      </c>
      <c r="J39" s="1045" t="str">
        <f aca="false">IF(A39&gt;$B$5,"",IF(F39=0,"",H39/F39))</f>
        <v/>
      </c>
      <c r="K39" s="1046" t="e">
        <f aca="false">IF($B$5=0,NA(),IF(A39&lt;$B$5,NA(),IFERROR($B$9+($B$14-$B$9)*(D39-$B$7)/($B$6-$B$7),NA())))</f>
        <v>#N/A</v>
      </c>
      <c r="L39" s="1043" t="e">
        <f aca="false">IF($B$5=0,NA(),IF(A39&lt;$B$5,NA(),IFERROR($B$8+($B$6-$B$8)*(D39-$B$7)/($B$6-$B$7),NA())))</f>
        <v>#N/A</v>
      </c>
    </row>
    <row r="40" customFormat="false" ht="15" hidden="false" customHeight="true" outlineLevel="0" collapsed="false">
      <c r="A40" s="127" t="n">
        <v>17</v>
      </c>
      <c r="B40" s="1040" t="n">
        <f aca="false">EOMONTH('Construction Budget'!$F$3,A40-1)</f>
        <v>46660</v>
      </c>
      <c r="C40" s="1041" t="n">
        <f aca="false">'Draw Schedule'!W32</f>
        <v>51931098.7721241</v>
      </c>
      <c r="D40" s="1041" t="n">
        <f aca="false">D39+C40</f>
        <v>544229498.823552</v>
      </c>
      <c r="E40" s="1047"/>
      <c r="F40" s="1043" t="e">
        <f aca="false">IF(A40&gt;$B$5,NA(),SUM($E$24:E40))</f>
        <v>#N/A</v>
      </c>
      <c r="G40" s="1048"/>
      <c r="H40" s="1043" t="e">
        <f aca="false">IF(A40&gt;$B$5,NA(),IF(G40="",NA(),G40*$B$6))</f>
        <v>#N/A</v>
      </c>
      <c r="I40" s="1045" t="str">
        <f aca="false">IF(OR(A40&gt;$B$5,D40=0),"",H40/D40)</f>
        <v/>
      </c>
      <c r="J40" s="1045" t="str">
        <f aca="false">IF(A40&gt;$B$5,"",IF(F40=0,"",H40/F40))</f>
        <v/>
      </c>
      <c r="K40" s="1046" t="e">
        <f aca="false">IF($B$5=0,NA(),IF(A40&lt;$B$5,NA(),IFERROR($B$9+($B$14-$B$9)*(D40-$B$7)/($B$6-$B$7),NA())))</f>
        <v>#N/A</v>
      </c>
      <c r="L40" s="1043" t="e">
        <f aca="false">IF($B$5=0,NA(),IF(A40&lt;$B$5,NA(),IFERROR($B$8+($B$6-$B$8)*(D40-$B$7)/($B$6-$B$7),NA())))</f>
        <v>#N/A</v>
      </c>
    </row>
    <row r="41" customFormat="false" ht="15" hidden="false" customHeight="true" outlineLevel="0" collapsed="false">
      <c r="A41" s="127" t="n">
        <v>18</v>
      </c>
      <c r="B41" s="1040" t="n">
        <f aca="false">EOMONTH('Construction Budget'!$F$3,A41-1)</f>
        <v>46691</v>
      </c>
      <c r="C41" s="1041" t="n">
        <f aca="false">'Draw Schedule'!X32</f>
        <v>53897682.2594928</v>
      </c>
      <c r="D41" s="1041" t="n">
        <f aca="false">D40+C41</f>
        <v>598127181.083045</v>
      </c>
      <c r="E41" s="1047"/>
      <c r="F41" s="1043" t="e">
        <f aca="false">IF(A41&gt;$B$5,NA(),SUM($E$24:E41))</f>
        <v>#N/A</v>
      </c>
      <c r="G41" s="1048"/>
      <c r="H41" s="1043" t="e">
        <f aca="false">IF(A41&gt;$B$5,NA(),IF(G41="",NA(),G41*$B$6))</f>
        <v>#N/A</v>
      </c>
      <c r="I41" s="1045" t="str">
        <f aca="false">IF(OR(A41&gt;$B$5,D41=0),"",H41/D41)</f>
        <v/>
      </c>
      <c r="J41" s="1045" t="str">
        <f aca="false">IF(A41&gt;$B$5,"",IF(F41=0,"",H41/F41))</f>
        <v/>
      </c>
      <c r="K41" s="1046" t="e">
        <f aca="false">IF($B$5=0,NA(),IF(A41&lt;$B$5,NA(),IFERROR($B$9+($B$14-$B$9)*(D41-$B$7)/($B$6-$B$7),NA())))</f>
        <v>#N/A</v>
      </c>
      <c r="L41" s="1043" t="e">
        <f aca="false">IF($B$5=0,NA(),IF(A41&lt;$B$5,NA(),IFERROR($B$8+($B$6-$B$8)*(D41-$B$7)/($B$6-$B$7),NA())))</f>
        <v>#N/A</v>
      </c>
    </row>
    <row r="42" customFormat="false" ht="15" hidden="false" customHeight="true" outlineLevel="0" collapsed="false">
      <c r="A42" s="127" t="n">
        <v>19</v>
      </c>
      <c r="B42" s="1040" t="n">
        <f aca="false">EOMONTH('Construction Budget'!$F$3,A42-1)</f>
        <v>46721</v>
      </c>
      <c r="C42" s="1041" t="n">
        <f aca="false">'Draw Schedule'!Y32</f>
        <v>55548583.0340304</v>
      </c>
      <c r="D42" s="1041" t="n">
        <f aca="false">D41+C42</f>
        <v>653675764.117076</v>
      </c>
      <c r="E42" s="1047"/>
      <c r="F42" s="1043" t="e">
        <f aca="false">IF(A42&gt;$B$5,NA(),SUM($E$24:E42))</f>
        <v>#N/A</v>
      </c>
      <c r="G42" s="1048"/>
      <c r="H42" s="1043" t="e">
        <f aca="false">IF(A42&gt;$B$5,NA(),IF(G42="",NA(),G42*$B$6))</f>
        <v>#N/A</v>
      </c>
      <c r="I42" s="1045" t="str">
        <f aca="false">IF(OR(A42&gt;$B$5,D42=0),"",H42/D42)</f>
        <v/>
      </c>
      <c r="J42" s="1045" t="str">
        <f aca="false">IF(A42&gt;$B$5,"",IF(F42=0,"",H42/F42))</f>
        <v/>
      </c>
      <c r="K42" s="1046" t="e">
        <f aca="false">IF($B$5=0,NA(),IF(A42&lt;$B$5,NA(),IFERROR($B$9+($B$14-$B$9)*(D42-$B$7)/($B$6-$B$7),NA())))</f>
        <v>#N/A</v>
      </c>
      <c r="L42" s="1043" t="e">
        <f aca="false">IF($B$5=0,NA(),IF(A42&lt;$B$5,NA(),IFERROR($B$8+($B$6-$B$8)*(D42-$B$7)/($B$6-$B$7),NA())))</f>
        <v>#N/A</v>
      </c>
    </row>
    <row r="43" customFormat="false" ht="15" hidden="false" customHeight="true" outlineLevel="0" collapsed="false">
      <c r="A43" s="127" t="n">
        <v>20</v>
      </c>
      <c r="B43" s="1040" t="n">
        <f aca="false">EOMONTH('Construction Budget'!$F$3,A43-1)</f>
        <v>46752</v>
      </c>
      <c r="C43" s="1041" t="n">
        <f aca="false">'Draw Schedule'!Z32</f>
        <v>55541420.1660016</v>
      </c>
      <c r="D43" s="1041" t="n">
        <f aca="false">D42+C43</f>
        <v>709217184.283077</v>
      </c>
      <c r="E43" s="1047"/>
      <c r="F43" s="1043" t="e">
        <f aca="false">IF(A43&gt;$B$5,NA(),SUM($E$24:E43))</f>
        <v>#N/A</v>
      </c>
      <c r="G43" s="1048"/>
      <c r="H43" s="1043" t="e">
        <f aca="false">IF(A43&gt;$B$5,NA(),IF(G43="",NA(),G43*$B$6))</f>
        <v>#N/A</v>
      </c>
      <c r="I43" s="1045" t="str">
        <f aca="false">IF(OR(A43&gt;$B$5,D43=0),"",H43/D43)</f>
        <v/>
      </c>
      <c r="J43" s="1045" t="str">
        <f aca="false">IF(A43&gt;$B$5,"",IF(F43=0,"",H43/F43))</f>
        <v/>
      </c>
      <c r="K43" s="1046" t="e">
        <f aca="false">IF($B$5=0,NA(),IF(A43&lt;$B$5,NA(),IFERROR($B$9+($B$14-$B$9)*(D43-$B$7)/($B$6-$B$7),NA())))</f>
        <v>#N/A</v>
      </c>
      <c r="L43" s="1043" t="e">
        <f aca="false">IF($B$5=0,NA(),IF(A43&lt;$B$5,NA(),IFERROR($B$8+($B$6-$B$8)*(D43-$B$7)/($B$6-$B$7),NA())))</f>
        <v>#N/A</v>
      </c>
    </row>
    <row r="44" customFormat="false" ht="15" hidden="false" customHeight="true" outlineLevel="0" collapsed="false">
      <c r="A44" s="127" t="n">
        <v>21</v>
      </c>
      <c r="B44" s="1040" t="n">
        <f aca="false">EOMONTH('Construction Budget'!$F$3,A44-1)</f>
        <v>46783</v>
      </c>
      <c r="C44" s="1041" t="n">
        <f aca="false">'Draw Schedule'!AA32</f>
        <v>54924276.9901625</v>
      </c>
      <c r="D44" s="1041" t="n">
        <f aca="false">D43+C44</f>
        <v>764141461.27324</v>
      </c>
      <c r="E44" s="1047"/>
      <c r="F44" s="1043" t="e">
        <f aca="false">IF(A44&gt;$B$5,NA(),SUM($E$24:E44))</f>
        <v>#N/A</v>
      </c>
      <c r="G44" s="1048"/>
      <c r="H44" s="1043" t="e">
        <f aca="false">IF(A44&gt;$B$5,NA(),IF(G44="",NA(),G44*$B$6))</f>
        <v>#N/A</v>
      </c>
      <c r="I44" s="1045" t="str">
        <f aca="false">IF(OR(A44&gt;$B$5,D44=0),"",H44/D44)</f>
        <v/>
      </c>
      <c r="J44" s="1045" t="str">
        <f aca="false">IF(A44&gt;$B$5,"",IF(F44=0,"",H44/F44))</f>
        <v/>
      </c>
      <c r="K44" s="1046" t="e">
        <f aca="false">IF($B$5=0,NA(),IF(A44&lt;$B$5,NA(),IFERROR($B$9+($B$14-$B$9)*(D44-$B$7)/($B$6-$B$7),NA())))</f>
        <v>#N/A</v>
      </c>
      <c r="L44" s="1043" t="e">
        <f aca="false">IF($B$5=0,NA(),IF(A44&lt;$B$5,NA(),IFERROR($B$8+($B$6-$B$8)*(D44-$B$7)/($B$6-$B$7),NA())))</f>
        <v>#N/A</v>
      </c>
    </row>
    <row r="45" customFormat="false" ht="15" hidden="false" customHeight="true" outlineLevel="0" collapsed="false">
      <c r="A45" s="127" t="n">
        <v>22</v>
      </c>
      <c r="B45" s="1040" t="n">
        <f aca="false">EOMONTH('Construction Budget'!$F$3,A45-1)</f>
        <v>46812</v>
      </c>
      <c r="C45" s="1041" t="n">
        <f aca="false">'Draw Schedule'!AB32</f>
        <v>53235929.4402311</v>
      </c>
      <c r="D45" s="1041" t="n">
        <f aca="false">D44+C45</f>
        <v>817377390.713471</v>
      </c>
      <c r="E45" s="1047"/>
      <c r="F45" s="1043" t="e">
        <f aca="false">IF(A45&gt;$B$5,NA(),SUM($E$24:E45))</f>
        <v>#N/A</v>
      </c>
      <c r="G45" s="1048"/>
      <c r="H45" s="1043" t="e">
        <f aca="false">IF(A45&gt;$B$5,NA(),IF(G45="",NA(),G45*$B$6))</f>
        <v>#N/A</v>
      </c>
      <c r="I45" s="1045" t="str">
        <f aca="false">IF(OR(A45&gt;$B$5,D45=0),"",H45/D45)</f>
        <v/>
      </c>
      <c r="J45" s="1045" t="str">
        <f aca="false">IF(A45&gt;$B$5,"",IF(F45=0,"",H45/F45))</f>
        <v/>
      </c>
      <c r="K45" s="1046" t="e">
        <f aca="false">IF($B$5=0,NA(),IF(A45&lt;$B$5,NA(),IFERROR($B$9+($B$14-$B$9)*(D45-$B$7)/($B$6-$B$7),NA())))</f>
        <v>#N/A</v>
      </c>
      <c r="L45" s="1043" t="e">
        <f aca="false">IF($B$5=0,NA(),IF(A45&lt;$B$5,NA(),IFERROR($B$8+($B$6-$B$8)*(D45-$B$7)/($B$6-$B$7),NA())))</f>
        <v>#N/A</v>
      </c>
    </row>
    <row r="46" customFormat="false" ht="15" hidden="false" customHeight="true" outlineLevel="0" collapsed="false">
      <c r="A46" s="127" t="n">
        <v>23</v>
      </c>
      <c r="B46" s="1040" t="n">
        <f aca="false">EOMONTH('Construction Budget'!$F$3,A46-1)</f>
        <v>46843</v>
      </c>
      <c r="C46" s="1041" t="n">
        <f aca="false">'Draw Schedule'!AC32</f>
        <v>52473910.9813211</v>
      </c>
      <c r="D46" s="1041" t="n">
        <f aca="false">D45+C46</f>
        <v>869851301.694792</v>
      </c>
      <c r="E46" s="1047"/>
      <c r="F46" s="1043" t="e">
        <f aca="false">IF(A46&gt;$B$5,NA(),SUM($E$24:E46))</f>
        <v>#N/A</v>
      </c>
      <c r="G46" s="1048"/>
      <c r="H46" s="1043" t="e">
        <f aca="false">IF(A46&gt;$B$5,NA(),IF(G46="",NA(),G46*$B$6))</f>
        <v>#N/A</v>
      </c>
      <c r="I46" s="1045" t="str">
        <f aca="false">IF(OR(A46&gt;$B$5,D46=0),"",H46/D46)</f>
        <v/>
      </c>
      <c r="J46" s="1045" t="str">
        <f aca="false">IF(A46&gt;$B$5,"",IF(F46=0,"",H46/F46))</f>
        <v/>
      </c>
      <c r="K46" s="1046" t="e">
        <f aca="false">IF($B$5=0,NA(),IF(A46&lt;$B$5,NA(),IFERROR($B$9+($B$14-$B$9)*(D46-$B$7)/($B$6-$B$7),NA())))</f>
        <v>#N/A</v>
      </c>
      <c r="L46" s="1043" t="e">
        <f aca="false">IF($B$5=0,NA(),IF(A46&lt;$B$5,NA(),IFERROR($B$8+($B$6-$B$8)*(D46-$B$7)/($B$6-$B$7),NA())))</f>
        <v>#N/A</v>
      </c>
    </row>
    <row r="47" customFormat="false" ht="15" hidden="false" customHeight="true" outlineLevel="0" collapsed="false">
      <c r="A47" s="127" t="n">
        <v>24</v>
      </c>
      <c r="B47" s="1040" t="n">
        <f aca="false">EOMONTH('Construction Budget'!$F$3,A47-1)</f>
        <v>46873</v>
      </c>
      <c r="C47" s="1041" t="n">
        <f aca="false">'Draw Schedule'!AD32</f>
        <v>52376773.728073</v>
      </c>
      <c r="D47" s="1041" t="n">
        <f aca="false">D46+C47</f>
        <v>922228075.422865</v>
      </c>
      <c r="E47" s="1047"/>
      <c r="F47" s="1043" t="e">
        <f aca="false">IF(A47&gt;$B$5,NA(),SUM($E$24:E47))</f>
        <v>#N/A</v>
      </c>
      <c r="G47" s="1048"/>
      <c r="H47" s="1043" t="e">
        <f aca="false">IF(A47&gt;$B$5,NA(),IF(G47="",NA(),G47*$B$6))</f>
        <v>#N/A</v>
      </c>
      <c r="I47" s="1045" t="str">
        <f aca="false">IF(OR(A47&gt;$B$5,D47=0),"",H47/D47)</f>
        <v/>
      </c>
      <c r="J47" s="1045" t="str">
        <f aca="false">IF(A47&gt;$B$5,"",IF(F47=0,"",H47/F47))</f>
        <v/>
      </c>
      <c r="K47" s="1046" t="e">
        <f aca="false">IF($B$5=0,NA(),IF(A47&lt;$B$5,NA(),IFERROR($B$9+($B$14-$B$9)*(D47-$B$7)/($B$6-$B$7),NA())))</f>
        <v>#N/A</v>
      </c>
      <c r="L47" s="1043" t="e">
        <f aca="false">IF($B$5=0,NA(),IF(A47&lt;$B$5,NA(),IFERROR($B$8+($B$6-$B$8)*(D47-$B$7)/($B$6-$B$7),NA())))</f>
        <v>#N/A</v>
      </c>
    </row>
    <row r="48" customFormat="false" ht="15" hidden="false" customHeight="true" outlineLevel="0" collapsed="false">
      <c r="A48" s="127" t="n">
        <v>25</v>
      </c>
      <c r="B48" s="1040" t="n">
        <f aca="false">EOMONTH('Construction Budget'!$F$3,A48-1)</f>
        <v>46904</v>
      </c>
      <c r="C48" s="1041" t="n">
        <f aca="false">'Draw Schedule'!AE32</f>
        <v>49522619.8398332</v>
      </c>
      <c r="D48" s="1041" t="n">
        <f aca="false">D47+C48</f>
        <v>971750695.262698</v>
      </c>
      <c r="E48" s="1047"/>
      <c r="F48" s="1043" t="e">
        <f aca="false">IF(A48&gt;$B$5,NA(),SUM($E$24:E48))</f>
        <v>#N/A</v>
      </c>
      <c r="G48" s="1048"/>
      <c r="H48" s="1043" t="e">
        <f aca="false">IF(A48&gt;$B$5,NA(),IF(G48="",NA(),G48*$B$6))</f>
        <v>#N/A</v>
      </c>
      <c r="I48" s="1045" t="str">
        <f aca="false">IF(OR(A48&gt;$B$5,D48=0),"",H48/D48)</f>
        <v/>
      </c>
      <c r="J48" s="1045" t="str">
        <f aca="false">IF(A48&gt;$B$5,"",IF(F48=0,"",H48/F48))</f>
        <v/>
      </c>
      <c r="K48" s="1046" t="e">
        <f aca="false">IF($B$5=0,NA(),IF(A48&lt;$B$5,NA(),IFERROR($B$9+($B$14-$B$9)*(D48-$B$7)/($B$6-$B$7),NA())))</f>
        <v>#N/A</v>
      </c>
      <c r="L48" s="1043" t="e">
        <f aca="false">IF($B$5=0,NA(),IF(A48&lt;$B$5,NA(),IFERROR($B$8+($B$6-$B$8)*(D48-$B$7)/($B$6-$B$7),NA())))</f>
        <v>#N/A</v>
      </c>
    </row>
    <row r="49" customFormat="false" ht="15" hidden="false" customHeight="true" outlineLevel="0" collapsed="false">
      <c r="A49" s="127" t="n">
        <v>26</v>
      </c>
      <c r="B49" s="1040" t="n">
        <f aca="false">EOMONTH('Construction Budget'!$F$3,A49-1)</f>
        <v>46934</v>
      </c>
      <c r="C49" s="1041" t="n">
        <f aca="false">'Draw Schedule'!AF32</f>
        <v>43577241.1494856</v>
      </c>
      <c r="D49" s="1041" t="n">
        <f aca="false">D48+C49</f>
        <v>1015327936.41218</v>
      </c>
      <c r="E49" s="1047"/>
      <c r="F49" s="1043" t="e">
        <f aca="false">IF(A49&gt;$B$5,NA(),SUM($E$24:E49))</f>
        <v>#N/A</v>
      </c>
      <c r="G49" s="1048"/>
      <c r="H49" s="1043" t="e">
        <f aca="false">IF(A49&gt;$B$5,NA(),IF(G49="",NA(),G49*$B$6))</f>
        <v>#N/A</v>
      </c>
      <c r="I49" s="1045" t="str">
        <f aca="false">IF(OR(A49&gt;$B$5,D49=0),"",H49/D49)</f>
        <v/>
      </c>
      <c r="J49" s="1045" t="str">
        <f aca="false">IF(A49&gt;$B$5,"",IF(F49=0,"",H49/F49))</f>
        <v/>
      </c>
      <c r="K49" s="1046" t="e">
        <f aca="false">IF($B$5=0,NA(),IF(A49&lt;$B$5,NA(),IFERROR($B$9+($B$14-$B$9)*(D49-$B$7)/($B$6-$B$7),NA())))</f>
        <v>#N/A</v>
      </c>
      <c r="L49" s="1043" t="e">
        <f aca="false">IF($B$5=0,NA(),IF(A49&lt;$B$5,NA(),IFERROR($B$8+($B$6-$B$8)*(D49-$B$7)/($B$6-$B$7),NA())))</f>
        <v>#N/A</v>
      </c>
    </row>
    <row r="50" customFormat="false" ht="15" hidden="false" customHeight="true" outlineLevel="0" collapsed="false">
      <c r="A50" s="127" t="n">
        <v>27</v>
      </c>
      <c r="B50" s="1040" t="n">
        <f aca="false">EOMONTH('Construction Budget'!$F$3,A50-1)</f>
        <v>46965</v>
      </c>
      <c r="C50" s="1041" t="n">
        <f aca="false">'Draw Schedule'!AG32</f>
        <v>34622850.1049135</v>
      </c>
      <c r="D50" s="1041" t="n">
        <f aca="false">D49+C50</f>
        <v>1049950786.5171</v>
      </c>
      <c r="E50" s="1047"/>
      <c r="F50" s="1043" t="e">
        <f aca="false">IF(A50&gt;$B$5,NA(),SUM($E$24:E50))</f>
        <v>#N/A</v>
      </c>
      <c r="G50" s="1048"/>
      <c r="H50" s="1043" t="e">
        <f aca="false">IF(A50&gt;$B$5,NA(),IF(G50="",NA(),G50*$B$6))</f>
        <v>#N/A</v>
      </c>
      <c r="I50" s="1045" t="str">
        <f aca="false">IF(OR(A50&gt;$B$5,D50=0),"",H50/D50)</f>
        <v/>
      </c>
      <c r="J50" s="1045" t="str">
        <f aca="false">IF(A50&gt;$B$5,"",IF(F50=0,"",H50/F50))</f>
        <v/>
      </c>
      <c r="K50" s="1046" t="e">
        <f aca="false">IF($B$5=0,NA(),IF(A50&lt;$B$5,NA(),IFERROR($B$9+($B$14-$B$9)*(D50-$B$7)/($B$6-$B$7),NA())))</f>
        <v>#N/A</v>
      </c>
      <c r="L50" s="1043" t="e">
        <f aca="false">IF($B$5=0,NA(),IF(A50&lt;$B$5,NA(),IFERROR($B$8+($B$6-$B$8)*(D50-$B$7)/($B$6-$B$7),NA())))</f>
        <v>#N/A</v>
      </c>
    </row>
    <row r="51" customFormat="false" ht="15" hidden="false" customHeight="true" outlineLevel="0" collapsed="false">
      <c r="A51" s="127" t="n">
        <v>28</v>
      </c>
      <c r="B51" s="1040" t="n">
        <f aca="false">EOMONTH('Construction Budget'!$F$3,A51-1)</f>
        <v>46996</v>
      </c>
      <c r="C51" s="1041" t="n">
        <f aca="false">'Draw Schedule'!AH32</f>
        <v>22279214.1346557</v>
      </c>
      <c r="D51" s="1041" t="n">
        <f aca="false">D50+C51</f>
        <v>1072230000.65175</v>
      </c>
      <c r="E51" s="1047"/>
      <c r="F51" s="1043" t="e">
        <f aca="false">IF(A51&gt;$B$5,NA(),SUM($E$24:E51))</f>
        <v>#N/A</v>
      </c>
      <c r="G51" s="1048"/>
      <c r="H51" s="1043" t="e">
        <f aca="false">IF(A51&gt;$B$5,NA(),IF(G51="",NA(),G51*$B$6))</f>
        <v>#N/A</v>
      </c>
      <c r="I51" s="1045" t="str">
        <f aca="false">IF(OR(A51&gt;$B$5,D51=0),"",H51/D51)</f>
        <v/>
      </c>
      <c r="J51" s="1045" t="str">
        <f aca="false">IF(A51&gt;$B$5,"",IF(F51=0,"",H51/F51))</f>
        <v/>
      </c>
      <c r="K51" s="1046" t="e">
        <f aca="false">IF($B$5=0,NA(),IF(A51&lt;$B$5,NA(),IFERROR($B$9+($B$14-$B$9)*(D51-$B$7)/($B$6-$B$7),NA())))</f>
        <v>#N/A</v>
      </c>
      <c r="L51" s="1043" t="e">
        <f aca="false">IF($B$5=0,NA(),IF(A51&lt;$B$5,NA(),IFERROR($B$8+($B$6-$B$8)*(D51-$B$7)/($B$6-$B$7),NA())))</f>
        <v>#N/A</v>
      </c>
    </row>
    <row r="52" customFormat="false" ht="15" hidden="false" customHeight="true" outlineLevel="0" collapsed="false">
      <c r="A52" s="127" t="n">
        <v>29</v>
      </c>
      <c r="B52" s="1040" t="n">
        <f aca="false">EOMONTH('Construction Budget'!$F$3,A52-1)</f>
        <v>47026</v>
      </c>
      <c r="C52" s="1041" t="n">
        <f aca="false">'Draw Schedule'!AI32</f>
        <v>11437081.3889417</v>
      </c>
      <c r="D52" s="1041" t="n">
        <f aca="false">D51+C52</f>
        <v>1083667082.04069</v>
      </c>
      <c r="E52" s="1047"/>
      <c r="F52" s="1043" t="e">
        <f aca="false">IF(A52&gt;$B$5,NA(),SUM($E$24:E52))</f>
        <v>#N/A</v>
      </c>
      <c r="G52" s="1048"/>
      <c r="H52" s="1043" t="e">
        <f aca="false">IF(A52&gt;$B$5,NA(),IF(G52="",NA(),G52*$B$6))</f>
        <v>#N/A</v>
      </c>
      <c r="I52" s="1045" t="str">
        <f aca="false">IF(OR(A52&gt;$B$5,D52=0),"",H52/D52)</f>
        <v/>
      </c>
      <c r="J52" s="1045" t="str">
        <f aca="false">IF(A52&gt;$B$5,"",IF(F52=0,"",H52/F52))</f>
        <v/>
      </c>
      <c r="K52" s="1046" t="e">
        <f aca="false">IF($B$5=0,NA(),IF(A52&lt;$B$5,NA(),IFERROR($B$9+($B$14-$B$9)*(D52-$B$7)/($B$6-$B$7),NA())))</f>
        <v>#N/A</v>
      </c>
      <c r="L52" s="1043" t="e">
        <f aca="false">IF($B$5=0,NA(),IF(A52&lt;$B$5,NA(),IFERROR($B$8+($B$6-$B$8)*(D52-$B$7)/($B$6-$B$7),NA())))</f>
        <v>#N/A</v>
      </c>
    </row>
    <row r="53" customFormat="false" ht="15" hidden="false" customHeight="true" outlineLevel="0" collapsed="false">
      <c r="A53" s="127" t="n">
        <v>30</v>
      </c>
      <c r="B53" s="1040" t="n">
        <f aca="false">EOMONTH('Construction Budget'!$F$3,A53-1)</f>
        <v>47057</v>
      </c>
      <c r="C53" s="1041" t="n">
        <f aca="false">'Draw Schedule'!AJ32</f>
        <v>4674745.02669696</v>
      </c>
      <c r="D53" s="1041" t="n">
        <f aca="false">D52+C53</f>
        <v>1088341827.06739</v>
      </c>
      <c r="E53" s="1047"/>
      <c r="F53" s="1043" t="e">
        <f aca="false">IF(A53&gt;$B$5,NA(),SUM($E$24:E53))</f>
        <v>#N/A</v>
      </c>
      <c r="G53" s="1048"/>
      <c r="H53" s="1043" t="e">
        <f aca="false">IF(A53&gt;$B$5,NA(),IF(G53="",NA(),G53*$B$6))</f>
        <v>#N/A</v>
      </c>
      <c r="I53" s="1045" t="str">
        <f aca="false">IF(OR(A53&gt;$B$5,D53=0),"",H53/D53)</f>
        <v/>
      </c>
      <c r="J53" s="1045" t="str">
        <f aca="false">IF(A53&gt;$B$5,"",IF(F53=0,"",H53/F53))</f>
        <v/>
      </c>
      <c r="K53" s="1046" t="e">
        <f aca="false">IF($B$5=0,NA(),IF(A53&lt;$B$5,NA(),IFERROR($B$9+($B$14-$B$9)*(D53-$B$7)/($B$6-$B$7),NA())))</f>
        <v>#N/A</v>
      </c>
      <c r="L53" s="1043" t="e">
        <f aca="false">IF($B$5=0,NA(),IF(A53&lt;$B$5,NA(),IFERROR($B$8+($B$6-$B$8)*(D53-$B$7)/($B$6-$B$7),NA())))</f>
        <v>#N/A</v>
      </c>
    </row>
  </sheetData>
  <mergeCells count="6">
    <mergeCell ref="A1:J1"/>
    <mergeCell ref="K1:L1"/>
    <mergeCell ref="A2:J2"/>
    <mergeCell ref="A4:B4"/>
    <mergeCell ref="A21:L21"/>
    <mergeCell ref="A22:J22"/>
  </mergeCells>
  <conditionalFormatting sqref="I24:J47">
    <cfRule type="cellIs" priority="2" operator="lessThan" aboveAverage="0" equalAverage="0" bottom="0" percent="0" rank="0" text="" dxfId="0">
      <formula>1</formula>
    </cfRule>
    <cfRule type="cellIs" priority="3" operator="greaterThanOrEqual" aboveAverage="0" equalAverage="0" bottom="0" percent="0" rank="0" text="" dxfId="30">
      <formula>1</formula>
    </cfRule>
  </conditionalFormatting>
  <conditionalFormatting sqref="B10:B11">
    <cfRule type="expression" priority="4" aboveAverage="0" equalAverage="0" bottom="0" percent="0" rank="0" text="" dxfId="6">
      <formula>B10&lt;0</formula>
    </cfRule>
    <cfRule type="expression" priority="5" aboveAverage="0" equalAverage="0" bottom="0" percent="0" rank="0" text="" dxfId="3">
      <formula>B10&gt;0</formula>
    </cfRule>
  </conditionalFormatting>
  <conditionalFormatting sqref="B12:B13">
    <cfRule type="expression" priority="6" aboveAverage="0" equalAverage="0" bottom="0" percent="0" rank="0" text="" dxfId="6">
      <formula>AND(ISNUMBER(B12),B12&lt;1)</formula>
    </cfRule>
    <cfRule type="expression" priority="7" aboveAverage="0" equalAverage="0" bottom="0" percent="0" rank="0" text="" dxfId="3">
      <formula>AND(ISNUMBER(B12),B12&gt;=1)</formula>
    </cfRule>
  </conditionalFormatting>
  <conditionalFormatting sqref="B16">
    <cfRule type="expression" priority="8" aboveAverage="0" equalAverage="0" bottom="0" percent="0" rank="0" text="" dxfId="6">
      <formula>B16&lt;0</formula>
    </cfRule>
    <cfRule type="expression" priority="9" aboveAverage="0" equalAverage="0" bottom="0" percent="0" rank="0" text="" dxfId="3">
      <formula>B16&gt;0</formula>
    </cfRule>
  </conditionalFormatting>
  <conditionalFormatting sqref="B17">
    <cfRule type="expression" priority="10" aboveAverage="0" equalAverage="0" bottom="0" percent="0" rank="0" text="" dxfId="31">
      <formula>AND(ISNUMBER(B17),B17&gt;1)</formula>
    </cfRule>
  </conditionalFormatting>
  <conditionalFormatting sqref="B18">
    <cfRule type="expression" priority="11" aboveAverage="0" equalAverage="0" bottom="0" percent="0" rank="0" text="" dxfId="6">
      <formula>LEFT(B18,1)="▼"</formula>
    </cfRule>
    <cfRule type="expression" priority="12" aboveAverage="0" equalAverage="0" bottom="0" percent="0" rank="0" text="" dxfId="3">
      <formula>LEFT(B18,1)="●"</formula>
    </cfRule>
  </conditionalFormatting>
  <conditionalFormatting sqref="B19">
    <cfRule type="expression" priority="13" aboveAverage="0" equalAverage="0" bottom="0" percent="0" rank="0" text="" dxfId="6">
      <formula>LEFT(B19,1)="▲"</formula>
    </cfRule>
    <cfRule type="expression" priority="14" aboveAverage="0" equalAverage="0" bottom="0" percent="0" rank="0" text="" dxfId="3">
      <formula>LEFT(B19,1)="●"</formula>
    </cfRule>
  </conditionalFormatting>
  <conditionalFormatting sqref="F24:F47">
    <cfRule type="expression" priority="15" aboveAverage="0" equalAverage="0" bottom="0" percent="0" rank="0" text="" dxfId="32">
      <formula>AND(ISNUMBER(F24),NOT(ISBLANK(F24)))</formula>
    </cfRule>
  </conditionalFormatting>
  <conditionalFormatting sqref="H24:H47">
    <cfRule type="expression" priority="16" aboveAverage="0" equalAverage="0" bottom="0" percent="0" rank="0" text="" dxfId="32">
      <formula>AND(ISNUMBER(H24),NOT(ISBLANK(H24)))</formula>
    </cfRule>
  </conditionalFormatting>
  <conditionalFormatting sqref="K24:L47">
    <cfRule type="expression" priority="17" aboveAverage="0" equalAverage="0" bottom="0" percent="0" rank="0" text="" dxfId="32">
      <formula>AND(ISNUMBER(K24),NOT(ISBLANK(K24)))</formula>
    </cfRule>
  </conditionalFormatting>
  <dataValidations count="3">
    <dataValidation allowBlank="true" error="Enter a whole number between 1 and 24." errorStyle="stop" errorTitle="Invalid month" operator="between" prompt="Enter the elapsed month number, 1 to 24." promptTitle="Data Date (month #)" showDropDown="false" showErrorMessage="true" showInputMessage="true" sqref="B5" type="whole">
      <formula1>1</formula1>
      <formula2>24</formula2>
    </dataValidation>
    <dataValidation allowBlank="true" error="Enter cumulative % complete 0 to 1 (e.g. 0.29 = 29%)." errorStyle="stop" errorTitle="Invalid %" operator="between" prompt="Cumulative physical % complete, 0 to 1." promptTitle="% Complete" showDropDown="false" showErrorMessage="true" showInputMessage="true" sqref="G24:G47" type="decimal">
      <formula1>0</formula1>
      <formula2>1</formula2>
    </dataValidation>
    <dataValidation allowBlank="true" error="Enter Actual Cost in full dollars (&gt;= 0)." errorStyle="stop" errorTitle="Invalid cost" operator="between" prompt="Enter this month's actual cost in FULL dollars (e.g. 44000000)." promptTitle="Period Actual Cost" showDropDown="false" showErrorMessage="true" showInputMessage="true" sqref="E24:E47" type="decimal">
      <formula1>0</formula1>
      <formula2>999999999999</formula2>
    </dataValidation>
  </dataValidations>
  <printOptions headings="false" gridLines="false" gridLinesSet="true" horizontalCentered="true" verticalCentered="false"/>
  <pageMargins left="0.00416666666666667" right="0.00416666666666667" top="0.00694444444444444" bottom="0.00694444444444444" header="0.00277777777777778" footer="0.00277777777777778"/>
  <pageSetup paperSize="9" scale="100" fitToWidth="1" fitToHeight="1" pageOrder="downThenOver" orientation="landscape" blackAndWhite="false" draft="false" cellComments="none" horizontalDpi="300" verticalDpi="300" copies="1"/>
  <headerFooter differentFirst="false" differentOddEven="false">
    <oddHeader>&amp;LData Center Estimate&amp;C&amp;"Aptos Narrow,Bold"&amp;14 Cash Flow Earned Value (EVM)&amp;RPrinted &amp;D</oddHeader>
    <oddFooter>&amp;LConfidential — distribute as directed&amp;CPage &amp;P of &amp;N&amp;R&amp;F</oddFooter>
  </headerFooter>
  <drawing r:id="rId2"/>
  <legacyDrawing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true"/>
  </sheetPr>
  <dimension ref="A1:H2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16" activeCellId="0" sqref="D216"/>
    </sheetView>
  </sheetViews>
  <sheetFormatPr defaultColWidth="8.57421875" defaultRowHeight="15" zeroHeight="false" outlineLevelRow="0" outlineLevelCol="0"/>
  <cols>
    <col collapsed="false" customWidth="true" hidden="false" outlineLevel="0" max="1" min="1" style="1" width="5.71"/>
    <col collapsed="false" customWidth="true" hidden="false" outlineLevel="0" max="2" min="2" style="1" width="59"/>
    <col collapsed="false" customWidth="true" hidden="false" outlineLevel="0" max="3" min="3" style="1" width="21"/>
    <col collapsed="false" customWidth="true" hidden="false" outlineLevel="0" max="4" min="4" style="1" width="14.29"/>
  </cols>
  <sheetData>
    <row r="1" customFormat="false" ht="15" hidden="false" customHeight="true" outlineLevel="0" collapsed="false">
      <c r="H1" s="1049" t="s">
        <v>4943</v>
      </c>
    </row>
    <row r="2" customFormat="false" ht="26.25" hidden="false" customHeight="true" outlineLevel="0" collapsed="false">
      <c r="B2" s="1050" t="str">
        <f aca="false">FirmName&amp;""</f>
        <v/>
      </c>
      <c r="H2" s="1051"/>
    </row>
    <row r="3" customFormat="false" ht="15" hidden="false" customHeight="true" outlineLevel="0" collapsed="false">
      <c r="B3" s="1052" t="str">
        <f aca="false">_xlfn.TEXTJOIN("  •  ",TRUE(),FirmStreet,FirmCityState,FirmPhone)</f>
        <v/>
      </c>
      <c r="H3" s="1049" t="s">
        <v>4944</v>
      </c>
    </row>
    <row r="4" customFormat="false" ht="15" hidden="false" customHeight="true" outlineLevel="0" collapsed="false">
      <c r="B4" s="219"/>
      <c r="C4" s="219"/>
      <c r="D4" s="219"/>
      <c r="E4" s="219"/>
      <c r="F4" s="219"/>
      <c r="H4" s="1053"/>
    </row>
    <row r="5" customFormat="false" ht="15" hidden="false" customHeight="true" outlineLevel="0" collapsed="false">
      <c r="H5" s="1049" t="s">
        <v>4945</v>
      </c>
    </row>
    <row r="6" customFormat="false" ht="15" hidden="false" customHeight="true" outlineLevel="0" collapsed="false">
      <c r="H6" s="1053"/>
    </row>
    <row r="7" customFormat="false" ht="15" hidden="false" customHeight="true" outlineLevel="0" collapsed="false">
      <c r="B7" s="1054" t="n">
        <f aca="false">C76</f>
        <v>46188</v>
      </c>
      <c r="H7" s="1049" t="s">
        <v>4946</v>
      </c>
    </row>
    <row r="8" customFormat="false" ht="15" hidden="false" customHeight="true" outlineLevel="0" collapsed="false">
      <c r="H8" s="1053"/>
    </row>
    <row r="9" customFormat="false" ht="15" hidden="false" customHeight="true" outlineLevel="0" collapsed="false">
      <c r="B9" s="1055" t="s">
        <v>4947</v>
      </c>
    </row>
    <row r="10" customFormat="false" ht="15" hidden="false" customHeight="true" outlineLevel="0" collapsed="false">
      <c r="B10" s="1056" t="str">
        <f aca="false">'Construction Budget'!C3</f>
        <v>Data Center Template, Northern Virginia</v>
      </c>
    </row>
    <row r="11" customFormat="false" ht="15" hidden="false" customHeight="true" outlineLevel="0" collapsed="false">
      <c r="B11" s="1056" t="str">
        <f aca="false">'Construction Budget'!C4</f>
        <v>Loudoun County, VA</v>
      </c>
    </row>
    <row r="13" customFormat="false" ht="15" hidden="false" customHeight="true" outlineLevel="0" collapsed="false">
      <c r="B13" s="1057" t="str">
        <f aca="false">"RE:   Design Development (Class 3) Cost Estimate — "&amp;'Construction Budget'!C3</f>
        <v>RE:   Design Development (Class 3) Cost Estimate — Data Center Template, Northern Virginia</v>
      </c>
    </row>
    <row r="14" customFormat="false" ht="15" hidden="false" customHeight="true" outlineLevel="0" collapsed="false">
      <c r="B14" s="1057" t="str">
        <f aca="false">"         Proposal No. "&amp;C78</f>
        <v>         Proposal No. TT-DC-2026-0615</v>
      </c>
    </row>
    <row r="16" customFormat="false" ht="15" hidden="false" customHeight="true" outlineLevel="0" collapsed="false">
      <c r="B16" s="1056" t="s">
        <v>4948</v>
      </c>
    </row>
    <row r="18" customFormat="false" ht="45.75" hidden="false" customHeight="true" outlineLevel="0" collapsed="false">
      <c r="B18" s="1058" t="str">
        <f aca="false">FirmName&amp;" is pleased to submit the enclosed Design Development (Class 3) cost estimate for Data Center Template, Northern Virginia, an 800,000-square-foot, 90 MW (critical IT) Tier III data center campus in Loudoun County, Virginia."</f>
        <v> is pleased to submit the enclosed Design Development (Class 3) cost estimate for Data Center Template, Northern Virginia, an 800,000-square-foot, 90 MW (critical IT) Tier III data center campus in Loudoun County, Virginia.</v>
      </c>
      <c r="C18" s="1058"/>
      <c r="D18" s="1058"/>
      <c r="E18" s="1058"/>
      <c r="F18" s="1058"/>
    </row>
    <row r="20" customFormat="false" ht="60" hidden="false" customHeight="true" outlineLevel="0" collapsed="false">
      <c r="B20" s="1058" t="str">
        <f aca="false">"The enclosed proposal presents a total campus estimate of "&amp;TEXT(C135,"$#,##0")&amp;", organized across twelve scope categories and detailed to the CSI MasterFormat division level in the accompanying Schedule of Values. Pricing reflects current market conditions, with contingency embedded in every line item and escalation carried to the anticipated construction midpoint."</f>
        <v>The enclosed proposal presents a total campus estimate of $1,105,891,827, organized across twelve scope categories and detailed to the CSI MasterFormat division level in the accompanying Schedule of Values. Pricing reflects current market conditions, with contingency embedded in every line item and escalation carried to the anticipated construction midpoint.</v>
      </c>
      <c r="C20" s="1058"/>
      <c r="D20" s="1058"/>
      <c r="E20" s="1058"/>
      <c r="F20" s="1058"/>
    </row>
    <row r="22" customFormat="false" ht="45.75" hidden="false" customHeight="true" outlineLevel="0" collapsed="false">
      <c r="B22" s="1058" t="s">
        <v>4949</v>
      </c>
      <c r="C22" s="1058"/>
      <c r="D22" s="1058"/>
      <c r="E22" s="1058"/>
      <c r="F22" s="1058"/>
    </row>
    <row r="24" customFormat="false" ht="31.5" hidden="false" customHeight="true" outlineLevel="0" collapsed="false">
      <c r="B24" s="1058" t="s">
        <v>4950</v>
      </c>
      <c r="C24" s="1058"/>
      <c r="D24" s="1058"/>
      <c r="E24" s="1058"/>
      <c r="F24" s="1058"/>
    </row>
    <row r="26" customFormat="false" ht="15" hidden="false" customHeight="true" outlineLevel="0" collapsed="false">
      <c r="B26" s="1056" t="s">
        <v>4951</v>
      </c>
    </row>
    <row r="30" customFormat="false" ht="15" hidden="false" customHeight="true" outlineLevel="0" collapsed="false">
      <c r="B30" s="1059" t="str">
        <f aca="false">FirmName&amp;""</f>
        <v/>
      </c>
    </row>
    <row r="31" customFormat="false" ht="15" hidden="false" customHeight="true" outlineLevel="0" collapsed="false">
      <c r="B31" s="1056" t="s">
        <v>4952</v>
      </c>
    </row>
    <row r="32" customFormat="false" ht="15" hidden="false" customHeight="true" outlineLevel="0" collapsed="false">
      <c r="B32" s="1052" t="s">
        <v>4953</v>
      </c>
    </row>
    <row r="34" customFormat="false" ht="15" hidden="false" customHeight="true" outlineLevel="0" collapsed="false">
      <c r="B34" s="1052" t="str">
        <f aca="false">_xlfn.TEXTJOIN("  •  ",TRUE(),FirmStreet,FirmCityState,FirmPhone)</f>
        <v/>
      </c>
    </row>
    <row r="47" customFormat="false" ht="24" hidden="false" customHeight="true" outlineLevel="0" collapsed="false">
      <c r="A47" s="537"/>
      <c r="B47" s="1060" t="s">
        <v>4954</v>
      </c>
      <c r="C47" s="537"/>
      <c r="D47" s="537"/>
      <c r="E47" s="537"/>
      <c r="F47" s="537"/>
    </row>
    <row r="48" customFormat="false" ht="15.75" hidden="false" customHeight="true" outlineLevel="0" collapsed="false"/>
    <row r="49" customFormat="false" ht="21.75" hidden="false" customHeight="true" outlineLevel="0" collapsed="false">
      <c r="B49" s="1061" t="s">
        <v>4955</v>
      </c>
      <c r="F49" s="1062" t="n">
        <v>3</v>
      </c>
    </row>
    <row r="50" customFormat="false" ht="21.75" hidden="false" customHeight="true" outlineLevel="0" collapsed="false">
      <c r="B50" s="1063" t="s">
        <v>4956</v>
      </c>
      <c r="C50" s="1064"/>
      <c r="D50" s="1064"/>
      <c r="E50" s="1064"/>
      <c r="F50" s="1065" t="n">
        <v>3</v>
      </c>
    </row>
    <row r="51" customFormat="false" ht="21.75" hidden="false" customHeight="true" outlineLevel="0" collapsed="false">
      <c r="B51" s="1063" t="s">
        <v>4957</v>
      </c>
      <c r="C51" s="1064"/>
      <c r="D51" s="1064"/>
      <c r="E51" s="1064"/>
      <c r="F51" s="1065" t="n">
        <v>4</v>
      </c>
    </row>
    <row r="52" customFormat="false" ht="21.75" hidden="false" customHeight="true" outlineLevel="0" collapsed="false">
      <c r="B52" s="1063" t="s">
        <v>4958</v>
      </c>
      <c r="C52" s="1064"/>
      <c r="D52" s="1064"/>
      <c r="E52" s="1064"/>
      <c r="F52" s="1065" t="n">
        <v>5</v>
      </c>
    </row>
    <row r="53" customFormat="false" ht="21.75" hidden="false" customHeight="true" outlineLevel="0" collapsed="false">
      <c r="B53" s="1063" t="s">
        <v>4959</v>
      </c>
      <c r="C53" s="1064"/>
      <c r="D53" s="1064"/>
      <c r="E53" s="1064"/>
      <c r="F53" s="1065" t="n">
        <v>5</v>
      </c>
    </row>
    <row r="54" customFormat="false" ht="21.75" hidden="false" customHeight="true" outlineLevel="0" collapsed="false">
      <c r="B54" s="1063" t="s">
        <v>4960</v>
      </c>
      <c r="C54" s="1064"/>
      <c r="D54" s="1064"/>
      <c r="E54" s="1064"/>
      <c r="F54" s="1065" t="n">
        <v>6</v>
      </c>
    </row>
    <row r="55" customFormat="false" ht="21.75" hidden="false" customHeight="true" outlineLevel="0" collapsed="false">
      <c r="B55" s="1063" t="s">
        <v>4961</v>
      </c>
      <c r="C55" s="1064"/>
      <c r="D55" s="1064"/>
      <c r="E55" s="1064"/>
      <c r="F55" s="1065" t="n">
        <v>7</v>
      </c>
    </row>
    <row r="56" customFormat="false" ht="21.75" hidden="false" customHeight="true" outlineLevel="0" collapsed="false">
      <c r="B56" s="1066" t="s">
        <v>4962</v>
      </c>
      <c r="C56" s="1067"/>
      <c r="D56" s="1067"/>
      <c r="E56" s="1067"/>
      <c r="F56" s="1068" t="n">
        <v>8</v>
      </c>
    </row>
    <row r="63" customFormat="false" ht="7.5" hidden="false" customHeight="true" outlineLevel="0" collapsed="false">
      <c r="A63" s="20"/>
      <c r="B63" s="20"/>
      <c r="C63" s="20"/>
      <c r="D63" s="20"/>
    </row>
    <row r="64" customFormat="false" ht="39.75" hidden="false" customHeight="true" outlineLevel="0" collapsed="false">
      <c r="A64" s="1069"/>
      <c r="B64" s="1070" t="str">
        <f aca="false">FirmName&amp;""</f>
        <v/>
      </c>
      <c r="C64" s="1070"/>
      <c r="D64" s="1070"/>
    </row>
    <row r="65" customFormat="false" ht="19.5" hidden="false" customHeight="true" outlineLevel="0" collapsed="false">
      <c r="A65" s="1069"/>
      <c r="B65" s="1071" t="str">
        <f aca="false">_xlfn.TEXTJOIN("  •  ",TRUE(),FirmStreet,FirmCityState,FirmPhone)</f>
        <v/>
      </c>
      <c r="C65" s="1071"/>
      <c r="D65" s="1071"/>
    </row>
    <row r="66" customFormat="false" ht="15" hidden="false" customHeight="true" outlineLevel="0" collapsed="false">
      <c r="A66" s="1069"/>
    </row>
    <row r="67" customFormat="false" ht="12" hidden="false" customHeight="true" outlineLevel="0" collapsed="false"/>
    <row r="68" customFormat="false" ht="6" hidden="false" customHeight="true" outlineLevel="0" collapsed="false"/>
    <row r="69" customFormat="false" ht="18.75" hidden="false" customHeight="true" outlineLevel="0" collapsed="false">
      <c r="A69" s="219"/>
      <c r="B69" s="1072" t="s">
        <v>4963</v>
      </c>
      <c r="C69" s="1072"/>
      <c r="D69" s="1072"/>
      <c r="E69" s="537"/>
      <c r="F69" s="537"/>
    </row>
    <row r="70" customFormat="false" ht="15" hidden="false" customHeight="true" outlineLevel="0" collapsed="false">
      <c r="B70" s="1073" t="s">
        <v>241</v>
      </c>
      <c r="C70" s="1061" t="str">
        <f aca="false">IF('Construction Budget'!C3="","—",'Construction Budget'!C3)</f>
        <v>Data Center Template, Northern Virginia</v>
      </c>
    </row>
    <row r="71" customFormat="false" ht="15" hidden="false" customHeight="true" outlineLevel="0" collapsed="false">
      <c r="B71" s="1073" t="s">
        <v>244</v>
      </c>
      <c r="C71" s="1061" t="str">
        <f aca="false">IF('Construction Budget'!C4="","—",'Construction Budget'!C4)</f>
        <v>Loudoun County, VA</v>
      </c>
    </row>
    <row r="72" customFormat="false" ht="15" hidden="false" customHeight="true" outlineLevel="0" collapsed="false">
      <c r="B72" s="1073" t="s">
        <v>248</v>
      </c>
      <c r="C72" s="1061" t="str">
        <f aca="false">IF('Construction Budget'!C5="","—",'Construction Budget'!C5)</f>
        <v>Confidential Hyperscaler</v>
      </c>
    </row>
    <row r="73" customFormat="false" ht="15" hidden="false" customHeight="true" outlineLevel="0" collapsed="false">
      <c r="B73" s="1073" t="s">
        <v>4964</v>
      </c>
      <c r="C73" s="1061" t="str">
        <f aca="false">IF('Construction Budget'!C6=0,"—",TEXT('Construction Budget'!C6,"#,##0")&amp;" sf")</f>
        <v>800,000 sf</v>
      </c>
    </row>
    <row r="74" customFormat="false" ht="15" hidden="false" customHeight="true" outlineLevel="0" collapsed="false">
      <c r="B74" s="1073" t="s">
        <v>4965</v>
      </c>
      <c r="C74" s="1061" t="str">
        <f aca="false">IF('Construction Budget'!C9=0,"—",'Construction Budget'!C9&amp;" MW")</f>
        <v>90 MW</v>
      </c>
    </row>
    <row r="75" customFormat="false" ht="15" hidden="false" customHeight="true" outlineLevel="0" collapsed="false">
      <c r="B75" s="1073" t="s">
        <v>255</v>
      </c>
      <c r="C75" s="1061" t="str">
        <f aca="false">IF('Construction Budget'!C7="","—",'Construction Budget'!C7)</f>
        <v>Tier III</v>
      </c>
    </row>
    <row r="76" customFormat="false" ht="15" hidden="false" customHeight="true" outlineLevel="0" collapsed="false">
      <c r="B76" s="1073" t="s">
        <v>4966</v>
      </c>
      <c r="C76" s="1074" t="n">
        <f aca="false">DATE(2026,6,15)</f>
        <v>46188</v>
      </c>
    </row>
    <row r="77" customFormat="false" ht="15" hidden="false" customHeight="true" outlineLevel="0" collapsed="false">
      <c r="B77" s="1073" t="s">
        <v>4967</v>
      </c>
      <c r="C77" s="1074" t="n">
        <f aca="false">C76+30</f>
        <v>46218</v>
      </c>
    </row>
    <row r="78" customFormat="false" ht="15" hidden="false" customHeight="true" outlineLevel="0" collapsed="false">
      <c r="B78" s="1073" t="s">
        <v>4968</v>
      </c>
      <c r="C78" s="1075" t="s">
        <v>4969</v>
      </c>
    </row>
    <row r="79" customFormat="false" ht="15" hidden="false" customHeight="true" outlineLevel="0" collapsed="false">
      <c r="B79" s="1073" t="s">
        <v>3046</v>
      </c>
    </row>
    <row r="80" customFormat="false" ht="15" hidden="false" customHeight="true" outlineLevel="0" collapsed="false">
      <c r="B80" s="1073" t="s">
        <v>3047</v>
      </c>
      <c r="C80" s="1076"/>
      <c r="D80" s="1076"/>
    </row>
    <row r="81" customFormat="false" ht="15" hidden="false" customHeight="true" outlineLevel="0" collapsed="false"/>
    <row r="82" customFormat="false" ht="15" hidden="false" customHeight="true" outlineLevel="0" collapsed="false">
      <c r="B82" s="1077" t="s">
        <v>3494</v>
      </c>
      <c r="C82" s="537"/>
      <c r="D82" s="537"/>
      <c r="E82" s="537"/>
      <c r="F82" s="537"/>
    </row>
    <row r="83" customFormat="false" ht="21.75" hidden="false" customHeight="true" outlineLevel="0" collapsed="false">
      <c r="B83" s="1078" t="str">
        <f aca="false">FirmName&amp;" is pleased to submit this Design Development (Class 3) cost estimate for Data Center Template, Northern Virginia — an 800,000 SF, 90 MW (critical IT) Tier III data center campus in Loudoun County, Virginia. The projected all-in capital cost is summarized by the capital-efficiency metrics in the Investment Highlights below, broken down across twelve scope categories in the Scope &amp; Pricing Summary, and detailed to the CSI-division level in the Schedule of Values (Appendix A). Pricing reflects current market rates, with contingency embedded in every line item and escalation carried to the anticipated construction midpoint. The estimate excludes owner-furnished IT equipment, financing and carrying costs, and land. Full assumptions and qualifications are set out in the Basis of Estimate (Appendix B), Terms &amp; Conditions, and Exclusions."</f>
        <v> is pleased to submit this Design Development (Class 3) cost estimate for Data Center Template, Northern Virginia — an 800,000 SF, 90 MW (critical IT) Tier III data center campus in Loudoun County, Virginia. The projected all-in capital cost is summarized by the capital-efficiency metrics in the Investment Highlights below, broken down across twelve scope categories in the Scope &amp; Pricing Summary, and detailed to the CSI-division level in the Schedule of Values (Appendix A). Pricing reflects current market rates, with contingency embedded in every line item and escalation carried to the anticipated construction midpoint. The estimate excludes owner-furnished IT equipment, financing and carrying costs, and land. Full assumptions and qualifications are set out in the Basis of Estimate (Appendix B), Terms &amp; Conditions, and Exclusions.</v>
      </c>
      <c r="C83" s="1078"/>
      <c r="D83" s="1078"/>
    </row>
    <row r="84" customFormat="false" ht="21.75" hidden="false" customHeight="true" outlineLevel="0" collapsed="false">
      <c r="B84" s="1078"/>
      <c r="C84" s="1078"/>
      <c r="D84" s="1078"/>
    </row>
    <row r="85" customFormat="false" ht="21.75" hidden="false" customHeight="true" outlineLevel="0" collapsed="false">
      <c r="B85" s="1078"/>
      <c r="C85" s="1078"/>
      <c r="D85" s="1078"/>
    </row>
    <row r="86" customFormat="false" ht="21.75" hidden="false" customHeight="true" outlineLevel="0" collapsed="false">
      <c r="B86" s="1078"/>
      <c r="C86" s="1078"/>
      <c r="D86" s="1078"/>
    </row>
    <row r="87" customFormat="false" ht="21.75" hidden="false" customHeight="true" outlineLevel="0" collapsed="false">
      <c r="B87" s="1078"/>
      <c r="C87" s="1078"/>
      <c r="D87" s="1078"/>
    </row>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c r="A91" s="537"/>
      <c r="B91" s="1077" t="s">
        <v>4970</v>
      </c>
      <c r="C91" s="537"/>
      <c r="D91" s="537"/>
      <c r="E91" s="537"/>
      <c r="F91" s="537"/>
    </row>
    <row r="92" customFormat="false" ht="15" hidden="false" customHeight="true" outlineLevel="0" collapsed="false">
      <c r="B92" s="1059" t="s">
        <v>4971</v>
      </c>
      <c r="C92" s="1079" t="n">
        <f aca="false">C135</f>
        <v>1105891827.06739</v>
      </c>
      <c r="D92" s="1080" t="s">
        <v>4972</v>
      </c>
    </row>
    <row r="93" customFormat="false" ht="15" hidden="false" customHeight="true" outlineLevel="0" collapsed="false">
      <c r="B93" s="1081" t="s">
        <v>3365</v>
      </c>
      <c r="C93" s="1082" t="n">
        <f aca="false">$C$92/'Construction Budget'!C9</f>
        <v>12287686.9674155</v>
      </c>
      <c r="D93" s="1083" t="s">
        <v>4973</v>
      </c>
      <c r="E93" s="1084"/>
      <c r="F93" s="1084"/>
    </row>
    <row r="94" customFormat="false" ht="15" hidden="false" customHeight="true" outlineLevel="0" collapsed="false">
      <c r="B94" s="1081" t="s">
        <v>4974</v>
      </c>
      <c r="C94" s="1085" t="n">
        <f aca="false">$C$92/('Construction Budget'!C9*1000000)</f>
        <v>12.2876869674155</v>
      </c>
      <c r="D94" s="1083" t="s">
        <v>4975</v>
      </c>
      <c r="E94" s="1084"/>
      <c r="F94" s="1084"/>
    </row>
    <row r="95" customFormat="false" ht="15" hidden="false" customHeight="true" outlineLevel="0" collapsed="false">
      <c r="B95" s="1081" t="s">
        <v>4976</v>
      </c>
      <c r="C95" s="1082" t="n">
        <f aca="false">$C$92/'Construction Budget'!C6</f>
        <v>1382.36478383424</v>
      </c>
      <c r="D95" s="1083" t="s">
        <v>4977</v>
      </c>
      <c r="E95" s="1084"/>
      <c r="F95" s="1084"/>
    </row>
    <row r="96" customFormat="false" ht="15" hidden="false" customHeight="true" outlineLevel="0" collapsed="false">
      <c r="B96" s="1081" t="s">
        <v>4978</v>
      </c>
      <c r="C96" s="1086" t="n">
        <f aca="false">'Construction Budget'!C9</f>
        <v>90</v>
      </c>
      <c r="D96" s="1083" t="s">
        <v>4979</v>
      </c>
      <c r="E96" s="1084"/>
      <c r="F96" s="1084"/>
    </row>
    <row r="97" customFormat="false" ht="15" hidden="false" customHeight="true" outlineLevel="0" collapsed="false">
      <c r="B97" s="1059" t="s">
        <v>4980</v>
      </c>
      <c r="C97" s="1087" t="n">
        <f aca="false">'Construction Budget'!F7</f>
        <v>0.1</v>
      </c>
      <c r="D97" s="1080" t="s">
        <v>4981</v>
      </c>
    </row>
    <row r="98" customFormat="false" ht="15" hidden="false" customHeight="true" outlineLevel="0" collapsed="false">
      <c r="B98" s="1081" t="s">
        <v>4982</v>
      </c>
      <c r="C98" s="1088" t="str">
        <f aca="false">'Campus Rollup'!H3</f>
        <v>Class 3 (DD)</v>
      </c>
      <c r="D98" s="1083" t="s">
        <v>4983</v>
      </c>
      <c r="E98" s="1084"/>
      <c r="F98" s="1084"/>
    </row>
    <row r="99" customFormat="false" ht="15" hidden="false" customHeight="true" outlineLevel="0" collapsed="false">
      <c r="B99" s="1089" t="s">
        <v>4984</v>
      </c>
      <c r="C99" s="1090" t="str">
        <f aca="false">'Construction Budget'!C7</f>
        <v>Tier III</v>
      </c>
      <c r="D99" s="1091" t="s">
        <v>4985</v>
      </c>
      <c r="E99" s="970"/>
      <c r="F99" s="970"/>
    </row>
    <row r="100" customFormat="false" ht="15" hidden="false" customHeight="true" outlineLevel="0" collapsed="false"/>
    <row r="101" customFormat="false" ht="6" hidden="false" customHeight="true" outlineLevel="0" collapsed="false"/>
    <row r="102" customFormat="false" ht="15.75" hidden="false" customHeight="true" outlineLevel="0" collapsed="false">
      <c r="A102" s="537"/>
      <c r="B102" s="1077" t="s">
        <v>4986</v>
      </c>
      <c r="C102" s="1077"/>
      <c r="D102" s="1077"/>
      <c r="E102" s="537"/>
      <c r="F102" s="537"/>
    </row>
    <row r="103" customFormat="false" ht="15" hidden="false" customHeight="true" outlineLevel="0" collapsed="false">
      <c r="A103" s="275" t="s">
        <v>266</v>
      </c>
      <c r="B103" s="275" t="s">
        <v>268</v>
      </c>
      <c r="C103" s="276" t="s">
        <v>4334</v>
      </c>
      <c r="D103" s="276" t="s">
        <v>4987</v>
      </c>
    </row>
    <row r="104" customFormat="false" ht="15" hidden="false" customHeight="true" outlineLevel="0" collapsed="false">
      <c r="A104" s="1092" t="s">
        <v>4988</v>
      </c>
      <c r="B104" s="1093" t="s">
        <v>4989</v>
      </c>
      <c r="C104" s="1094" t="n">
        <f aca="false">'Construction Budget'!H772+'Construction Budget'!H792+'Construction Budget'!H835</f>
        <v>98585143.8392251</v>
      </c>
      <c r="D104" s="902" t="n">
        <f aca="false">IF($C$128=0,0,C104/$C$128)</f>
        <v>0.0905828861736108</v>
      </c>
    </row>
    <row r="105" customFormat="false" ht="27.75" hidden="false" customHeight="true" outlineLevel="0" collapsed="false">
      <c r="B105" s="1052" t="s">
        <v>4990</v>
      </c>
    </row>
    <row r="106" customFormat="false" ht="15" hidden="false" customHeight="true" outlineLevel="0" collapsed="false">
      <c r="A106" s="1092" t="s">
        <v>4991</v>
      </c>
      <c r="B106" s="1093" t="s">
        <v>4992</v>
      </c>
      <c r="C106" s="1094" t="n">
        <f aca="false">'Construction Budget'!H112+'Construction Budget'!H164+'Construction Budget'!H212+'Construction Budget'!H239+'Construction Budget'!H126+'Construction Budget'!H174</f>
        <v>133100047.601911</v>
      </c>
      <c r="D106" s="902" t="n">
        <f aca="false">IF($C$128=0,0,C106/$C$128)</f>
        <v>0.122296179648409</v>
      </c>
    </row>
    <row r="107" customFormat="false" ht="27.75" hidden="false" customHeight="true" outlineLevel="0" collapsed="false">
      <c r="B107" s="1052" t="s">
        <v>4993</v>
      </c>
    </row>
    <row r="108" customFormat="false" ht="15" hidden="false" customHeight="true" outlineLevel="0" collapsed="false">
      <c r="A108" s="1092" t="s">
        <v>4994</v>
      </c>
      <c r="B108" s="1093" t="s">
        <v>4995</v>
      </c>
      <c r="C108" s="1094" t="n">
        <f aca="false">'Construction Budget'!H665+'Construction Budget'!H517</f>
        <v>261618516.950389</v>
      </c>
      <c r="D108" s="902" t="n">
        <f aca="false">IF($C$128=0,0,C108/$C$128)</f>
        <v>0.240382672469124</v>
      </c>
    </row>
    <row r="109" customFormat="false" ht="27.75" hidden="false" customHeight="true" outlineLevel="0" collapsed="false">
      <c r="B109" s="1095" t="s">
        <v>4996</v>
      </c>
    </row>
    <row r="110" customFormat="false" ht="15" hidden="false" customHeight="true" outlineLevel="0" collapsed="false">
      <c r="A110" s="1092" t="s">
        <v>4997</v>
      </c>
      <c r="B110" s="1093" t="s">
        <v>4998</v>
      </c>
      <c r="C110" s="1094" t="n">
        <f aca="false">'Construction Budget'!H495</f>
        <v>226484248.001927</v>
      </c>
      <c r="D110" s="902" t="n">
        <f aca="false">IF($C$128=0,0,C110/$C$128)</f>
        <v>0.20810028831861</v>
      </c>
    </row>
    <row r="111" customFormat="false" ht="27.75" hidden="false" customHeight="true" outlineLevel="0" collapsed="false">
      <c r="B111" s="1095" t="s">
        <v>4999</v>
      </c>
    </row>
    <row r="112" customFormat="false" ht="15" hidden="false" customHeight="true" outlineLevel="0" collapsed="false">
      <c r="A112" s="1092" t="s">
        <v>5000</v>
      </c>
      <c r="B112" s="1093" t="s">
        <v>5001</v>
      </c>
      <c r="C112" s="1094" t="n">
        <f aca="false">'Construction Budget'!H359</f>
        <v>22577593.5</v>
      </c>
      <c r="D112" s="902" t="n">
        <f aca="false">IF($C$128=0,0,C112/$C$128)</f>
        <v>0.0207449469812594</v>
      </c>
    </row>
    <row r="113" customFormat="false" ht="27.75" hidden="false" customHeight="true" outlineLevel="0" collapsed="false">
      <c r="B113" s="1095" t="s">
        <v>5002</v>
      </c>
    </row>
    <row r="114" customFormat="false" ht="15" hidden="false" customHeight="true" outlineLevel="0" collapsed="false">
      <c r="A114" s="1092" t="s">
        <v>5003</v>
      </c>
      <c r="B114" s="1093" t="s">
        <v>5004</v>
      </c>
      <c r="C114" s="1094" t="n">
        <f aca="false">'Construction Budget'!H272+'Construction Budget'!H292+'Construction Budget'!H305+'Construction Budget'!H315+'Construction Budget'!H324</f>
        <v>44046724.425</v>
      </c>
      <c r="D114" s="902" t="n">
        <f aca="false">IF($C$128=0,0,C114/$C$128)</f>
        <v>0.0404714064364197</v>
      </c>
    </row>
    <row r="115" customFormat="false" ht="27.75" hidden="false" customHeight="true" outlineLevel="0" collapsed="false">
      <c r="B115" s="1095" t="s">
        <v>5005</v>
      </c>
    </row>
    <row r="116" customFormat="false" ht="15" hidden="false" customHeight="true" outlineLevel="0" collapsed="false">
      <c r="A116" s="1092" t="s">
        <v>5006</v>
      </c>
      <c r="B116" s="1093" t="s">
        <v>5007</v>
      </c>
      <c r="C116" s="1094" t="n">
        <f aca="false">'Construction Budget'!H714</f>
        <v>60417387.7013327</v>
      </c>
      <c r="D116" s="902" t="n">
        <f aca="false">IF($C$128=0,0,C116/$C$128)</f>
        <v>0.0555132461132467</v>
      </c>
    </row>
    <row r="117" customFormat="false" ht="27.75" hidden="false" customHeight="true" outlineLevel="0" collapsed="false">
      <c r="B117" s="1095" t="s">
        <v>5008</v>
      </c>
    </row>
    <row r="118" customFormat="false" ht="15" hidden="false" customHeight="true" outlineLevel="0" collapsed="false">
      <c r="A118" s="1092" t="s">
        <v>5009</v>
      </c>
      <c r="B118" s="1093" t="s">
        <v>5010</v>
      </c>
      <c r="C118" s="1094" t="n">
        <f aca="false">'Construction Budget'!H742</f>
        <v>15750753.4249814</v>
      </c>
      <c r="D118" s="902" t="n">
        <f aca="false">IF($C$128=0,0,C118/$C$128)</f>
        <v>0.0144722485466013</v>
      </c>
    </row>
    <row r="119" customFormat="false" ht="27.75" hidden="false" customHeight="true" outlineLevel="0" collapsed="false">
      <c r="B119" s="1095" t="s">
        <v>5011</v>
      </c>
    </row>
    <row r="120" customFormat="false" ht="15" hidden="false" customHeight="true" outlineLevel="0" collapsed="false">
      <c r="A120" s="1092" t="s">
        <v>5012</v>
      </c>
      <c r="B120" s="1093" t="s">
        <v>3509</v>
      </c>
      <c r="C120" s="1094" t="n">
        <f aca="false">'Construction Budget'!H75</f>
        <v>47367292.5</v>
      </c>
      <c r="D120" s="902" t="n">
        <f aca="false">IF($C$128=0,0,C120/$C$128)</f>
        <v>0.0435224405806715</v>
      </c>
    </row>
    <row r="121" customFormat="false" ht="27.75" hidden="false" customHeight="true" outlineLevel="0" collapsed="false">
      <c r="B121" s="1095" t="s">
        <v>5013</v>
      </c>
    </row>
    <row r="122" customFormat="false" ht="27.75" hidden="false" customHeight="true" outlineLevel="0" collapsed="false">
      <c r="A122" s="163" t="s">
        <v>5014</v>
      </c>
      <c r="B122" s="1096" t="s">
        <v>5015</v>
      </c>
      <c r="C122" s="323" t="n">
        <f aca="false">'Construction Budget'!H387</f>
        <v>22312498.51875</v>
      </c>
      <c r="D122" s="902" t="n">
        <f aca="false">IF($C$128=0,0,C122/$C$128)</f>
        <v>0.0205013700326785</v>
      </c>
    </row>
    <row r="123" customFormat="false" ht="27.75" hidden="false" customHeight="true" outlineLevel="0" collapsed="false">
      <c r="B123" s="1097" t="s">
        <v>5016</v>
      </c>
    </row>
    <row r="124" customFormat="false" ht="27.75" hidden="false" customHeight="true" outlineLevel="0" collapsed="false">
      <c r="A124" s="163" t="s">
        <v>5017</v>
      </c>
      <c r="B124" s="1096" t="s">
        <v>3508</v>
      </c>
      <c r="C124" s="323" t="n">
        <f aca="false">'Construction Budget'!H58</f>
        <v>42983030.6038756</v>
      </c>
      <c r="D124" s="902" t="n">
        <f aca="false">IF($C$128=0,0,C124/$C$128)</f>
        <v>0.0394940537383335</v>
      </c>
    </row>
    <row r="125" customFormat="false" ht="27.75" hidden="false" customHeight="true" outlineLevel="0" collapsed="false">
      <c r="B125" s="1097" t="s">
        <v>5018</v>
      </c>
    </row>
    <row r="126" customFormat="false" ht="27.75" hidden="false" customHeight="true" outlineLevel="0" collapsed="false">
      <c r="A126" s="163" t="s">
        <v>5019</v>
      </c>
      <c r="B126" s="1096" t="s">
        <v>3531</v>
      </c>
      <c r="C126" s="323" t="n">
        <f aca="false">'Construction Budget'!H37</f>
        <v>113098590</v>
      </c>
      <c r="D126" s="902" t="n">
        <f aca="false">IF($C$128=0,0,C126/$C$128)</f>
        <v>0.103918260961036</v>
      </c>
    </row>
    <row r="127" customFormat="false" ht="27.75" hidden="false" customHeight="true" outlineLevel="0" collapsed="false">
      <c r="B127" s="1097" t="s">
        <v>5020</v>
      </c>
    </row>
    <row r="128" customFormat="false" ht="15" hidden="false" customHeight="true" outlineLevel="0" collapsed="false">
      <c r="A128" s="202"/>
      <c r="B128" s="1098" t="s">
        <v>5021</v>
      </c>
      <c r="C128" s="1099" t="n">
        <f aca="false">C104+C106+C108+C110+C112+C114+C116+C118+C120+C122+C124+C126</f>
        <v>1088341827.06739</v>
      </c>
      <c r="D128" s="1100" t="n">
        <f aca="false">IF(C128=0,0,1)</f>
        <v>1</v>
      </c>
      <c r="E128" s="202"/>
      <c r="F128" s="202"/>
    </row>
    <row r="129" customFormat="false" ht="15" hidden="false" customHeight="true" outlineLevel="0" collapsed="false">
      <c r="A129" s="202"/>
      <c r="B129" s="1098" t="s">
        <v>5022</v>
      </c>
      <c r="C129" s="1099" t="n">
        <v>0</v>
      </c>
      <c r="D129" s="1100" t="n">
        <f aca="false">'Construction Budget'!F7</f>
        <v>0.1</v>
      </c>
      <c r="E129" s="202"/>
      <c r="F129" s="202"/>
    </row>
    <row r="130" customFormat="false" ht="15" hidden="false" customHeight="true" outlineLevel="0" collapsed="false">
      <c r="A130" s="202"/>
      <c r="B130" s="1098" t="s">
        <v>5023</v>
      </c>
      <c r="C130" s="1099" t="n">
        <f aca="false">IF('Allowances &amp; Alternates'!G50=0,0,'Allowances &amp; Alternates'!G50)</f>
        <v>0</v>
      </c>
      <c r="D130" s="1101" t="n">
        <f aca="false">IF($C$128=0,0,C130/$C$128)</f>
        <v>0</v>
      </c>
      <c r="E130" s="202"/>
      <c r="F130" s="202"/>
    </row>
    <row r="131" customFormat="false" ht="15" hidden="false" customHeight="true" outlineLevel="0" collapsed="false">
      <c r="A131" s="202"/>
      <c r="B131" s="1098" t="s">
        <v>5024</v>
      </c>
      <c r="C131" s="1102" t="str">
        <f aca="false">'Campus Rollup'!H3&amp;" estimate; see Basis of Estimate tab"</f>
        <v>Class 3 (DD) estimate; see Basis of Estimate tab</v>
      </c>
      <c r="D131" s="1102"/>
      <c r="E131" s="1102"/>
      <c r="F131" s="1102"/>
    </row>
    <row r="132" customFormat="false" ht="15" hidden="false" customHeight="true" outlineLevel="0" collapsed="false">
      <c r="A132" s="202"/>
      <c r="B132" s="1098" t="s">
        <v>5025</v>
      </c>
      <c r="C132" s="1099" t="n">
        <f aca="false">'Allowances &amp; Alternates'!D23</f>
        <v>17550000</v>
      </c>
      <c r="D132" s="1100" t="n">
        <f aca="false">IF($C$128=0,0,C132/$C$128)</f>
        <v>0.0161254484239475</v>
      </c>
      <c r="E132" s="202"/>
      <c r="F132" s="202"/>
    </row>
    <row r="133" customFormat="false" ht="6" hidden="false" customHeight="true" outlineLevel="0" collapsed="false"/>
    <row r="134" customFormat="false" ht="6" hidden="false" customHeight="true" outlineLevel="0" collapsed="false"/>
    <row r="135" customFormat="false" ht="21" hidden="false" customHeight="true" outlineLevel="0" collapsed="false">
      <c r="A135" s="197"/>
      <c r="B135" s="694" t="s">
        <v>5026</v>
      </c>
      <c r="C135" s="1103" t="n">
        <f aca="false">'Campus Rollup'!H16+C129+C130+C132</f>
        <v>1105891827.06739</v>
      </c>
      <c r="D135" s="197"/>
      <c r="E135" s="197"/>
      <c r="F135" s="197"/>
    </row>
    <row r="136" customFormat="false" ht="15" hidden="false" customHeight="true" outlineLevel="0" collapsed="false">
      <c r="B136" s="1104" t="s">
        <v>5027</v>
      </c>
      <c r="C136" s="1104"/>
      <c r="D136" s="1104"/>
      <c r="E136" s="1104"/>
      <c r="F136" s="1104"/>
    </row>
    <row r="137" customFormat="false" ht="15" hidden="false" customHeight="true" outlineLevel="0" collapsed="false">
      <c r="A137" s="197"/>
      <c r="B137" s="275" t="s">
        <v>5028</v>
      </c>
      <c r="C137" s="197"/>
      <c r="D137" s="197"/>
      <c r="E137" s="197"/>
      <c r="F137" s="197"/>
    </row>
    <row r="138" customFormat="false" ht="6" hidden="false" customHeight="true" outlineLevel="0" collapsed="false"/>
    <row r="139" customFormat="false" ht="27.75" hidden="false" customHeight="true" outlineLevel="0" collapsed="false">
      <c r="B139" s="1105" t="s">
        <v>5029</v>
      </c>
      <c r="C139" s="1105"/>
      <c r="D139" s="1105"/>
      <c r="E139" s="1105"/>
      <c r="F139" s="1105"/>
    </row>
    <row r="140" customFormat="false" ht="27.75" hidden="false" customHeight="true" outlineLevel="0" collapsed="false">
      <c r="B140" s="1105" t="s">
        <v>5030</v>
      </c>
      <c r="C140" s="1105"/>
      <c r="D140" s="1105"/>
      <c r="E140" s="1105"/>
      <c r="F140" s="1105"/>
    </row>
    <row r="141" customFormat="false" ht="27.75" hidden="false" customHeight="true" outlineLevel="0" collapsed="false">
      <c r="B141" s="1105" t="s">
        <v>5031</v>
      </c>
      <c r="C141" s="1105"/>
      <c r="D141" s="1105"/>
      <c r="E141" s="1105"/>
      <c r="F141" s="1105"/>
    </row>
    <row r="142" customFormat="false" ht="27.75" hidden="false" customHeight="true" outlineLevel="0" collapsed="false">
      <c r="B142" s="1105" t="s">
        <v>5032</v>
      </c>
      <c r="C142" s="1105"/>
      <c r="D142" s="1105"/>
      <c r="E142" s="1105"/>
      <c r="F142" s="1105"/>
    </row>
    <row r="143" customFormat="false" ht="27.75" hidden="false" customHeight="true" outlineLevel="0" collapsed="false">
      <c r="B143" s="1105" t="s">
        <v>5033</v>
      </c>
      <c r="C143" s="1105"/>
      <c r="D143" s="1105"/>
      <c r="E143" s="1105"/>
      <c r="F143" s="1105"/>
    </row>
    <row r="144" customFormat="false" ht="27.75" hidden="false" customHeight="true" outlineLevel="0" collapsed="false">
      <c r="B144" s="1105" t="s">
        <v>5034</v>
      </c>
      <c r="C144" s="1105"/>
      <c r="D144" s="1105"/>
      <c r="E144" s="1105"/>
      <c r="F144" s="1105"/>
    </row>
    <row r="145" customFormat="false" ht="27.75" hidden="false" customHeight="true" outlineLevel="0" collapsed="false">
      <c r="B145" s="1105" t="s">
        <v>5035</v>
      </c>
      <c r="C145" s="1105"/>
      <c r="D145" s="1105"/>
      <c r="E145" s="1105"/>
      <c r="F145" s="1105"/>
    </row>
    <row r="146" customFormat="false" ht="27.75" hidden="false" customHeight="true" outlineLevel="0" collapsed="false">
      <c r="B146" s="1105" t="s">
        <v>5036</v>
      </c>
      <c r="C146" s="1105"/>
      <c r="D146" s="1105"/>
      <c r="E146" s="1105"/>
      <c r="F146" s="1105"/>
    </row>
    <row r="148" customFormat="false" ht="6" hidden="false" customHeight="true" outlineLevel="0" collapsed="false"/>
    <row r="149" customFormat="false" ht="15" hidden="false" customHeight="true" outlineLevel="0" collapsed="false">
      <c r="A149" s="197"/>
      <c r="B149" s="275" t="s">
        <v>5037</v>
      </c>
      <c r="C149" s="197"/>
      <c r="D149" s="197"/>
      <c r="E149" s="197"/>
      <c r="F149" s="197"/>
    </row>
    <row r="150" customFormat="false" ht="6" hidden="false" customHeight="true" outlineLevel="0" collapsed="false"/>
    <row r="151" customFormat="false" ht="27.75" hidden="false" customHeight="true" outlineLevel="0" collapsed="false">
      <c r="B151" s="1106" t="s">
        <v>5038</v>
      </c>
      <c r="C151" s="1106"/>
      <c r="D151" s="1106"/>
      <c r="E151" s="1106"/>
      <c r="F151" s="1106"/>
    </row>
    <row r="152" customFormat="false" ht="27.75" hidden="false" customHeight="true" outlineLevel="0" collapsed="false">
      <c r="B152" s="1106" t="s">
        <v>5039</v>
      </c>
      <c r="C152" s="1106"/>
      <c r="D152" s="1106"/>
      <c r="E152" s="1106"/>
      <c r="F152" s="1106"/>
    </row>
    <row r="153" customFormat="false" ht="27.75" hidden="false" customHeight="true" outlineLevel="0" collapsed="false">
      <c r="B153" s="1106" t="s">
        <v>5040</v>
      </c>
      <c r="C153" s="1106"/>
      <c r="D153" s="1106"/>
      <c r="E153" s="1106"/>
      <c r="F153" s="1106"/>
    </row>
    <row r="154" customFormat="false" ht="27.75" hidden="false" customHeight="true" outlineLevel="0" collapsed="false">
      <c r="B154" s="1106" t="s">
        <v>5041</v>
      </c>
      <c r="C154" s="1106"/>
      <c r="D154" s="1106"/>
      <c r="E154" s="1106"/>
      <c r="F154" s="1106"/>
    </row>
    <row r="155" customFormat="false" ht="27.75" hidden="false" customHeight="true" outlineLevel="0" collapsed="false">
      <c r="B155" s="1106" t="s">
        <v>5042</v>
      </c>
      <c r="C155" s="1106"/>
      <c r="D155" s="1106"/>
      <c r="E155" s="1106"/>
      <c r="F155" s="1106"/>
    </row>
    <row r="156" customFormat="false" ht="27.75" hidden="false" customHeight="true" outlineLevel="0" collapsed="false">
      <c r="B156" s="1106" t="s">
        <v>5043</v>
      </c>
      <c r="C156" s="1106"/>
      <c r="D156" s="1106"/>
      <c r="E156" s="1106"/>
      <c r="F156" s="1106"/>
    </row>
    <row r="157" customFormat="false" ht="27.75" hidden="false" customHeight="true" outlineLevel="0" collapsed="false">
      <c r="B157" s="1106" t="s">
        <v>5044</v>
      </c>
      <c r="C157" s="1106"/>
      <c r="D157" s="1106"/>
      <c r="E157" s="1106"/>
      <c r="F157" s="1106"/>
    </row>
    <row r="158" customFormat="false" ht="27.75" hidden="false" customHeight="true" outlineLevel="0" collapsed="false">
      <c r="B158" s="1106" t="s">
        <v>5045</v>
      </c>
      <c r="C158" s="1106"/>
      <c r="D158" s="1106"/>
      <c r="E158" s="1106"/>
      <c r="F158" s="1106"/>
    </row>
    <row r="160" customFormat="false" ht="6" hidden="false" customHeight="true" outlineLevel="0" collapsed="false"/>
    <row r="161" customFormat="false" ht="15" hidden="false" customHeight="true" outlineLevel="0" collapsed="false">
      <c r="A161" s="197"/>
      <c r="B161" s="275" t="s">
        <v>5046</v>
      </c>
      <c r="C161" s="197"/>
      <c r="D161" s="197"/>
      <c r="E161" s="197"/>
      <c r="F161" s="197"/>
    </row>
    <row r="162" customFormat="false" ht="6" hidden="false" customHeight="true" outlineLevel="0" collapsed="false"/>
    <row r="163" customFormat="false" ht="60" hidden="false" customHeight="true" outlineLevel="0" collapsed="false">
      <c r="B163" s="1107" t="s">
        <v>5047</v>
      </c>
      <c r="C163" s="1107"/>
      <c r="D163" s="1107"/>
    </row>
    <row r="164" customFormat="false" ht="6" hidden="false" customHeight="true" outlineLevel="0" collapsed="false"/>
    <row r="165" customFormat="false" ht="15" hidden="false" customHeight="true" outlineLevel="0" collapsed="false">
      <c r="B165" s="1057" t="s">
        <v>5048</v>
      </c>
      <c r="C165" s="1057" t="s">
        <v>5049</v>
      </c>
    </row>
    <row r="167" customFormat="false" ht="15" hidden="false" customHeight="true" outlineLevel="0" collapsed="false">
      <c r="B167" s="1108" t="s">
        <v>5050</v>
      </c>
      <c r="C167" s="1108" t="s">
        <v>5050</v>
      </c>
    </row>
    <row r="169" customFormat="false" ht="15" hidden="false" customHeight="true" outlineLevel="0" collapsed="false">
      <c r="B169" s="1108" t="s">
        <v>5051</v>
      </c>
      <c r="C169" s="1108" t="s">
        <v>5051</v>
      </c>
    </row>
    <row r="171" customFormat="false" ht="15" hidden="false" customHeight="true" outlineLevel="0" collapsed="false">
      <c r="B171" s="1108" t="s">
        <v>3490</v>
      </c>
      <c r="C171" s="1108" t="s">
        <v>3490</v>
      </c>
    </row>
    <row r="175" customFormat="false" ht="16.5" hidden="false" customHeight="true" outlineLevel="0" collapsed="false">
      <c r="B175" s="1077" t="s">
        <v>5052</v>
      </c>
      <c r="C175" s="537"/>
      <c r="D175" s="537"/>
      <c r="E175" s="537"/>
      <c r="F175" s="537"/>
    </row>
    <row r="176" customFormat="false" ht="15.75" hidden="false" customHeight="true" outlineLevel="0" collapsed="false">
      <c r="B176" s="477" t="str">
        <f aca="false">"Cost breakdown by CSI MasterFormat division — amounts pulled live from the detailed construction estimate ("&amp;C218&amp;" divisions, "&amp;C219&amp;" priced line items)."</f>
        <v>Cost breakdown by CSI MasterFormat division — amounts pulled live from the detailed construction estimate (24 divisions, 747 priced line items).</v>
      </c>
    </row>
    <row r="177" customFormat="false" ht="15" hidden="false" customHeight="true" outlineLevel="0" collapsed="false">
      <c r="A177" s="276" t="s">
        <v>3614</v>
      </c>
      <c r="B177" s="275" t="s">
        <v>5053</v>
      </c>
      <c r="C177" s="1109" t="s">
        <v>4334</v>
      </c>
      <c r="D177" s="1109" t="s">
        <v>5054</v>
      </c>
    </row>
    <row r="178" customFormat="false" ht="15" hidden="false" customHeight="true" outlineLevel="0" collapsed="false">
      <c r="A178" s="1110" t="n">
        <v>31</v>
      </c>
      <c r="B178" s="299" t="s">
        <v>5055</v>
      </c>
      <c r="C178" s="302" t="n">
        <f aca="false">'Construction Budget'!H772</f>
        <v>25614732</v>
      </c>
      <c r="D178" s="156" t="n">
        <f aca="false">C178/'Campus Rollup'!$H$16</f>
        <v>0.0235355578210392</v>
      </c>
    </row>
    <row r="179" customFormat="false" ht="15" hidden="false" customHeight="true" outlineLevel="0" collapsed="false">
      <c r="A179" s="1110" t="n">
        <v>32</v>
      </c>
      <c r="B179" s="299" t="s">
        <v>3127</v>
      </c>
      <c r="C179" s="302" t="n">
        <f aca="false">'Construction Budget'!H792</f>
        <v>9371809.46422509</v>
      </c>
      <c r="D179" s="156" t="n">
        <f aca="false">C179/'Campus Rollup'!$H$16</f>
        <v>0.00861109003728915</v>
      </c>
    </row>
    <row r="180" customFormat="false" ht="15" hidden="false" customHeight="true" outlineLevel="0" collapsed="false">
      <c r="A180" s="1110" t="n">
        <v>33</v>
      </c>
      <c r="B180" s="299" t="s">
        <v>5056</v>
      </c>
      <c r="C180" s="302" t="n">
        <f aca="false">'Construction Budget'!H835</f>
        <v>63598602.375</v>
      </c>
      <c r="D180" s="156" t="n">
        <f aca="false">C180/'Campus Rollup'!$H$16</f>
        <v>0.0584362383152824</v>
      </c>
    </row>
    <row r="181" customFormat="false" ht="15" hidden="false" customHeight="true" outlineLevel="0" collapsed="false">
      <c r="A181" s="1110" t="n">
        <v>3</v>
      </c>
      <c r="B181" s="299" t="s">
        <v>2661</v>
      </c>
      <c r="C181" s="302" t="n">
        <f aca="false">'Construction Budget'!H112</f>
        <v>33466040.3875851</v>
      </c>
      <c r="D181" s="156" t="n">
        <f aca="false">C181/'Campus Rollup'!$H$16</f>
        <v>0.0307495674201565</v>
      </c>
    </row>
    <row r="182" customFormat="false" ht="15" hidden="false" customHeight="true" outlineLevel="0" collapsed="false">
      <c r="A182" s="1110" t="n">
        <v>5</v>
      </c>
      <c r="B182" s="299" t="s">
        <v>3115</v>
      </c>
      <c r="C182" s="302" t="n">
        <f aca="false">'Construction Budget'!H164</f>
        <v>40836399.7619533</v>
      </c>
      <c r="D182" s="156" t="n">
        <f aca="false">C182/'Campus Rollup'!$H$16</f>
        <v>0.037521667132825</v>
      </c>
    </row>
    <row r="183" customFormat="false" ht="15" hidden="false" customHeight="true" outlineLevel="0" collapsed="false">
      <c r="A183" s="1110" t="n">
        <v>7</v>
      </c>
      <c r="B183" s="299" t="s">
        <v>3117</v>
      </c>
      <c r="C183" s="302" t="n">
        <f aca="false">'Construction Budget'!H212</f>
        <v>38165650.875</v>
      </c>
      <c r="D183" s="156" t="n">
        <f aca="false">C183/'Campus Rollup'!$H$16</f>
        <v>0.035067705683829</v>
      </c>
    </row>
    <row r="184" customFormat="false" ht="15" hidden="false" customHeight="true" outlineLevel="0" collapsed="false">
      <c r="A184" s="1110" t="n">
        <v>22</v>
      </c>
      <c r="B184" s="299" t="s">
        <v>2667</v>
      </c>
      <c r="C184" s="302" t="n">
        <f aca="false">'Construction Budget'!H387</f>
        <v>22312498.51875</v>
      </c>
      <c r="D184" s="156" t="n">
        <f aca="false">C184/'Campus Rollup'!$H$16</f>
        <v>0.0205013700326785</v>
      </c>
    </row>
    <row r="185" customFormat="false" ht="15" hidden="false" customHeight="true" outlineLevel="0" collapsed="false">
      <c r="A185" s="1110" t="n">
        <v>21</v>
      </c>
      <c r="B185" s="299" t="s">
        <v>2669</v>
      </c>
      <c r="C185" s="302" t="n">
        <f aca="false">'Construction Budget'!H359</f>
        <v>22577593.5</v>
      </c>
      <c r="D185" s="156" t="n">
        <f aca="false">C185/'Campus Rollup'!$H$16</f>
        <v>0.0207449469812594</v>
      </c>
    </row>
    <row r="186" customFormat="false" ht="15" hidden="false" customHeight="true" outlineLevel="0" collapsed="false">
      <c r="A186" s="1110" t="n">
        <v>23</v>
      </c>
      <c r="B186" s="299" t="s">
        <v>3122</v>
      </c>
      <c r="C186" s="302" t="n">
        <f aca="false">'Construction Budget'!H495</f>
        <v>226484248.001927</v>
      </c>
      <c r="D186" s="156" t="n">
        <f aca="false">C186/'Campus Rollup'!$H$16</f>
        <v>0.20810028831861</v>
      </c>
    </row>
    <row r="187" customFormat="false" ht="15" hidden="false" customHeight="true" outlineLevel="0" collapsed="false">
      <c r="A187" s="1110" t="n">
        <v>26</v>
      </c>
      <c r="B187" s="299" t="s">
        <v>2673</v>
      </c>
      <c r="C187" s="302" t="n">
        <f aca="false">'Construction Budget'!H665</f>
        <v>248147784.950389</v>
      </c>
      <c r="D187" s="156" t="n">
        <f aca="false">C187/'Campus Rollup'!$H$16</f>
        <v>0.228005373660074</v>
      </c>
    </row>
    <row r="188" customFormat="false" ht="15" hidden="false" customHeight="true" outlineLevel="0" collapsed="false">
      <c r="A188" s="1110" t="n">
        <v>8</v>
      </c>
      <c r="B188" s="299" t="s">
        <v>5057</v>
      </c>
      <c r="C188" s="302" t="n">
        <f aca="false">'Construction Budget'!H239</f>
        <v>13742209.9773727</v>
      </c>
      <c r="D188" s="156" t="n">
        <f aca="false">C188/'Campus Rollup'!$H$16</f>
        <v>0.0126267406393834</v>
      </c>
    </row>
    <row r="189" customFormat="false" ht="15" hidden="false" customHeight="true" outlineLevel="0" collapsed="false">
      <c r="A189" s="1110" t="n">
        <v>9</v>
      </c>
      <c r="B189" s="299" t="s">
        <v>2685</v>
      </c>
      <c r="C189" s="302" t="n">
        <f aca="false">'Construction Budget'!H272</f>
        <v>33189552</v>
      </c>
      <c r="D189" s="156" t="n">
        <f aca="false">C189/'Campus Rollup'!$H$16</f>
        <v>0.0304955218797677</v>
      </c>
    </row>
    <row r="190" customFormat="false" ht="15" hidden="false" customHeight="true" outlineLevel="0" collapsed="false">
      <c r="A190" s="1110" t="n">
        <v>10</v>
      </c>
      <c r="B190" s="299" t="s">
        <v>2687</v>
      </c>
      <c r="C190" s="302" t="n">
        <f aca="false">'Construction Budget'!H292</f>
        <v>4010233.425</v>
      </c>
      <c r="D190" s="156" t="n">
        <f aca="false">C190/'Campus Rollup'!$H$16</f>
        <v>0.00368471864745458</v>
      </c>
    </row>
    <row r="191" customFormat="false" ht="15" hidden="false" customHeight="true" outlineLevel="0" collapsed="false">
      <c r="A191" s="1110" t="n">
        <v>27</v>
      </c>
      <c r="B191" s="299" t="s">
        <v>3124</v>
      </c>
      <c r="C191" s="302" t="n">
        <f aca="false">'Construction Budget'!H714</f>
        <v>60417387.7013327</v>
      </c>
      <c r="D191" s="156" t="n">
        <f aca="false">C191/'Campus Rollup'!$H$16</f>
        <v>0.0555132461132467</v>
      </c>
    </row>
    <row r="192" customFormat="false" ht="15" hidden="false" customHeight="true" outlineLevel="0" collapsed="false">
      <c r="A192" s="1110" t="n">
        <v>28</v>
      </c>
      <c r="B192" s="299" t="s">
        <v>3125</v>
      </c>
      <c r="C192" s="302" t="n">
        <f aca="false">'Construction Budget'!H742</f>
        <v>15750753.4249814</v>
      </c>
      <c r="D192" s="156" t="n">
        <f aca="false">C192/'Campus Rollup'!$H$16</f>
        <v>0.0144722485466013</v>
      </c>
    </row>
    <row r="193" customFormat="false" ht="15" hidden="false" customHeight="true" outlineLevel="0" collapsed="false">
      <c r="A193" s="1110" t="n">
        <v>4</v>
      </c>
      <c r="B193" s="299" t="s">
        <v>3114</v>
      </c>
      <c r="C193" s="302" t="n">
        <f aca="false">'Construction Budget'!H126</f>
        <v>5656068</v>
      </c>
      <c r="D193" s="156" t="n">
        <f aca="false">C193/'Campus Rollup'!$H$16</f>
        <v>0.00519695913483418</v>
      </c>
    </row>
    <row r="194" customFormat="false" ht="15" hidden="false" customHeight="true" outlineLevel="0" collapsed="false">
      <c r="A194" s="1110" t="n">
        <v>6</v>
      </c>
      <c r="B194" s="299" t="s">
        <v>3116</v>
      </c>
      <c r="C194" s="302" t="n">
        <f aca="false">'Construction Budget'!H174</f>
        <v>1233678.6</v>
      </c>
      <c r="D194" s="156" t="n">
        <f aca="false">C194/'Campus Rollup'!$H$16</f>
        <v>0.0011335396373805</v>
      </c>
    </row>
    <row r="195" customFormat="false" ht="15" hidden="false" customHeight="true" outlineLevel="0" collapsed="false">
      <c r="A195" s="1110" t="n">
        <v>11</v>
      </c>
      <c r="B195" s="299" t="s">
        <v>3119</v>
      </c>
      <c r="C195" s="302" t="n">
        <f aca="false">'Construction Budget'!H305</f>
        <v>1525590</v>
      </c>
      <c r="D195" s="156" t="n">
        <f aca="false">C195/'Campus Rollup'!$H$16</f>
        <v>0.0014017562883812</v>
      </c>
    </row>
    <row r="196" customFormat="false" ht="15" hidden="false" customHeight="true" outlineLevel="0" collapsed="false">
      <c r="A196" s="1110" t="n">
        <v>12</v>
      </c>
      <c r="B196" s="299" t="s">
        <v>3120</v>
      </c>
      <c r="C196" s="302" t="n">
        <f aca="false">'Construction Budget'!H315</f>
        <v>1217056.5</v>
      </c>
      <c r="D196" s="156" t="n">
        <f aca="false">C196/'Campus Rollup'!$H$16</f>
        <v>0.00111826677035784</v>
      </c>
    </row>
    <row r="197" customFormat="false" ht="15" hidden="false" customHeight="true" outlineLevel="0" collapsed="false">
      <c r="A197" s="1110" t="n">
        <v>14</v>
      </c>
      <c r="B197" s="299" t="s">
        <v>4142</v>
      </c>
      <c r="C197" s="302" t="n">
        <f aca="false">'Construction Budget'!H324</f>
        <v>4104292.5</v>
      </c>
      <c r="D197" s="156" t="n">
        <f aca="false">C197/'Campus Rollup'!$H$16</f>
        <v>0.00377114285045838</v>
      </c>
    </row>
    <row r="198" customFormat="false" ht="15" hidden="false" customHeight="true" outlineLevel="0" collapsed="false">
      <c r="A198" s="1110" t="n">
        <v>25</v>
      </c>
      <c r="B198" s="299" t="s">
        <v>5058</v>
      </c>
      <c r="C198" s="302" t="n">
        <f aca="false">'Construction Budget'!H517</f>
        <v>13470732</v>
      </c>
      <c r="D198" s="156" t="n">
        <f aca="false">C198/'Campus Rollup'!$H$16</f>
        <v>0.0123772988090495</v>
      </c>
    </row>
    <row r="199" customFormat="false" ht="15" hidden="false" customHeight="true" outlineLevel="0" collapsed="false">
      <c r="A199" s="1110" t="s">
        <v>4140</v>
      </c>
      <c r="B199" s="299" t="s">
        <v>5059</v>
      </c>
      <c r="C199" s="302" t="n">
        <f aca="false">'Construction Budget'!H75</f>
        <v>47367292.5</v>
      </c>
      <c r="D199" s="156" t="n">
        <f aca="false">C199/'Campus Rollup'!$H$16</f>
        <v>0.0435224405806715</v>
      </c>
    </row>
    <row r="200" customFormat="false" ht="15" hidden="false" customHeight="true" outlineLevel="0" collapsed="false">
      <c r="A200" s="1110" t="n">
        <v>1</v>
      </c>
      <c r="B200" s="299" t="s">
        <v>3508</v>
      </c>
      <c r="C200" s="302" t="n">
        <f aca="false">'Construction Budget'!H58</f>
        <v>42983030.6038756</v>
      </c>
      <c r="D200" s="156" t="n">
        <f aca="false">C200/'Campus Rollup'!$H$16</f>
        <v>0.0394940537383335</v>
      </c>
    </row>
    <row r="201" customFormat="false" ht="15" hidden="false" customHeight="true" outlineLevel="0" collapsed="false">
      <c r="A201" s="1110" t="s">
        <v>2859</v>
      </c>
      <c r="B201" s="299" t="s">
        <v>3531</v>
      </c>
      <c r="C201" s="302" t="n">
        <f aca="false">'Construction Budget'!H37</f>
        <v>113098590</v>
      </c>
      <c r="D201" s="156" t="n">
        <f aca="false">C201/'Campus Rollup'!$H$16</f>
        <v>0.103918260961036</v>
      </c>
    </row>
    <row r="202" customFormat="false" ht="15" hidden="false" customHeight="true" outlineLevel="0" collapsed="false">
      <c r="B202" s="1111" t="s">
        <v>5021</v>
      </c>
      <c r="C202" s="1112" t="n">
        <f aca="false">SUM(C178:C201)</f>
        <v>1088341827.06739</v>
      </c>
      <c r="D202" s="1113" t="n">
        <f aca="false">C202/'Campus Rollup'!$H$16</f>
        <v>1</v>
      </c>
    </row>
    <row r="204" customFormat="false" ht="16.5" hidden="false" customHeight="true" outlineLevel="0" collapsed="false">
      <c r="B204" s="1077" t="s">
        <v>5060</v>
      </c>
      <c r="C204" s="537"/>
      <c r="D204" s="537"/>
      <c r="E204" s="537"/>
      <c r="F204" s="537"/>
    </row>
    <row r="205" customFormat="false" ht="15.75" hidden="false" customHeight="true" outlineLevel="0" collapsed="false">
      <c r="B205" s="477" t="s">
        <v>5061</v>
      </c>
    </row>
    <row r="207" customFormat="false" ht="15" hidden="false" customHeight="true" outlineLevel="0" collapsed="false">
      <c r="B207" s="1059" t="s">
        <v>4982</v>
      </c>
      <c r="C207" s="515" t="str">
        <f aca="false">'Campus Rollup'!H3</f>
        <v>Class 3 (DD)</v>
      </c>
    </row>
    <row r="208" customFormat="false" ht="15" hidden="false" customHeight="true" outlineLevel="0" collapsed="false">
      <c r="B208" s="1059" t="s">
        <v>5062</v>
      </c>
      <c r="C208" s="515" t="s">
        <v>5063</v>
      </c>
    </row>
    <row r="209" customFormat="false" ht="15" hidden="false" customHeight="true" outlineLevel="0" collapsed="false">
      <c r="B209" s="1059" t="s">
        <v>5064</v>
      </c>
      <c r="C209" s="515" t="str">
        <f aca="false">"Unit Cost Database — "&amp;'Unit Cost Database'!I1&amp;" tier"</f>
        <v>Unit Cost Database — Low tier</v>
      </c>
    </row>
    <row r="210" customFormat="false" ht="15" hidden="false" customHeight="true" outlineLevel="0" collapsed="false">
      <c r="B210" s="1059" t="s">
        <v>5065</v>
      </c>
      <c r="C210" s="1114" t="n">
        <f aca="false">'Construction Budget'!H7</f>
        <v>0.035</v>
      </c>
    </row>
    <row r="211" customFormat="false" ht="15" hidden="false" customHeight="true" outlineLevel="0" collapsed="false">
      <c r="B211" s="1059" t="s">
        <v>5066</v>
      </c>
      <c r="C211" s="1115" t="n">
        <f aca="false">'Construction Budget'!H8</f>
        <v>1</v>
      </c>
    </row>
    <row r="212" customFormat="false" ht="15" hidden="false" customHeight="true" outlineLevel="0" collapsed="false">
      <c r="B212" s="1059" t="s">
        <v>4980</v>
      </c>
      <c r="C212" s="1114" t="n">
        <f aca="false">'Construction Budget'!F7</f>
        <v>0.1</v>
      </c>
    </row>
    <row r="213" customFormat="false" ht="15" hidden="false" customHeight="true" outlineLevel="0" collapsed="false">
      <c r="B213" s="1059" t="s">
        <v>5067</v>
      </c>
      <c r="C213" s="1116" t="n">
        <f aca="false">'Construction Budget'!H9</f>
        <v>46143</v>
      </c>
    </row>
    <row r="214" customFormat="false" ht="15" hidden="false" customHeight="true" outlineLevel="0" collapsed="false">
      <c r="B214" s="1059" t="s">
        <v>5068</v>
      </c>
      <c r="C214" s="515" t="s">
        <v>5069</v>
      </c>
    </row>
    <row r="215" customFormat="false" ht="15" hidden="false" customHeight="true" outlineLevel="0" collapsed="false">
      <c r="B215" s="1059" t="s">
        <v>5070</v>
      </c>
      <c r="C215" s="1117" t="n">
        <f aca="false">'Construction Budget'!C6</f>
        <v>800000</v>
      </c>
    </row>
    <row r="216" customFormat="false" ht="15" hidden="false" customHeight="true" outlineLevel="0" collapsed="false">
      <c r="B216" s="1059" t="s">
        <v>5071</v>
      </c>
      <c r="C216" s="1118" t="n">
        <f aca="false">'Construction Budget'!C9</f>
        <v>90</v>
      </c>
    </row>
    <row r="217" customFormat="false" ht="15" hidden="false" customHeight="true" outlineLevel="0" collapsed="false">
      <c r="B217" s="1059" t="s">
        <v>215</v>
      </c>
      <c r="C217" s="515" t="str">
        <f aca="false">'Construction Budget'!C7</f>
        <v>Tier III</v>
      </c>
    </row>
    <row r="218" customFormat="false" ht="15" hidden="false" customHeight="true" outlineLevel="0" collapsed="false">
      <c r="B218" s="1059" t="s">
        <v>5072</v>
      </c>
      <c r="C218" s="515" t="n">
        <v>24</v>
      </c>
    </row>
    <row r="219" customFormat="false" ht="15" hidden="false" customHeight="true" outlineLevel="0" collapsed="false">
      <c r="B219" s="1059" t="s">
        <v>5073</v>
      </c>
      <c r="C219" s="1119" t="n">
        <f aca="false">'Construction Budget'!F849</f>
        <v>747</v>
      </c>
    </row>
    <row r="221" customFormat="false" ht="15" hidden="false" customHeight="true" outlineLevel="0" collapsed="false">
      <c r="B221" s="1057" t="s">
        <v>5074</v>
      </c>
    </row>
    <row r="222" customFormat="false" ht="15" hidden="false" customHeight="true" outlineLevel="0" collapsed="false">
      <c r="B222" s="1120" t="s">
        <v>5075</v>
      </c>
    </row>
    <row r="223" customFormat="false" ht="15" hidden="false" customHeight="true" outlineLevel="0" collapsed="false">
      <c r="B223" s="1120" t="s">
        <v>5076</v>
      </c>
    </row>
    <row r="224" customFormat="false" ht="15" hidden="false" customHeight="true" outlineLevel="0" collapsed="false">
      <c r="B224" s="1120" t="s">
        <v>5077</v>
      </c>
    </row>
    <row r="225" customFormat="false" ht="15" hidden="false" customHeight="true" outlineLevel="0" collapsed="false">
      <c r="B225" s="1120" t="s">
        <v>5078</v>
      </c>
    </row>
    <row r="226" customFormat="false" ht="15" hidden="false" customHeight="true" outlineLevel="0" collapsed="false">
      <c r="B226" s="1120" t="s">
        <v>5079</v>
      </c>
    </row>
  </sheetData>
  <mergeCells count="29">
    <mergeCell ref="B18:F18"/>
    <mergeCell ref="B20:F20"/>
    <mergeCell ref="B22:F22"/>
    <mergeCell ref="B24:F24"/>
    <mergeCell ref="A64:A66"/>
    <mergeCell ref="B64:D64"/>
    <mergeCell ref="B65:D65"/>
    <mergeCell ref="B69:D69"/>
    <mergeCell ref="B83:D87"/>
    <mergeCell ref="B102:D102"/>
    <mergeCell ref="C131:F131"/>
    <mergeCell ref="B136:F136"/>
    <mergeCell ref="B139:F139"/>
    <mergeCell ref="B140:F140"/>
    <mergeCell ref="B141:F141"/>
    <mergeCell ref="B142:F142"/>
    <mergeCell ref="B143:F143"/>
    <mergeCell ref="B144:F144"/>
    <mergeCell ref="B145:F145"/>
    <mergeCell ref="B146:F146"/>
    <mergeCell ref="B151:F151"/>
    <mergeCell ref="B152:F152"/>
    <mergeCell ref="B153:F153"/>
    <mergeCell ref="B154:F154"/>
    <mergeCell ref="B155:F155"/>
    <mergeCell ref="B156:F156"/>
    <mergeCell ref="B157:F157"/>
    <mergeCell ref="B158:F158"/>
    <mergeCell ref="B163:D163"/>
  </mergeCells>
  <printOptions headings="false" gridLines="false" gridLinesSet="true" horizontalCentered="true" verticalCentered="false"/>
  <pageMargins left="0.5" right="0.5" top="0.597222222222222" bottom="0.597222222222222" header="0.25" footer="0.25"/>
  <pageSetup paperSize="1" scale="100" fitToWidth="1" fitToHeight="0" pageOrder="downThenOver" orientation="portrait" blackAndWhite="false" draft="false" cellComments="none" horizontalDpi="300" verticalDpi="300" copies="1"/>
  <headerFooter differentFirst="false" differentOddEven="false">
    <oddHeader>&amp;R&amp;9 &amp;Kaaaaaa CONFIDENTIAL</oddHeader>
    <oddFooter>&amp;C&amp;9 &amp;K777777Page &amp;P of &amp;N&amp;R&amp;9 &amp;K777777Stargate Northern Virginia</oddFooter>
  </headerFooter>
  <rowBreaks count="7" manualBreakCount="7">
    <brk id="44" man="true" max="16383" min="0"/>
    <brk id="62" man="true" max="16383" min="0"/>
    <brk id="101" man="true" max="16383" min="0"/>
    <brk id="136" man="true" max="16383" min="0"/>
    <brk id="160" man="true" max="16383" min="0"/>
    <brk id="174" man="true" max="16383" min="0"/>
    <brk id="203" man="true" max="16383" min="0"/>
  </rowBreaks>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true"/>
  </sheetPr>
  <dimension ref="A1:K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O30" activeCellId="0" sqref="O30"/>
    </sheetView>
  </sheetViews>
  <sheetFormatPr defaultColWidth="8.57421875" defaultRowHeight="15" zeroHeight="false" outlineLevelRow="0" outlineLevelCol="0"/>
  <cols>
    <col collapsed="false" customWidth="true" hidden="false" outlineLevel="0" max="1" min="1" style="1" width="34"/>
    <col collapsed="false" customWidth="true" hidden="false" outlineLevel="0" max="4" min="2" style="1" width="16"/>
    <col collapsed="false" customWidth="true" hidden="false" outlineLevel="0" max="5" min="5" style="1" width="30"/>
  </cols>
  <sheetData>
    <row r="1" customFormat="false" ht="27.75" hidden="false" customHeight="true" outlineLevel="0" collapsed="false">
      <c r="A1" s="105" t="s">
        <v>5080</v>
      </c>
      <c r="B1" s="105"/>
      <c r="C1" s="105"/>
      <c r="D1" s="105"/>
      <c r="E1" s="105"/>
      <c r="F1" s="197"/>
      <c r="G1" s="197"/>
      <c r="H1" s="197"/>
    </row>
    <row r="2" customFormat="false" ht="15" hidden="false" customHeight="true" outlineLevel="0" collapsed="false">
      <c r="A2" s="3" t="s">
        <v>5081</v>
      </c>
      <c r="B2" s="3"/>
      <c r="C2" s="3"/>
      <c r="D2" s="3"/>
      <c r="E2" s="3"/>
    </row>
    <row r="3" customFormat="false" ht="21.75" hidden="false" customHeight="true" outlineLevel="0" collapsed="false">
      <c r="A3" s="1121" t="str">
        <f aca="false">"LIFECYCLE CARBON   "&amp;TEXT(B28/1000000,"0.00")&amp;"M tCO₂e      •      "&amp;TEXT(B31,"0.00")&amp;" tCO₂e/SF      •      "&amp;TEXT(B29,"0%")&amp;" embodied / "&amp;TEXT(1-B29,"0%")&amp;" operational      •      $"&amp;TEXT(B32,"#,##0")&amp;" capex/tCO₂e"</f>
        <v>LIFECYCLE CARBON   0.68M tCO₂e      •      0.85 tCO₂e/SF      •      58% embodied / 42% operational      •      $1,592 capex/tCO₂e</v>
      </c>
      <c r="B3" s="1121"/>
      <c r="C3" s="1121"/>
      <c r="D3" s="1121"/>
      <c r="E3" s="1121"/>
      <c r="F3" s="1121"/>
      <c r="G3" s="1121"/>
      <c r="H3" s="1121"/>
    </row>
    <row r="4" customFormat="false" ht="15" hidden="false" customHeight="true" outlineLevel="0" collapsed="false">
      <c r="A4" s="129" t="s">
        <v>5082</v>
      </c>
      <c r="B4" s="129"/>
      <c r="C4" s="129"/>
      <c r="D4" s="129"/>
      <c r="E4" s="876" t="s">
        <v>5083</v>
      </c>
    </row>
    <row r="5" customFormat="false" ht="15" hidden="false" customHeight="true" outlineLevel="0" collapsed="false">
      <c r="A5" s="125" t="s">
        <v>3323</v>
      </c>
      <c r="B5" s="497" t="n">
        <f aca="false">'Campus Rollup'!$C$16</f>
        <v>800000</v>
      </c>
      <c r="C5" s="375" t="s">
        <v>3324</v>
      </c>
      <c r="D5" s="375"/>
      <c r="E5" s="1122" t="s">
        <v>5084</v>
      </c>
    </row>
    <row r="6" customFormat="false" ht="15" hidden="false" customHeight="true" outlineLevel="0" collapsed="false">
      <c r="A6" s="125" t="s">
        <v>5085</v>
      </c>
      <c r="B6" s="496" t="n">
        <f aca="false">'Campus Rollup'!$D$16</f>
        <v>90</v>
      </c>
      <c r="C6" s="375" t="s">
        <v>3322</v>
      </c>
      <c r="D6" s="375"/>
      <c r="E6" s="1123" t="s">
        <v>5086</v>
      </c>
    </row>
    <row r="7" customFormat="false" ht="15" hidden="false" customHeight="true" outlineLevel="0" collapsed="false">
      <c r="A7" s="125" t="s">
        <v>5087</v>
      </c>
      <c r="B7" s="1124" t="n">
        <f aca="false">INDEX($B$70:$E$70,MATCH($E$5,$B$68:$E$68,0))</f>
        <v>1.2</v>
      </c>
      <c r="C7" s="375" t="s">
        <v>3326</v>
      </c>
      <c r="D7" s="375"/>
      <c r="E7" s="375"/>
    </row>
    <row r="8" customFormat="false" ht="15" hidden="false" customHeight="true" outlineLevel="0" collapsed="false">
      <c r="A8" s="125" t="s">
        <v>3327</v>
      </c>
      <c r="B8" s="499" t="n">
        <v>0.8</v>
      </c>
      <c r="C8" s="3" t="s">
        <v>5088</v>
      </c>
      <c r="D8" s="3"/>
      <c r="E8" s="3"/>
    </row>
    <row r="9" customFormat="false" ht="15" hidden="false" customHeight="true" outlineLevel="0" collapsed="false">
      <c r="A9" s="125" t="s">
        <v>5089</v>
      </c>
      <c r="B9" s="500" t="n">
        <v>15</v>
      </c>
      <c r="C9" s="3" t="s">
        <v>5090</v>
      </c>
      <c r="D9" s="3"/>
      <c r="E9" s="3"/>
    </row>
    <row r="10" customFormat="false" ht="15" hidden="false" customHeight="true" outlineLevel="0" collapsed="false">
      <c r="A10" s="125" t="s">
        <v>5091</v>
      </c>
      <c r="B10" s="1125" t="n">
        <f aca="false">INDEX($B$71:$E$71,MATCH($E$5,$B$68:$E$68,0))</f>
        <v>0.25</v>
      </c>
      <c r="C10" s="3" t="s">
        <v>5092</v>
      </c>
      <c r="D10" s="3"/>
      <c r="E10" s="3"/>
    </row>
    <row r="11" customFormat="false" ht="15" hidden="false" customHeight="true" outlineLevel="0" collapsed="false">
      <c r="A11" s="125" t="s">
        <v>5093</v>
      </c>
      <c r="B11" s="1126" t="n">
        <f aca="false">INDEX($B$72:$E$72,MATCH($E$5,$B$68:$E$68,0))</f>
        <v>0.9</v>
      </c>
      <c r="C11" s="3" t="s">
        <v>5094</v>
      </c>
      <c r="D11" s="3"/>
      <c r="E11" s="3"/>
    </row>
    <row r="13" customFormat="false" ht="15" hidden="false" customHeight="true" outlineLevel="0" collapsed="false">
      <c r="A13" s="7" t="s">
        <v>5095</v>
      </c>
      <c r="B13" s="7"/>
      <c r="C13" s="7"/>
      <c r="D13" s="7"/>
    </row>
    <row r="14" customFormat="false" ht="15" hidden="false" customHeight="true" outlineLevel="0" collapsed="false">
      <c r="A14" s="503" t="s">
        <v>5096</v>
      </c>
      <c r="B14" s="503" t="s">
        <v>5097</v>
      </c>
      <c r="C14" s="503" t="s">
        <v>5098</v>
      </c>
      <c r="D14" s="503" t="s">
        <v>5099</v>
      </c>
      <c r="G14" s="15" t="s">
        <v>5100</v>
      </c>
      <c r="H14" s="1127" t="n">
        <f aca="false">C18</f>
        <v>400000</v>
      </c>
    </row>
    <row r="15" customFormat="false" ht="15" hidden="false" customHeight="true" outlineLevel="0" collapsed="false">
      <c r="A15" s="504" t="s">
        <v>5101</v>
      </c>
      <c r="B15" s="498" t="n">
        <v>0.3</v>
      </c>
      <c r="C15" s="1128" t="n">
        <f aca="false">B15*$B$5</f>
        <v>240000</v>
      </c>
      <c r="D15" s="1129" t="n">
        <f aca="false">C15/$C$18</f>
        <v>0.6</v>
      </c>
      <c r="G15" s="15" t="s">
        <v>5102</v>
      </c>
      <c r="H15" s="1127" t="n">
        <f aca="false">B25</f>
        <v>283824</v>
      </c>
    </row>
    <row r="16" customFormat="false" ht="15" hidden="false" customHeight="true" outlineLevel="0" collapsed="false">
      <c r="A16" s="504" t="s">
        <v>5103</v>
      </c>
      <c r="B16" s="498" t="n">
        <v>0.08</v>
      </c>
      <c r="C16" s="1128" t="n">
        <f aca="false">B16*$B$5</f>
        <v>64000</v>
      </c>
      <c r="D16" s="1129" t="n">
        <f aca="false">C16/$C$18</f>
        <v>0.16</v>
      </c>
    </row>
    <row r="17" customFormat="false" ht="15" hidden="false" customHeight="true" outlineLevel="0" collapsed="false">
      <c r="A17" s="504" t="s">
        <v>5104</v>
      </c>
      <c r="B17" s="498" t="n">
        <v>0.12</v>
      </c>
      <c r="C17" s="1128" t="n">
        <f aca="false">B17*$B$5</f>
        <v>96000</v>
      </c>
      <c r="D17" s="1129" t="n">
        <f aca="false">C17/$C$18</f>
        <v>0.24</v>
      </c>
    </row>
    <row r="18" customFormat="false" ht="15" hidden="false" customHeight="true" outlineLevel="0" collapsed="false">
      <c r="A18" s="10" t="s">
        <v>5105</v>
      </c>
      <c r="C18" s="1130" t="n">
        <f aca="false">SUM(C15:C17)</f>
        <v>400000</v>
      </c>
    </row>
    <row r="20" customFormat="false" ht="15" hidden="false" customHeight="true" outlineLevel="0" collapsed="false">
      <c r="A20" s="7" t="s">
        <v>5106</v>
      </c>
      <c r="B20" s="7"/>
      <c r="C20" s="7"/>
      <c r="D20" s="7"/>
    </row>
    <row r="21" customFormat="false" ht="15" hidden="false" customHeight="true" outlineLevel="0" collapsed="false">
      <c r="A21" s="125" t="s">
        <v>3337</v>
      </c>
      <c r="B21" s="496" t="n">
        <f aca="false">B6*B7</f>
        <v>108</v>
      </c>
      <c r="C21" s="3" t="s">
        <v>3338</v>
      </c>
      <c r="D21" s="3"/>
      <c r="E21" s="3"/>
    </row>
    <row r="22" customFormat="false" ht="15" hidden="false" customHeight="true" outlineLevel="0" collapsed="false">
      <c r="A22" s="125" t="s">
        <v>5107</v>
      </c>
      <c r="B22" s="497" t="n">
        <f aca="false">B6*B7*8760*B8</f>
        <v>756864</v>
      </c>
      <c r="C22" s="3" t="s">
        <v>5108</v>
      </c>
      <c r="D22" s="3"/>
      <c r="E22" s="3"/>
    </row>
    <row r="23" customFormat="false" ht="15" hidden="false" customHeight="true" outlineLevel="0" collapsed="false">
      <c r="A23" s="125" t="s">
        <v>5109</v>
      </c>
      <c r="B23" s="1131" t="n">
        <f aca="false">B10*(1-B11)</f>
        <v>0.025</v>
      </c>
      <c r="C23" s="3" t="s">
        <v>5110</v>
      </c>
      <c r="D23" s="3"/>
      <c r="E23" s="3"/>
    </row>
    <row r="24" customFormat="false" ht="15" hidden="false" customHeight="true" outlineLevel="0" collapsed="false">
      <c r="A24" s="125" t="s">
        <v>5111</v>
      </c>
      <c r="B24" s="497" t="n">
        <f aca="false">B22*B23</f>
        <v>18921.6</v>
      </c>
      <c r="C24" s="3" t="s">
        <v>5112</v>
      </c>
      <c r="D24" s="3"/>
      <c r="E24" s="3"/>
    </row>
    <row r="25" customFormat="false" ht="15" hidden="false" customHeight="true" outlineLevel="0" collapsed="false">
      <c r="A25" s="125" t="s">
        <v>5113</v>
      </c>
      <c r="B25" s="1132" t="n">
        <f aca="false">B24*B9</f>
        <v>283824</v>
      </c>
      <c r="C25" s="3" t="s">
        <v>5114</v>
      </c>
      <c r="D25" s="3"/>
      <c r="E25" s="3"/>
    </row>
    <row r="27" customFormat="false" ht="15" hidden="false" customHeight="true" outlineLevel="0" collapsed="false">
      <c r="A27" s="7" t="s">
        <v>5115</v>
      </c>
      <c r="B27" s="7"/>
      <c r="C27" s="7"/>
      <c r="D27" s="7"/>
    </row>
    <row r="28" customFormat="false" ht="15" hidden="false" customHeight="true" outlineLevel="0" collapsed="false">
      <c r="A28" s="125" t="s">
        <v>5116</v>
      </c>
      <c r="B28" s="1132" t="n">
        <f aca="false">C18+B25</f>
        <v>683824</v>
      </c>
      <c r="C28" s="3" t="s">
        <v>5117</v>
      </c>
      <c r="D28" s="3"/>
      <c r="E28" s="3"/>
    </row>
    <row r="29" customFormat="false" ht="15" hidden="false" customHeight="true" outlineLevel="0" collapsed="false">
      <c r="A29" s="125" t="s">
        <v>5118</v>
      </c>
      <c r="B29" s="510" t="n">
        <f aca="false">C18/(C18+B25)</f>
        <v>0.58494583401577</v>
      </c>
      <c r="C29" s="3" t="s">
        <v>5119</v>
      </c>
      <c r="D29" s="3"/>
      <c r="E29" s="3"/>
    </row>
    <row r="30" customFormat="false" ht="15" hidden="false" customHeight="true" outlineLevel="0" collapsed="false">
      <c r="A30" s="125" t="s">
        <v>5120</v>
      </c>
      <c r="B30" s="497" t="n">
        <f aca="false">(C18+B25)/B6</f>
        <v>7598.04444444445</v>
      </c>
      <c r="C30" s="3" t="s">
        <v>5121</v>
      </c>
      <c r="D30" s="3"/>
      <c r="E30" s="3"/>
    </row>
    <row r="31" customFormat="false" ht="15" hidden="false" customHeight="true" outlineLevel="0" collapsed="false">
      <c r="A31" s="125" t="s">
        <v>5122</v>
      </c>
      <c r="B31" s="502" t="n">
        <f aca="false">(C18+B25)/B5</f>
        <v>0.85478</v>
      </c>
      <c r="C31" s="3" t="s">
        <v>5123</v>
      </c>
      <c r="D31" s="3"/>
      <c r="E31" s="3"/>
    </row>
    <row r="32" customFormat="false" ht="15" hidden="false" customHeight="true" outlineLevel="0" collapsed="false">
      <c r="A32" s="125" t="s">
        <v>5124</v>
      </c>
      <c r="B32" s="369" t="n">
        <f aca="false">'Campus Rollup'!$H$16/(C18+B25)</f>
        <v>1591.55254432046</v>
      </c>
      <c r="C32" s="3" t="s">
        <v>5125</v>
      </c>
      <c r="D32" s="3"/>
      <c r="E32" s="3"/>
    </row>
    <row r="33" customFormat="false" ht="15" hidden="false" customHeight="true" outlineLevel="0" collapsed="false">
      <c r="A33" s="125" t="s">
        <v>5126</v>
      </c>
      <c r="B33" s="502" t="n">
        <f aca="false">C18/'Campus Rollup'!$H$16*1000</f>
        <v>0.367531588010199</v>
      </c>
      <c r="C33" s="3" t="s">
        <v>5127</v>
      </c>
      <c r="D33" s="3"/>
      <c r="E33" s="3"/>
    </row>
    <row r="35" customFormat="false" ht="15" hidden="false" customHeight="true" outlineLevel="0" collapsed="false">
      <c r="A35" s="7" t="s">
        <v>5128</v>
      </c>
      <c r="B35" s="7"/>
      <c r="C35" s="7"/>
      <c r="D35" s="7"/>
      <c r="E35" s="7"/>
    </row>
    <row r="36" customFormat="false" ht="15" hidden="false" customHeight="true" outlineLevel="0" collapsed="false">
      <c r="A36" s="1133" t="s">
        <v>5129</v>
      </c>
      <c r="B36" s="503" t="s">
        <v>5130</v>
      </c>
      <c r="C36" s="503" t="s">
        <v>5131</v>
      </c>
      <c r="D36" s="503" t="s">
        <v>5132</v>
      </c>
      <c r="E36" s="503" t="s">
        <v>5133</v>
      </c>
    </row>
    <row r="37" customFormat="false" ht="15" hidden="false" customHeight="true" outlineLevel="0" collapsed="false">
      <c r="A37" s="504" t="s">
        <v>5134</v>
      </c>
      <c r="B37" s="1134" t="s">
        <v>5100</v>
      </c>
      <c r="C37" s="1135" t="n">
        <f aca="false">C15</f>
        <v>240000</v>
      </c>
      <c r="D37" s="1136" t="n">
        <v>0.125</v>
      </c>
      <c r="E37" s="152" t="n">
        <f aca="false">C37*D37</f>
        <v>30000</v>
      </c>
    </row>
    <row r="38" customFormat="false" ht="15" hidden="false" customHeight="true" outlineLevel="0" collapsed="false">
      <c r="A38" s="504" t="s">
        <v>5135</v>
      </c>
      <c r="B38" s="1134" t="s">
        <v>5136</v>
      </c>
      <c r="C38" s="1135" t="n">
        <f aca="false">$C$76*$B$9</f>
        <v>2152332</v>
      </c>
      <c r="D38" s="1136" t="n">
        <v>0.8</v>
      </c>
      <c r="E38" s="152" t="n">
        <f aca="false">C38*D38</f>
        <v>1721865.6</v>
      </c>
    </row>
    <row r="39" customFormat="false" ht="15" hidden="false" customHeight="true" outlineLevel="0" collapsed="false">
      <c r="A39" s="504" t="s">
        <v>5137</v>
      </c>
      <c r="B39" s="1134" t="s">
        <v>5136</v>
      </c>
      <c r="C39" s="1135" t="n">
        <f aca="false">$C$76*$B$9</f>
        <v>2152332</v>
      </c>
      <c r="D39" s="1136" t="n">
        <v>0.045</v>
      </c>
      <c r="E39" s="152" t="n">
        <f aca="false">C39*D39</f>
        <v>96854.94</v>
      </c>
    </row>
    <row r="40" customFormat="false" ht="15" hidden="false" customHeight="true" outlineLevel="0" collapsed="false">
      <c r="A40" s="504" t="s">
        <v>5138</v>
      </c>
      <c r="B40" s="1134" t="s">
        <v>5136</v>
      </c>
      <c r="C40" s="1135" t="n">
        <f aca="false">$C$76*$B$9</f>
        <v>2152332</v>
      </c>
      <c r="D40" s="1136" t="n">
        <v>0.08</v>
      </c>
      <c r="E40" s="152" t="n">
        <f aca="false">C40*D40</f>
        <v>172186.56</v>
      </c>
    </row>
    <row r="41" customFormat="false" ht="15" hidden="false" customHeight="true" outlineLevel="0" collapsed="false">
      <c r="A41" s="504" t="s">
        <v>5139</v>
      </c>
      <c r="B41" s="1134" t="s">
        <v>5100</v>
      </c>
      <c r="C41" s="1135" t="n">
        <f aca="false">C18</f>
        <v>400000</v>
      </c>
      <c r="D41" s="1136" t="n">
        <v>0.015</v>
      </c>
      <c r="E41" s="152" t="n">
        <f aca="false">C41*D41</f>
        <v>6000</v>
      </c>
    </row>
    <row r="43" customFormat="false" ht="15" hidden="false" customHeight="true" outlineLevel="0" collapsed="false">
      <c r="A43" s="1137" t="s">
        <v>5140</v>
      </c>
      <c r="B43" s="149"/>
      <c r="C43" s="149"/>
      <c r="D43" s="149"/>
      <c r="E43" s="149"/>
    </row>
    <row r="44" customFormat="false" ht="15" hidden="false" customHeight="true" outlineLevel="0" collapsed="false">
      <c r="A44" s="10" t="s">
        <v>5141</v>
      </c>
      <c r="B44" s="1138" t="n">
        <f aca="false">$C$77</f>
        <v>2552332</v>
      </c>
      <c r="C44" s="375" t="s">
        <v>5142</v>
      </c>
      <c r="G44" s="696"/>
      <c r="H44" s="897" t="s">
        <v>5100</v>
      </c>
      <c r="I44" s="897" t="s">
        <v>5136</v>
      </c>
    </row>
    <row r="45" customFormat="false" ht="15" hidden="false" customHeight="true" outlineLevel="0" collapsed="false">
      <c r="A45" s="1" t="s">
        <v>5143</v>
      </c>
      <c r="B45" s="1138" t="n">
        <f aca="false">C18-E37-E41</f>
        <v>364000</v>
      </c>
      <c r="C45" s="375" t="s">
        <v>5144</v>
      </c>
      <c r="G45" s="897" t="s">
        <v>5145</v>
      </c>
      <c r="H45" s="1139" t="n">
        <f aca="false">C18</f>
        <v>400000</v>
      </c>
      <c r="I45" s="1139" t="n">
        <f aca="false">$C$76*$B$9</f>
        <v>2152332</v>
      </c>
    </row>
    <row r="46" customFormat="false" ht="15" hidden="false" customHeight="true" outlineLevel="0" collapsed="false">
      <c r="A46" s="1" t="s">
        <v>5146</v>
      </c>
      <c r="B46" s="1138" t="n">
        <f aca="false">$C$76*$B$9*(1-D38)*(1-D39)*(1-D40)</f>
        <v>378207.77904</v>
      </c>
      <c r="C46" s="375" t="s">
        <v>5147</v>
      </c>
      <c r="G46" s="897" t="s">
        <v>5148</v>
      </c>
      <c r="H46" s="1139" t="n">
        <f aca="false">B45</f>
        <v>364000</v>
      </c>
      <c r="I46" s="1139" t="n">
        <f aca="false">B46</f>
        <v>378207.77904</v>
      </c>
    </row>
    <row r="47" customFormat="false" ht="15" hidden="false" customHeight="true" outlineLevel="0" collapsed="false">
      <c r="A47" s="163" t="s">
        <v>5149</v>
      </c>
      <c r="B47" s="1140" t="n">
        <f aca="false">B45+B46</f>
        <v>742207.77904</v>
      </c>
      <c r="C47" s="375" t="s">
        <v>5150</v>
      </c>
    </row>
    <row r="48" customFormat="false" ht="15" hidden="false" customHeight="true" outlineLevel="0" collapsed="false">
      <c r="A48" s="163" t="s">
        <v>5151</v>
      </c>
      <c r="B48" s="1141" t="n">
        <f aca="false">1-B47/B44</f>
        <v>0.709204061603271</v>
      </c>
      <c r="C48" s="375" t="s">
        <v>5152</v>
      </c>
    </row>
    <row r="49" customFormat="false" ht="15" hidden="false" customHeight="true" outlineLevel="0" collapsed="false">
      <c r="A49" s="1" t="s">
        <v>5153</v>
      </c>
      <c r="B49" s="330" t="n">
        <f aca="false">B47/B5</f>
        <v>0.9277597238</v>
      </c>
      <c r="C49" s="375" t="s">
        <v>5154</v>
      </c>
    </row>
    <row r="50" customFormat="false" ht="15" hidden="false" customHeight="true" outlineLevel="0" collapsed="false">
      <c r="A50" s="1" t="s">
        <v>5155</v>
      </c>
      <c r="B50" s="1142" t="n">
        <v>0.01</v>
      </c>
      <c r="C50" s="375" t="s">
        <v>5156</v>
      </c>
    </row>
    <row r="51" customFormat="false" ht="15" hidden="false" customHeight="true" outlineLevel="0" collapsed="false">
      <c r="A51" s="1" t="s">
        <v>5157</v>
      </c>
      <c r="B51" s="248" t="n">
        <f aca="false">B50*'Campus Rollup'!$H$16</f>
        <v>10883418.2706739</v>
      </c>
      <c r="C51" s="375" t="s">
        <v>5158</v>
      </c>
    </row>
    <row r="52" customFormat="false" ht="15" hidden="false" customHeight="true" outlineLevel="0" collapsed="false">
      <c r="A52" s="163" t="s">
        <v>5159</v>
      </c>
      <c r="B52" s="1143" t="n">
        <f aca="false">B51/(B44-B47)</f>
        <v>6.01252562926421</v>
      </c>
      <c r="C52" s="375" t="s">
        <v>5160</v>
      </c>
    </row>
    <row r="54" customFormat="false" ht="15" hidden="false" customHeight="true" outlineLevel="0" collapsed="false">
      <c r="A54" s="1144" t="str">
        <f aca="false">"POTENTIAL WITH LEVERS   "&amp;TEXT(B47/1000000,"0.00")&amp;"M tCO₂e      •      −"&amp;TEXT(B48,"0%")&amp;" vs base      •      "&amp;TEXT(B49,"0.00")&amp;" tCO₂e/SF      •      $"&amp;TEXT(B52,"0.00")&amp;"/tCO₂e abated"</f>
        <v>POTENTIAL WITH LEVERS   0.74M tCO₂e      •      −71% vs base      •      0.93 tCO₂e/SF      •      $6.01/tCO₂e abated</v>
      </c>
      <c r="B54" s="1145"/>
      <c r="C54" s="1145"/>
      <c r="D54" s="1145"/>
      <c r="E54" s="1145"/>
    </row>
    <row r="56" customFormat="false" ht="15" hidden="false" customHeight="true" outlineLevel="0" collapsed="false">
      <c r="A56" s="1137" t="s">
        <v>5161</v>
      </c>
      <c r="B56" s="149"/>
      <c r="C56" s="149"/>
      <c r="D56" s="149"/>
      <c r="E56" s="149"/>
    </row>
    <row r="57" customFormat="false" ht="15" hidden="false" customHeight="true" outlineLevel="0" collapsed="false">
      <c r="A57" s="163" t="s">
        <v>5162</v>
      </c>
      <c r="B57" s="1146" t="n">
        <f aca="false">INDEX($B$73:$E$73,MATCH($E$5,$B$68:$E$68,0))</f>
        <v>0.2</v>
      </c>
      <c r="C57" s="375" t="s">
        <v>5163</v>
      </c>
    </row>
    <row r="58" customFormat="false" ht="15" hidden="false" customHeight="true" outlineLevel="0" collapsed="false">
      <c r="A58" s="163" t="s">
        <v>5164</v>
      </c>
      <c r="B58" s="1127" t="n">
        <f aca="false">B6*8760*B8</f>
        <v>630720</v>
      </c>
      <c r="C58" s="375" t="s">
        <v>5165</v>
      </c>
    </row>
    <row r="59" customFormat="false" ht="15" hidden="false" customHeight="true" outlineLevel="0" collapsed="false">
      <c r="A59" s="163" t="s">
        <v>5166</v>
      </c>
      <c r="B59" s="1147" t="n">
        <f aca="false">B57*B58</f>
        <v>126144</v>
      </c>
      <c r="C59" s="375" t="s">
        <v>5167</v>
      </c>
    </row>
    <row r="60" customFormat="false" ht="15" hidden="false" customHeight="true" outlineLevel="0" collapsed="false">
      <c r="A60" s="163" t="s">
        <v>5166</v>
      </c>
      <c r="B60" s="1148" t="n">
        <f aca="false">B59/1000</f>
        <v>126.144</v>
      </c>
      <c r="C60" s="375" t="s">
        <v>5168</v>
      </c>
    </row>
    <row r="61" customFormat="false" ht="15" hidden="false" customHeight="true" outlineLevel="0" collapsed="false">
      <c r="A61" s="163" t="s">
        <v>5169</v>
      </c>
      <c r="B61" s="1149" t="n">
        <f aca="false">B59*B9</f>
        <v>1892160</v>
      </c>
      <c r="C61" s="375" t="s">
        <v>5170</v>
      </c>
    </row>
    <row r="62" customFormat="false" ht="15" hidden="false" customHeight="true" outlineLevel="0" collapsed="false">
      <c r="A62" s="163" t="s">
        <v>5171</v>
      </c>
      <c r="B62" s="1127" t="n">
        <f aca="false">B59/B6</f>
        <v>1401.6</v>
      </c>
      <c r="C62" s="375" t="s">
        <v>5172</v>
      </c>
    </row>
    <row r="63" customFormat="false" ht="15" hidden="false" customHeight="true" outlineLevel="0" collapsed="false">
      <c r="A63" s="163" t="s">
        <v>5173</v>
      </c>
      <c r="B63" s="1127" t="n">
        <f aca="false">B59*1000/B5</f>
        <v>157.68</v>
      </c>
      <c r="C63" s="375" t="s">
        <v>5174</v>
      </c>
    </row>
    <row r="64" customFormat="false" ht="15" hidden="false" customHeight="true" outlineLevel="0" collapsed="false">
      <c r="A64" s="1150" t="str">
        <f aca="false">"WATER   "&amp;TEXT(B60,"#,##0")&amp;" ML/yr      •      "&amp;TEXT(B61/1000,"#,##0")&amp;" ML lifetime      •      "&amp;TEXT(B63,"#,##0")&amp;" L/SF/yr      •      WUE "&amp;TEXT(B57,"0.00")&amp;" L/kWh"</f>
        <v>WATER   126 ML/yr      •      1,892 ML lifetime      •      158 L/SF/yr      •      WUE 0.20 L/kWh</v>
      </c>
      <c r="B64" s="1151"/>
      <c r="C64" s="1151"/>
      <c r="D64" s="1151"/>
      <c r="E64" s="1151"/>
    </row>
    <row r="66" customFormat="false" ht="15" hidden="false" customHeight="true" outlineLevel="0" collapsed="false">
      <c r="A66" s="1137" t="s">
        <v>5175</v>
      </c>
      <c r="B66" s="149"/>
      <c r="C66" s="149"/>
      <c r="D66" s="149"/>
      <c r="E66" s="149"/>
    </row>
    <row r="67" customFormat="false" ht="15" hidden="false" customHeight="true" outlineLevel="0" collapsed="false">
      <c r="A67" s="375" t="s">
        <v>5176</v>
      </c>
    </row>
    <row r="68" customFormat="false" ht="15" hidden="false" customHeight="true" outlineLevel="0" collapsed="false">
      <c r="A68" s="868" t="s">
        <v>5177</v>
      </c>
      <c r="B68" s="795" t="s">
        <v>5084</v>
      </c>
      <c r="C68" s="869" t="s">
        <v>4550</v>
      </c>
      <c r="D68" s="795" t="s">
        <v>3026</v>
      </c>
      <c r="E68" s="870" t="s">
        <v>4556</v>
      </c>
      <c r="G68" s="696"/>
      <c r="H68" s="897" t="s">
        <v>5084</v>
      </c>
      <c r="I68" s="897" t="s">
        <v>4550</v>
      </c>
      <c r="J68" s="897" t="s">
        <v>3026</v>
      </c>
      <c r="K68" s="897" t="s">
        <v>4556</v>
      </c>
    </row>
    <row r="69" customFormat="false" ht="15" hidden="false" customHeight="true" outlineLevel="0" collapsed="false">
      <c r="A69" s="875" t="s">
        <v>5178</v>
      </c>
      <c r="B69" s="162"/>
      <c r="C69" s="162"/>
      <c r="D69" s="162"/>
      <c r="E69" s="162"/>
      <c r="G69" s="897" t="s">
        <v>5179</v>
      </c>
      <c r="H69" s="1139" t="n">
        <f aca="false">B77</f>
        <v>683824</v>
      </c>
      <c r="I69" s="1139" t="n">
        <f aca="false">C77</f>
        <v>2552332</v>
      </c>
      <c r="J69" s="1139" t="n">
        <f aca="false">D77</f>
        <v>5338537.6</v>
      </c>
      <c r="K69" s="1139" t="n">
        <f aca="false">E77</f>
        <v>2552332</v>
      </c>
    </row>
    <row r="70" customFormat="false" ht="15" hidden="false" customHeight="true" outlineLevel="0" collapsed="false">
      <c r="A70" s="1" t="s">
        <v>5087</v>
      </c>
      <c r="B70" s="1152" t="n">
        <v>1.2</v>
      </c>
      <c r="C70" s="1153" t="n">
        <v>1.3</v>
      </c>
      <c r="D70" s="1152" t="n">
        <v>1.45</v>
      </c>
      <c r="E70" s="1152" t="n">
        <v>1.3</v>
      </c>
      <c r="G70" s="897" t="s">
        <v>5180</v>
      </c>
      <c r="H70" s="1139" t="n">
        <f aca="false">B81</f>
        <v>126.144</v>
      </c>
      <c r="I70" s="1139" t="n">
        <f aca="false">C81</f>
        <v>1135.296</v>
      </c>
      <c r="J70" s="1139" t="n">
        <f aca="false">D81</f>
        <v>1387.584</v>
      </c>
      <c r="K70" s="1139" t="n">
        <f aca="false">E81</f>
        <v>1135.296</v>
      </c>
    </row>
    <row r="71" customFormat="false" ht="15" hidden="false" customHeight="true" outlineLevel="0" collapsed="false">
      <c r="A71" s="1" t="s">
        <v>5181</v>
      </c>
      <c r="B71" s="1154" t="n">
        <v>0.25</v>
      </c>
      <c r="C71" s="1155" t="n">
        <v>0.35</v>
      </c>
      <c r="D71" s="1154" t="n">
        <v>0.45</v>
      </c>
      <c r="E71" s="1156" t="n">
        <v>0.35</v>
      </c>
    </row>
    <row r="72" customFormat="false" ht="15" hidden="false" customHeight="true" outlineLevel="0" collapsed="false">
      <c r="A72" s="1" t="s">
        <v>5093</v>
      </c>
      <c r="B72" s="873" t="n">
        <v>0.9</v>
      </c>
      <c r="C72" s="1157" t="n">
        <v>0.5</v>
      </c>
      <c r="D72" s="873" t="n">
        <v>0.2</v>
      </c>
      <c r="E72" s="873" t="n">
        <v>0.5</v>
      </c>
    </row>
    <row r="73" customFormat="false" ht="15" hidden="false" customHeight="true" outlineLevel="0" collapsed="false">
      <c r="A73" s="1" t="s">
        <v>237</v>
      </c>
      <c r="B73" s="1152" t="n">
        <v>0.2</v>
      </c>
      <c r="C73" s="1153" t="n">
        <v>1.8</v>
      </c>
      <c r="D73" s="1152" t="n">
        <v>2.2</v>
      </c>
      <c r="E73" s="1158" t="n">
        <v>1.8</v>
      </c>
    </row>
    <row r="75" customFormat="false" ht="15" hidden="false" customHeight="true" outlineLevel="0" collapsed="false">
      <c r="A75" s="875" t="s">
        <v>5182</v>
      </c>
      <c r="B75" s="162"/>
      <c r="C75" s="162"/>
      <c r="D75" s="162"/>
      <c r="E75" s="162"/>
    </row>
    <row r="76" customFormat="false" ht="15" hidden="false" customHeight="true" outlineLevel="0" collapsed="false">
      <c r="A76" s="1" t="s">
        <v>5183</v>
      </c>
      <c r="B76" s="1127" t="n">
        <f aca="false">$B$6*B70*8760*$B$8*(B71*(1-B72))</f>
        <v>18921.6</v>
      </c>
      <c r="C76" s="1159" t="n">
        <f aca="false">$B$6*C70*8760*$B$8*(C71*(1-C72))</f>
        <v>143488.8</v>
      </c>
      <c r="D76" s="1127" t="n">
        <f aca="false">$B$6*D70*8760*$B$8*(D71*(1-D72))</f>
        <v>329235.84</v>
      </c>
      <c r="E76" s="1160" t="n">
        <f aca="false">$B$6*E70*8760*$B$8*(E71*(1-E72))</f>
        <v>143488.8</v>
      </c>
    </row>
    <row r="77" customFormat="false" ht="15" hidden="false" customHeight="true" outlineLevel="0" collapsed="false">
      <c r="A77" s="163" t="s">
        <v>5179</v>
      </c>
      <c r="B77" s="1161" t="n">
        <f aca="false">$C$18+B76*$B$9</f>
        <v>683824</v>
      </c>
      <c r="C77" s="1162" t="n">
        <f aca="false">$C$18+C76*$B$9</f>
        <v>2552332</v>
      </c>
      <c r="D77" s="1161" t="n">
        <f aca="false">$C$18+D76*$B$9</f>
        <v>5338537.6</v>
      </c>
      <c r="E77" s="1163" t="n">
        <f aca="false">$C$18+E76*$B$9</f>
        <v>2552332</v>
      </c>
    </row>
    <row r="78" customFormat="false" ht="15" hidden="false" customHeight="true" outlineLevel="0" collapsed="false">
      <c r="A78" s="1" t="s">
        <v>5184</v>
      </c>
      <c r="B78" s="330" t="n">
        <f aca="false">B77/$B$5</f>
        <v>0.85478</v>
      </c>
      <c r="C78" s="1164" t="n">
        <f aca="false">C77/$B$5</f>
        <v>3.190415</v>
      </c>
      <c r="D78" s="330" t="n">
        <f aca="false">D77/$B$5</f>
        <v>6.673172</v>
      </c>
      <c r="E78" s="1165" t="n">
        <f aca="false">E77/$B$5</f>
        <v>3.190415</v>
      </c>
    </row>
    <row r="79" customFormat="false" ht="15" hidden="false" customHeight="true" outlineLevel="0" collapsed="false">
      <c r="A79" s="1" t="s">
        <v>5185</v>
      </c>
      <c r="B79" s="243" t="n">
        <f aca="false">$C$18/B77</f>
        <v>0.58494583401577</v>
      </c>
      <c r="C79" s="1166" t="n">
        <f aca="false">$C$18/C77</f>
        <v>0.156719423648648</v>
      </c>
      <c r="D79" s="243" t="n">
        <f aca="false">$C$18/D77</f>
        <v>0.0749268863443052</v>
      </c>
      <c r="E79" s="243" t="n">
        <f aca="false">$C$18/E77</f>
        <v>0.156719423648648</v>
      </c>
    </row>
    <row r="80" customFormat="false" ht="15" hidden="false" customHeight="true" outlineLevel="0" collapsed="false">
      <c r="A80" s="875" t="s">
        <v>5186</v>
      </c>
      <c r="B80" s="162"/>
      <c r="C80" s="162"/>
      <c r="D80" s="162"/>
      <c r="E80" s="162"/>
    </row>
    <row r="81" customFormat="false" ht="15" hidden="false" customHeight="true" outlineLevel="0" collapsed="false">
      <c r="A81" s="163" t="s">
        <v>5187</v>
      </c>
      <c r="B81" s="1161" t="n">
        <f aca="false">B73*$B$6*8760*$B$8/1000</f>
        <v>126.144</v>
      </c>
      <c r="C81" s="1162" t="n">
        <f aca="false">C73*$B$6*8760*$B$8/1000</f>
        <v>1135.296</v>
      </c>
      <c r="D81" s="1161" t="n">
        <f aca="false">D73*$B$6*8760*$B$8/1000</f>
        <v>1387.584</v>
      </c>
      <c r="E81" s="1163" t="n">
        <f aca="false">E73*$B$6*8760*$B$8/1000</f>
        <v>1135.296</v>
      </c>
    </row>
    <row r="82" customFormat="false" ht="15" hidden="false" customHeight="true" outlineLevel="0" collapsed="false">
      <c r="A82" s="1" t="s">
        <v>5188</v>
      </c>
      <c r="B82" s="1127" t="n">
        <f aca="false">B81*$B$9</f>
        <v>1892.16</v>
      </c>
      <c r="C82" s="1159" t="n">
        <f aca="false">C81*$B$9</f>
        <v>17029.44</v>
      </c>
      <c r="D82" s="1127" t="n">
        <f aca="false">D81*$B$9</f>
        <v>20813.76</v>
      </c>
      <c r="E82" s="1127" t="n">
        <f aca="false">E81*$B$9</f>
        <v>17029.44</v>
      </c>
    </row>
    <row r="83" customFormat="false" ht="15" hidden="false" customHeight="true" outlineLevel="0" collapsed="false">
      <c r="A83" s="1" t="s">
        <v>5189</v>
      </c>
      <c r="B83" s="1127" t="n">
        <f aca="false">B81*1000000/$B$5</f>
        <v>157.68</v>
      </c>
      <c r="C83" s="1159" t="n">
        <f aca="false">C81*1000000/$B$5</f>
        <v>1419.12</v>
      </c>
      <c r="D83" s="1127" t="n">
        <f aca="false">D81*1000000/$B$5</f>
        <v>1734.48</v>
      </c>
      <c r="E83" s="1160" t="n">
        <f aca="false">E81*1000000/$B$5</f>
        <v>1419.12</v>
      </c>
    </row>
  </sheetData>
  <mergeCells count="22">
    <mergeCell ref="A1:E1"/>
    <mergeCell ref="A2:E2"/>
    <mergeCell ref="A3:H3"/>
    <mergeCell ref="C8:E8"/>
    <mergeCell ref="C9:E9"/>
    <mergeCell ref="C10:E10"/>
    <mergeCell ref="C11:E11"/>
    <mergeCell ref="A13:D13"/>
    <mergeCell ref="A20:D20"/>
    <mergeCell ref="C21:E21"/>
    <mergeCell ref="C22:E22"/>
    <mergeCell ref="C23:E23"/>
    <mergeCell ref="C24:E24"/>
    <mergeCell ref="C25:E25"/>
    <mergeCell ref="A27:D27"/>
    <mergeCell ref="C28:E28"/>
    <mergeCell ref="C29:E29"/>
    <mergeCell ref="C30:E30"/>
    <mergeCell ref="C31:E31"/>
    <mergeCell ref="C32:E32"/>
    <mergeCell ref="C33:E33"/>
    <mergeCell ref="A35:E35"/>
  </mergeCells>
  <dataValidations count="1">
    <dataValidation allowBlank="true" errorStyle="stop" operator="between" showDropDown="false" showErrorMessage="true" showInputMessage="true" sqref="E5" type="list">
      <formula1>"Efficient,Base,Conservative,Custom"</formula1>
      <formula2>0</formula2>
    </dataValidation>
  </dataValidations>
  <printOptions headings="false" gridLines="false" gridLinesSet="true" horizontalCentered="true" verticalCentered="false"/>
  <pageMargins left="0.00416666666666667" right="0.00416666666666667" top="0.00694444444444453" bottom="0.00694444444444453" header="0.511805555555556" footer="0.511805555555556"/>
  <pageSetup paperSize="9" scale="100" fitToWidth="1" fitToHeight="1" pageOrder="downThenOver" orientation="landscape" blackAndWhite="false" draft="false" cellComments="none" horizontalDpi="300" verticalDpi="300" copies="1"/>
  <headerFooter differentFirst="false" differentOddEven="false">
    <oddHeader>&amp;LData Center Estimate&amp;C&amp;"Aptos Narrow,Bold"&amp;14 Carbon Sustainability&amp;RPrinted &amp;D</oddHeader>
    <oddFooter>&amp;LConfidential — distribute as directed&amp;CPage &amp;P of &amp;N&amp;R&amp;F</oddFooter>
  </headerFooter>
  <drawing r:id="rId2"/>
  <legacyDrawing r:id="rId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421875" defaultRowHeight="15" zeroHeight="false" outlineLevelRow="0" outlineLevelCol="0"/>
  <cols>
    <col collapsed="false" customWidth="true" hidden="false" outlineLevel="0" max="1" min="1" style="1" width="5.71"/>
    <col collapsed="false" customWidth="true" hidden="false" outlineLevel="0" max="2" min="2" style="1" width="45.71"/>
    <col collapsed="false" customWidth="true" hidden="false" outlineLevel="0" max="3" min="3" style="1" width="34.29"/>
    <col collapsed="false" customWidth="true" hidden="false" outlineLevel="0" max="4" min="4" style="1" width="61"/>
    <col collapsed="false" customWidth="true" hidden="false" outlineLevel="0" max="5" min="5" style="1" width="24.71"/>
    <col collapsed="false" customWidth="true" hidden="false" outlineLevel="0" max="6" min="6" style="1" width="61"/>
    <col collapsed="false" customWidth="true" hidden="false" outlineLevel="0" max="7" min="7" style="1" width="41.86"/>
  </cols>
  <sheetData>
    <row r="1" customFormat="false" ht="18.75" hidden="false" customHeight="true" outlineLevel="0" collapsed="false">
      <c r="A1" s="957" t="s">
        <v>5190</v>
      </c>
      <c r="B1" s="1003"/>
      <c r="C1" s="1003"/>
      <c r="D1" s="1003"/>
      <c r="E1" s="1003"/>
      <c r="F1" s="1003"/>
      <c r="G1" s="1003"/>
    </row>
    <row r="3" customFormat="false" ht="15" hidden="false" customHeight="true" outlineLevel="0" collapsed="false">
      <c r="A3" s="905" t="s">
        <v>5191</v>
      </c>
    </row>
    <row r="5" customFormat="false" ht="15" hidden="false" customHeight="true" outlineLevel="0" collapsed="false">
      <c r="A5" s="1167" t="s">
        <v>266</v>
      </c>
      <c r="B5" s="1167" t="s">
        <v>4464</v>
      </c>
      <c r="C5" s="1167" t="s">
        <v>4333</v>
      </c>
      <c r="D5" s="1167" t="s">
        <v>5192</v>
      </c>
      <c r="E5" s="1167" t="s">
        <v>5193</v>
      </c>
      <c r="F5" s="1167" t="s">
        <v>5194</v>
      </c>
      <c r="G5" s="1167" t="s">
        <v>5195</v>
      </c>
    </row>
    <row r="6" customFormat="false" ht="30" hidden="false" customHeight="true" outlineLevel="0" collapsed="false">
      <c r="A6" s="1168" t="n">
        <v>1</v>
      </c>
      <c r="B6" s="1169" t="s">
        <v>5196</v>
      </c>
      <c r="C6" s="1168" t="s">
        <v>5197</v>
      </c>
      <c r="D6" s="1168" t="s">
        <v>5198</v>
      </c>
      <c r="E6" s="1168" t="s">
        <v>5199</v>
      </c>
      <c r="F6" s="1168" t="s">
        <v>5200</v>
      </c>
      <c r="G6" s="1170" t="s">
        <v>5201</v>
      </c>
    </row>
    <row r="7" customFormat="false" ht="30" hidden="false" customHeight="true" outlineLevel="0" collapsed="false">
      <c r="A7" s="1171" t="n">
        <v>2</v>
      </c>
      <c r="B7" s="1172" t="s">
        <v>5202</v>
      </c>
      <c r="C7" s="1171" t="s">
        <v>5203</v>
      </c>
      <c r="D7" s="1171" t="s">
        <v>5204</v>
      </c>
      <c r="E7" s="1171" t="s">
        <v>5205</v>
      </c>
      <c r="F7" s="1171" t="s">
        <v>5206</v>
      </c>
      <c r="G7" s="1173" t="s">
        <v>5207</v>
      </c>
    </row>
    <row r="8" customFormat="false" ht="30" hidden="false" customHeight="true" outlineLevel="0" collapsed="false">
      <c r="A8" s="1171" t="n">
        <v>3</v>
      </c>
      <c r="B8" s="1172" t="s">
        <v>5208</v>
      </c>
      <c r="C8" s="1171" t="s">
        <v>5209</v>
      </c>
      <c r="D8" s="1171" t="s">
        <v>5210</v>
      </c>
      <c r="E8" s="1171" t="s">
        <v>5211</v>
      </c>
      <c r="F8" s="1171" t="s">
        <v>5212</v>
      </c>
      <c r="G8" s="1173" t="s">
        <v>5213</v>
      </c>
    </row>
    <row r="9" customFormat="false" ht="45" hidden="false" customHeight="true" outlineLevel="0" collapsed="false">
      <c r="A9" s="1171" t="n">
        <v>4</v>
      </c>
      <c r="B9" s="1172" t="s">
        <v>5214</v>
      </c>
      <c r="C9" s="1171" t="s">
        <v>5215</v>
      </c>
      <c r="D9" s="1171" t="s">
        <v>5216</v>
      </c>
      <c r="E9" s="1171" t="s">
        <v>5217</v>
      </c>
      <c r="F9" s="1171" t="s">
        <v>5218</v>
      </c>
      <c r="G9" s="1173" t="s">
        <v>5219</v>
      </c>
    </row>
    <row r="10" customFormat="false" ht="30" hidden="false" customHeight="true" outlineLevel="0" collapsed="false">
      <c r="A10" s="1171" t="n">
        <v>5</v>
      </c>
      <c r="B10" s="1172" t="s">
        <v>5220</v>
      </c>
      <c r="C10" s="1171" t="s">
        <v>5221</v>
      </c>
      <c r="D10" s="1171" t="s">
        <v>5222</v>
      </c>
      <c r="E10" s="1171" t="s">
        <v>5223</v>
      </c>
      <c r="F10" s="1171" t="s">
        <v>5224</v>
      </c>
      <c r="G10" s="1173" t="s">
        <v>5225</v>
      </c>
    </row>
    <row r="11" customFormat="false" ht="30" hidden="false" customHeight="true" outlineLevel="0" collapsed="false">
      <c r="A11" s="1174" t="n">
        <v>6</v>
      </c>
      <c r="B11" s="1175" t="s">
        <v>5226</v>
      </c>
      <c r="C11" s="1174" t="s">
        <v>5227</v>
      </c>
      <c r="D11" s="1174" t="s">
        <v>5228</v>
      </c>
      <c r="E11" s="1174" t="s">
        <v>5229</v>
      </c>
      <c r="F11" s="1174" t="s">
        <v>5230</v>
      </c>
      <c r="G11" s="1176" t="s">
        <v>5231</v>
      </c>
    </row>
    <row r="14" customFormat="false" ht="15" hidden="false" customHeight="true" outlineLevel="0" collapsed="false">
      <c r="A14" s="958" t="s">
        <v>5232</v>
      </c>
      <c r="B14" s="1003"/>
      <c r="C14" s="1003"/>
      <c r="D14" s="1003"/>
      <c r="E14" s="1003"/>
      <c r="F14" s="1003"/>
      <c r="G14" s="1003"/>
    </row>
    <row r="15" customFormat="false" ht="15" hidden="false" customHeight="true" outlineLevel="0" collapsed="false">
      <c r="A15" s="1" t="s">
        <v>5233</v>
      </c>
    </row>
    <row r="16" customFormat="false" ht="15" hidden="false" customHeight="true" outlineLevel="0" collapsed="false">
      <c r="A16" s="1" t="s">
        <v>5234</v>
      </c>
    </row>
    <row r="17" customFormat="false" ht="15" hidden="false" customHeight="true" outlineLevel="0" collapsed="false">
      <c r="A17" s="1" t="s">
        <v>5235</v>
      </c>
    </row>
    <row r="18" customFormat="false" ht="15" hidden="false" customHeight="true" outlineLevel="0" collapsed="false">
      <c r="A18" s="1" t="s">
        <v>5236</v>
      </c>
    </row>
  </sheetData>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true"/>
  </sheetPr>
  <dimension ref="A1:K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7421875" defaultRowHeight="15" zeroHeight="false" outlineLevelRow="0" outlineLevelCol="0"/>
  <sheetData>
    <row r="1" customFormat="false" ht="15" hidden="false" customHeight="true" outlineLevel="0" collapsed="false">
      <c r="A1" s="1" t="s">
        <v>3767</v>
      </c>
      <c r="B1" s="1" t="s">
        <v>5237</v>
      </c>
      <c r="D1" s="1" t="s">
        <v>275</v>
      </c>
      <c r="E1" s="1" t="s">
        <v>5238</v>
      </c>
      <c r="G1" s="1" t="s">
        <v>5239</v>
      </c>
      <c r="J1" s="1" t="s">
        <v>3767</v>
      </c>
      <c r="K1" s="1" t="s">
        <v>5240</v>
      </c>
    </row>
    <row r="2" customFormat="false" ht="15" hidden="false" customHeight="true" outlineLevel="0" collapsed="false">
      <c r="A2" s="1" t="s">
        <v>5241</v>
      </c>
      <c r="B2" s="1127" t="n">
        <f aca="false">'Milestone Tracker'!H6/1000000</f>
        <v>981.24899128396</v>
      </c>
      <c r="D2" s="1" t="s">
        <v>76</v>
      </c>
      <c r="E2" s="1127" t="n">
        <f aca="false">'Campus Rollup'!E16/1000000</f>
        <v>275.731915866136</v>
      </c>
      <c r="G2" s="1" t="s">
        <v>5242</v>
      </c>
      <c r="H2" s="1" t="n">
        <f aca="false">'Construction Budget'!H839-SUM(H3:H16)</f>
        <v>70082423.8915794</v>
      </c>
      <c r="J2" s="1" t="s">
        <v>4241</v>
      </c>
      <c r="K2" s="165" t="n">
        <f aca="false">'Milestone Tracker'!E41</f>
        <v>47173</v>
      </c>
    </row>
    <row r="3" customFormat="false" ht="15" hidden="false" customHeight="true" outlineLevel="0" collapsed="false">
      <c r="A3" s="1" t="s">
        <v>2933</v>
      </c>
      <c r="B3" s="1127" t="n">
        <f aca="false">'Milestone Tracker'!H7/1000000</f>
        <v>1025.21800109748</v>
      </c>
      <c r="D3" s="1" t="s">
        <v>77</v>
      </c>
      <c r="E3" s="1127" t="n">
        <f aca="false">'Campus Rollup'!F16/1000000</f>
        <v>609.16099809738</v>
      </c>
      <c r="G3" s="1" t="s">
        <v>2661</v>
      </c>
      <c r="H3" s="180" t="n">
        <f aca="false">'Construction Budget'!H112</f>
        <v>33466040.3875851</v>
      </c>
      <c r="J3" s="1" t="s">
        <v>4239</v>
      </c>
      <c r="K3" s="165" t="n">
        <f aca="false">'Milestone Tracker'!E40</f>
        <v>47158</v>
      </c>
    </row>
    <row r="4" customFormat="false" ht="15" hidden="false" customHeight="true" outlineLevel="0" collapsed="false">
      <c r="A4" s="1" t="s">
        <v>5243</v>
      </c>
      <c r="B4" s="1127" t="n">
        <f aca="false">'Milestone Tracker'!H8/1000000</f>
        <v>1062.22162321777</v>
      </c>
      <c r="D4" s="1" t="s">
        <v>78</v>
      </c>
      <c r="E4" s="1127" t="n">
        <f aca="false">'Campus Rollup'!G16/1000000</f>
        <v>203.448913103876</v>
      </c>
      <c r="G4" s="1" t="s">
        <v>3126</v>
      </c>
      <c r="H4" s="180" t="n">
        <f aca="false">'Construction Budget'!H772</f>
        <v>25614732</v>
      </c>
      <c r="J4" s="1" t="s">
        <v>4236</v>
      </c>
      <c r="K4" s="165" t="n">
        <f aca="false">'Milestone Tracker'!E39</f>
        <v>47138</v>
      </c>
    </row>
    <row r="5" customFormat="false" ht="15" hidden="false" customHeight="true" outlineLevel="0" collapsed="false">
      <c r="A5" s="1" t="s">
        <v>5244</v>
      </c>
      <c r="B5" s="1127" t="n">
        <f aca="false">'Milestone Tracker'!H9/1000000</f>
        <v>1088.34182706739</v>
      </c>
      <c r="G5" s="1" t="s">
        <v>2669</v>
      </c>
      <c r="H5" s="180" t="n">
        <f aca="false">'Construction Budget'!H359</f>
        <v>22577593.5</v>
      </c>
      <c r="J5" s="1" t="s">
        <v>5245</v>
      </c>
      <c r="K5" s="165" t="n">
        <f aca="false">'Milestone Tracker'!E38</f>
        <v>47133</v>
      </c>
    </row>
    <row r="6" customFormat="false" ht="15" hidden="false" customHeight="true" outlineLevel="0" collapsed="false">
      <c r="A6" s="1" t="s">
        <v>5246</v>
      </c>
      <c r="B6" s="1127" t="n">
        <f aca="false">'Milestone Tracker'!H10/1000000</f>
        <v>1110.10866360874</v>
      </c>
      <c r="G6" s="1" t="s">
        <v>2667</v>
      </c>
      <c r="H6" s="180" t="n">
        <f aca="false">'Construction Budget'!H387</f>
        <v>22312498.51875</v>
      </c>
      <c r="J6" s="1" t="s">
        <v>4229</v>
      </c>
      <c r="K6" s="165" t="n">
        <f aca="false">'Milestone Tracker'!E37</f>
        <v>47018</v>
      </c>
    </row>
    <row r="7" customFormat="false" ht="15" hidden="false" customHeight="true" outlineLevel="0" collapsed="false">
      <c r="A7" s="1" t="s">
        <v>5247</v>
      </c>
      <c r="B7" s="1127" t="e">
        <f aca="false">IF('Milestone Tracker'!H11=0,NA(),'Milestone Tracker'!H11/1000000)</f>
        <v>#N/A</v>
      </c>
      <c r="G7" s="1" t="s">
        <v>2685</v>
      </c>
      <c r="H7" s="180" t="n">
        <f aca="false">'Construction Budget'!H272</f>
        <v>33189552</v>
      </c>
      <c r="J7" s="1" t="s">
        <v>4225</v>
      </c>
      <c r="K7" s="165" t="n">
        <f aca="false">'Milestone Tracker'!E36</f>
        <v>46988</v>
      </c>
    </row>
    <row r="8" customFormat="false" ht="15" hidden="false" customHeight="true" outlineLevel="0" collapsed="false">
      <c r="G8" s="1" t="s">
        <v>4139</v>
      </c>
      <c r="H8" s="180" t="n">
        <f aca="false">'Construction Budget'!H212</f>
        <v>38165650.875</v>
      </c>
      <c r="J8" s="1" t="s">
        <v>4222</v>
      </c>
      <c r="K8" s="165" t="n">
        <f aca="false">'Milestone Tracker'!E35</f>
        <v>46673</v>
      </c>
    </row>
    <row r="9" customFormat="false" ht="15" hidden="false" customHeight="true" outlineLevel="0" collapsed="false">
      <c r="G9" s="1" t="s">
        <v>2663</v>
      </c>
      <c r="H9" s="180" t="n">
        <f aca="false">'Construction Budget'!H164</f>
        <v>40836399.7619533</v>
      </c>
      <c r="J9" s="1" t="s">
        <v>4219</v>
      </c>
      <c r="K9" s="165" t="n">
        <f aca="false">'Milestone Tracker'!E34</f>
        <v>46628</v>
      </c>
    </row>
    <row r="10" customFormat="false" ht="15" hidden="false" customHeight="true" outlineLevel="0" collapsed="false">
      <c r="G10" s="1" t="s">
        <v>2681</v>
      </c>
      <c r="H10" s="180" t="n">
        <f aca="false">'Construction Budget'!H75</f>
        <v>47367292.5</v>
      </c>
      <c r="J10" s="1" t="s">
        <v>5248</v>
      </c>
      <c r="K10" s="165" t="n">
        <f aca="false">'Milestone Tracker'!E33</f>
        <v>46323</v>
      </c>
    </row>
    <row r="11" customFormat="false" ht="15" hidden="false" customHeight="true" outlineLevel="0" collapsed="false">
      <c r="G11" s="1" t="s">
        <v>2689</v>
      </c>
      <c r="H11" s="180" t="n">
        <f aca="false">'Construction Budget'!H58</f>
        <v>42983030.6038756</v>
      </c>
      <c r="J11" s="1" t="s">
        <v>4213</v>
      </c>
      <c r="K11" s="165" t="n">
        <f aca="false">'Milestone Tracker'!E32</f>
        <v>46143</v>
      </c>
    </row>
    <row r="12" customFormat="false" ht="15" hidden="false" customHeight="true" outlineLevel="0" collapsed="false">
      <c r="G12" s="1" t="s">
        <v>5249</v>
      </c>
      <c r="H12" s="180" t="n">
        <f aca="false">'Construction Budget'!H714</f>
        <v>60417387.7013327</v>
      </c>
      <c r="J12" s="1" t="s">
        <v>5250</v>
      </c>
      <c r="K12" s="165" t="n">
        <f aca="false">'Milestone Tracker'!E31</f>
        <v>46083</v>
      </c>
    </row>
    <row r="13" customFormat="false" ht="15" hidden="false" customHeight="true" outlineLevel="0" collapsed="false">
      <c r="G13" s="1" t="s">
        <v>3128</v>
      </c>
      <c r="H13" s="180" t="n">
        <f aca="false">'Construction Budget'!H835</f>
        <v>63598602.375</v>
      </c>
      <c r="J13" s="1" t="s">
        <v>4206</v>
      </c>
      <c r="K13" s="165" t="n">
        <f aca="false">'Milestone Tracker'!E30</f>
        <v>46173</v>
      </c>
    </row>
    <row r="14" customFormat="false" ht="15" hidden="false" customHeight="true" outlineLevel="0" collapsed="false">
      <c r="G14" s="1" t="s">
        <v>4141</v>
      </c>
      <c r="H14" s="323" t="n">
        <f aca="false">'Construction Budget'!H37</f>
        <v>113098590</v>
      </c>
      <c r="J14" s="1" t="s">
        <v>4202</v>
      </c>
      <c r="K14" s="165" t="n">
        <f aca="false">'Milestone Tracker'!E29</f>
        <v>46143</v>
      </c>
    </row>
    <row r="15" customFormat="false" ht="15" hidden="false" customHeight="true" outlineLevel="0" collapsed="false">
      <c r="G15" s="1" t="s">
        <v>2673</v>
      </c>
      <c r="H15" s="180" t="n">
        <f aca="false">'Construction Budget'!H665</f>
        <v>248147784.950389</v>
      </c>
      <c r="J15" s="1" t="s">
        <v>4199</v>
      </c>
      <c r="K15" s="165" t="n">
        <f aca="false">'Milestone Tracker'!E28</f>
        <v>45858</v>
      </c>
    </row>
    <row r="16" customFormat="false" ht="15" hidden="false" customHeight="true" outlineLevel="0" collapsed="false">
      <c r="G16" s="1" t="s">
        <v>2671</v>
      </c>
      <c r="H16" s="180" t="n">
        <f aca="false">'Construction Budget'!H495</f>
        <v>226484248.001927</v>
      </c>
      <c r="J16" s="1" t="s">
        <v>4196</v>
      </c>
      <c r="K16" s="165" t="n">
        <f aca="false">'Milestone Tracker'!E27</f>
        <v>45813</v>
      </c>
    </row>
    <row r="19" customFormat="false" ht="15" hidden="false" customHeight="true" outlineLevel="0" collapsed="false">
      <c r="G19" s="1" t="s">
        <v>5251</v>
      </c>
      <c r="H19" s="1" t="n">
        <v>9.8</v>
      </c>
    </row>
    <row r="20" customFormat="false" ht="15" hidden="false" customHeight="true" outlineLevel="0" collapsed="false">
      <c r="G20" s="1" t="s">
        <v>5252</v>
      </c>
      <c r="H20" s="1" t="n">
        <v>11.4</v>
      </c>
    </row>
    <row r="21" customFormat="false" ht="15" hidden="false" customHeight="true" outlineLevel="0" collapsed="false">
      <c r="G21" s="1" t="s">
        <v>5253</v>
      </c>
      <c r="H21" s="1" t="n">
        <v>17.8</v>
      </c>
    </row>
    <row r="22" customFormat="false" ht="15" hidden="false" customHeight="true" outlineLevel="0" collapsed="false">
      <c r="G22" s="1" t="s">
        <v>5254</v>
      </c>
      <c r="H22" s="1" t="n">
        <f aca="false">'Campus Rollup'!H16/'Campus Rollup'!D16/1000000</f>
        <v>12.0926869674155</v>
      </c>
    </row>
    <row r="24" customFormat="false" ht="15" hidden="false" customHeight="true" outlineLevel="0" collapsed="false">
      <c r="G24" s="1" t="s">
        <v>5255</v>
      </c>
      <c r="H24" s="632" t="n">
        <f aca="false">'Scenario Comparison'!B13</f>
        <v>1088341827.06739</v>
      </c>
    </row>
    <row r="25" customFormat="false" ht="15" hidden="false" customHeight="true" outlineLevel="0" collapsed="false">
      <c r="G25" s="1" t="s">
        <v>1891</v>
      </c>
      <c r="H25" s="180" t="n">
        <f aca="false">'Scenario Comparison'!C13</f>
        <v>1758235505.19881</v>
      </c>
    </row>
    <row r="26" customFormat="false" ht="15" hidden="false" customHeight="true" outlineLevel="0" collapsed="false">
      <c r="G26" s="1" t="s">
        <v>1892</v>
      </c>
      <c r="H26" s="180" t="n">
        <f aca="false">'Scenario Comparison'!D13</f>
        <v>1676758035.89921</v>
      </c>
    </row>
    <row r="27" customFormat="false" ht="15" hidden="false" customHeight="true" outlineLevel="0" collapsed="false">
      <c r="G27" s="1" t="s">
        <v>1893</v>
      </c>
      <c r="H27" s="180" t="n">
        <f aca="false">'Scenario Comparison'!E13</f>
        <v>3019287023.61462</v>
      </c>
    </row>
    <row r="28" customFormat="false" ht="15" hidden="false" customHeight="true" outlineLevel="0" collapsed="false">
      <c r="G28" s="1" t="s">
        <v>81</v>
      </c>
      <c r="H28" s="180" t="n">
        <f aca="false">'Scenario Comparison'!F13</f>
        <v>1855155273.89921</v>
      </c>
    </row>
    <row r="29" customFormat="false" ht="15" hidden="false" customHeight="true" outlineLevel="0" collapsed="false">
      <c r="G29" s="1" t="s">
        <v>82</v>
      </c>
      <c r="H29" s="632" t="n">
        <f aca="false">'Scenario Comparison'!G13</f>
        <v>1626646451.89921</v>
      </c>
    </row>
    <row r="30" customFormat="false" ht="15" hidden="false" customHeight="true" outlineLevel="0" collapsed="false">
      <c r="G30" s="1" t="s">
        <v>83</v>
      </c>
      <c r="H30" s="632" t="n">
        <f aca="false">'Scenario Comparison'!H13</f>
        <v>1058453752.01668</v>
      </c>
    </row>
    <row r="31" customFormat="false" ht="15" hidden="false" customHeight="true" outlineLevel="0" collapsed="false">
      <c r="G31" s="1" t="s">
        <v>5256</v>
      </c>
      <c r="H31" s="1" t="n">
        <f aca="false">'Total Development Cost'!C11/1000000</f>
        <v>1088.34182706739</v>
      </c>
    </row>
    <row r="32" customFormat="false" ht="15" hidden="false" customHeight="true" outlineLevel="0" collapsed="false">
      <c r="G32" s="1" t="s">
        <v>5257</v>
      </c>
      <c r="H32" s="1" t="n">
        <f aca="false">'Total Development Cost'!C15/1000000</f>
        <v>80</v>
      </c>
    </row>
    <row r="33" customFormat="false" ht="15" hidden="false" customHeight="true" outlineLevel="0" collapsed="false">
      <c r="G33" s="1" t="s">
        <v>5258</v>
      </c>
      <c r="H33" s="1" t="n">
        <f aca="false">'Total Development Cost'!C16/1000000</f>
        <v>117</v>
      </c>
    </row>
    <row r="34" customFormat="false" ht="15" hidden="false" customHeight="true" outlineLevel="0" collapsed="false">
      <c r="G34" s="1" t="s">
        <v>5259</v>
      </c>
      <c r="H34" s="1" t="n">
        <f aca="false">('Total Development Cost'!C17+'Total Development Cost'!C18+'Total Development Cost'!C19+'Total Development Cost'!C20+'Total Development Cost'!C21+'Total Development Cost'!C22)/1000000</f>
        <v>71.5336730826957</v>
      </c>
    </row>
    <row r="35" customFormat="false" ht="15" hidden="false" customHeight="true" outlineLevel="0" collapsed="false">
      <c r="G35" s="1" t="s">
        <v>4450</v>
      </c>
      <c r="H35" s="1" t="n">
        <f aca="false">'Total Development Cost'!C30/1000000</f>
        <v>83.9566715717866</v>
      </c>
    </row>
    <row r="36" customFormat="false" ht="15" hidden="false" customHeight="true" outlineLevel="0" collapsed="false">
      <c r="G36" s="1" t="s">
        <v>4433</v>
      </c>
      <c r="H36" s="1" t="n">
        <f aca="false">'Total Development Cost'!C34/1000000</f>
        <v>72.0416085860937</v>
      </c>
    </row>
    <row r="39" customFormat="false" ht="15" hidden="false" customHeight="true" outlineLevel="0" collapsed="false">
      <c r="G39" s="1" t="s">
        <v>4653</v>
      </c>
      <c r="H39" s="1" t="n">
        <f aca="false">'Investment Pro Forma'!C27/1000000</f>
        <v>76.6329707702869</v>
      </c>
    </row>
    <row r="40" customFormat="false" ht="15" hidden="false" customHeight="true" outlineLevel="0" collapsed="false">
      <c r="G40" s="1" t="s">
        <v>4655</v>
      </c>
      <c r="H40" s="1" t="n">
        <f aca="false">'Investment Pro Forma'!D27/1000000</f>
        <v>135.769990312911</v>
      </c>
    </row>
    <row r="41" customFormat="false" ht="15" hidden="false" customHeight="true" outlineLevel="0" collapsed="false">
      <c r="G41" s="1" t="s">
        <v>4657</v>
      </c>
      <c r="H41" s="1" t="n">
        <f aca="false">'Investment Pro Forma'!E27/1000000</f>
        <v>167.943812261707</v>
      </c>
    </row>
    <row r="42" customFormat="false" ht="15" hidden="false" customHeight="true" outlineLevel="0" collapsed="false">
      <c r="G42" s="1" t="s">
        <v>4658</v>
      </c>
      <c r="H42" s="1" t="n">
        <f aca="false">'Investment Pro Forma'!F27/1000000</f>
        <v>180.218062606205</v>
      </c>
    </row>
    <row r="43" customFormat="false" ht="15" hidden="false" customHeight="true" outlineLevel="0" collapsed="false">
      <c r="G43" s="1" t="s">
        <v>4660</v>
      </c>
      <c r="H43" s="1" t="n">
        <f aca="false">'Investment Pro Forma'!G27/1000000</f>
        <v>185.624604484392</v>
      </c>
    </row>
    <row r="44" customFormat="false" ht="15" hidden="false" customHeight="true" outlineLevel="0" collapsed="false">
      <c r="G44" s="1" t="s">
        <v>4661</v>
      </c>
      <c r="H44" s="1" t="n">
        <f aca="false">'Investment Pro Forma'!H27/1000000</f>
        <v>191.193342618923</v>
      </c>
    </row>
    <row r="45" customFormat="false" ht="15" hidden="false" customHeight="true" outlineLevel="0" collapsed="false">
      <c r="G45" s="1" t="s">
        <v>4663</v>
      </c>
      <c r="H45" s="1" t="n">
        <f aca="false">'Investment Pro Forma'!I27/1000000</f>
        <v>196.929142897491</v>
      </c>
    </row>
    <row r="46" customFormat="false" ht="15" hidden="false" customHeight="true" outlineLevel="0" collapsed="false">
      <c r="G46" s="1" t="s">
        <v>4665</v>
      </c>
      <c r="H46" s="1" t="n">
        <f aca="false">'Investment Pro Forma'!J27/1000000</f>
        <v>202.837017184416</v>
      </c>
    </row>
    <row r="49" customFormat="false" ht="15" hidden="false" customHeight="true" outlineLevel="0" collapsed="false">
      <c r="G49" s="1" t="s">
        <v>4460</v>
      </c>
      <c r="H49" s="1" t="n">
        <f aca="false">'Sources &amp; Uses'!B24/1000000</f>
        <v>907.724268184781</v>
      </c>
    </row>
    <row r="50" customFormat="false" ht="15" hidden="false" customHeight="true" outlineLevel="0" collapsed="false">
      <c r="G50" s="1" t="s">
        <v>4461</v>
      </c>
      <c r="H50" s="1" t="n">
        <f aca="false">'Sources &amp; Uses'!B26/1000000</f>
        <v>605.149512123187</v>
      </c>
    </row>
    <row r="53" customFormat="false" ht="15" hidden="false" customHeight="true" outlineLevel="0" collapsed="false">
      <c r="G53" s="1" t="s">
        <v>4525</v>
      </c>
      <c r="H53" s="243" t="n">
        <f aca="false">'Capital Stack &amp; Returns'!B51</f>
        <v>0.174414701484592</v>
      </c>
    </row>
    <row r="54" customFormat="false" ht="15" hidden="false" customHeight="true" outlineLevel="0" collapsed="false">
      <c r="G54" s="1" t="s">
        <v>3298</v>
      </c>
      <c r="H54" s="243" t="n">
        <f aca="false">'Capital Stack &amp; Returns'!B46</f>
        <v>0.266511265789023</v>
      </c>
    </row>
    <row r="56" customFormat="false" ht="15" hidden="false" customHeight="true" outlineLevel="0" collapsed="false">
      <c r="A56" s="1" t="s">
        <v>5260</v>
      </c>
    </row>
    <row r="57" customFormat="false" ht="15" hidden="false" customHeight="true" outlineLevel="0" collapsed="false">
      <c r="A57" s="1" t="s">
        <v>3764</v>
      </c>
      <c r="B57" s="1" t="s">
        <v>5261</v>
      </c>
      <c r="C57" s="1" t="s">
        <v>5262</v>
      </c>
    </row>
    <row r="58" customFormat="false" ht="15" hidden="false" customHeight="true" outlineLevel="0" collapsed="false">
      <c r="A58" s="1" t="str">
        <f aca="false">LEFT('Phased Capital Plan'!B13,8)</f>
        <v>Phase 1a</v>
      </c>
      <c r="B58" s="1" t="n">
        <f aca="false">'Phased Capital Plan'!G13/1000000000</f>
        <v>0.532185023984531</v>
      </c>
      <c r="C58" s="1" t="n">
        <f aca="false">'Phased Capital Plan'!I13/1000000</f>
        <v>17.7395007994844</v>
      </c>
    </row>
    <row r="59" customFormat="false" ht="15" hidden="false" customHeight="true" outlineLevel="0" collapsed="false">
      <c r="A59" s="1" t="str">
        <f aca="false">LEFT('Phased Capital Plan'!B14,8)</f>
        <v>Phase 1b</v>
      </c>
      <c r="B59" s="1" t="n">
        <f aca="false">'Phased Capital Plan'!G14/1000000000</f>
        <v>1.08834182706739</v>
      </c>
      <c r="C59" s="1" t="n">
        <f aca="false">'Phased Capital Plan'!I14/1000000</f>
        <v>12.0926869674155</v>
      </c>
    </row>
    <row r="60" customFormat="false" ht="15" hidden="false" customHeight="true" outlineLevel="0" collapsed="false">
      <c r="A60" s="1" t="str">
        <f aca="false">LEFT('Phased Capital Plan'!B15,8)</f>
        <v>Phase 2 </v>
      </c>
      <c r="B60" s="1" t="n">
        <f aca="false">'Phased Capital Plan'!G15/1000000000</f>
        <v>1.37615297266277</v>
      </c>
      <c r="C60" s="1" t="n">
        <f aca="false">'Phased Capital Plan'!I15/1000000</f>
        <v>11.4679414388564</v>
      </c>
    </row>
    <row r="61" customFormat="false" ht="15" hidden="false" customHeight="true" outlineLevel="0" collapsed="false">
      <c r="A61" s="1" t="str">
        <f aca="false">LEFT('Phased Capital Plan'!B16,8)</f>
        <v>Phase 3 </v>
      </c>
      <c r="B61" s="1" t="n">
        <f aca="false">'Phased Capital Plan'!G16/1000000000</f>
        <v>1.67403750835399</v>
      </c>
      <c r="C61" s="1" t="n">
        <f aca="false">'Phased Capital Plan'!I16/1000000</f>
        <v>11.1602500556933</v>
      </c>
    </row>
    <row r="62" customFormat="false" ht="15" hidden="false" customHeight="true" outlineLevel="0" collapsed="false">
      <c r="A62" s="1" t="str">
        <f aca="false">LEFT('Phased Capital Plan'!B17,8)</f>
        <v>Phase 4 </v>
      </c>
      <c r="B62" s="1" t="n">
        <f aca="false">'Phased Capital Plan'!G17/1000000000</f>
        <v>1.9823480027944</v>
      </c>
      <c r="C62" s="1" t="n">
        <f aca="false">'Phased Capital Plan'!I17/1000000</f>
        <v>11.0130444599689</v>
      </c>
    </row>
  </sheetData>
  <printOptions headings="false" gridLines="false" gridLinesSet="true" horizontalCentered="tru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2026-04-03T21:52:22Z</dcterms:created>
  <dc:creator>Kevin Lidwin</dc:creator>
  <dc:description/>
  <dc:language>en-US</dc:language>
  <cp:lastModifiedBy/>
  <cp:lastPrinted>2026-06-23T01:16:10Z</cp:lastPrinted>
  <dcterms:modified xsi:type="dcterms:W3CDTF">2026-07-01T02:58:53Z</dcterms:modified>
  <cp:revision>67</cp:revision>
  <dc:subject/>
  <dc:title/>
</cp:coreProperties>
</file>

<file path=docProps/custom.xml><?xml version="1.0" encoding="utf-8"?>
<Properties xmlns="http://schemas.openxmlformats.org/officeDocument/2006/custom-properties" xmlns:vt="http://schemas.openxmlformats.org/officeDocument/2006/docPropsVTypes"/>
</file>